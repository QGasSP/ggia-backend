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54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immo.Sakari\Dropbox\My PC (EA012N)\Desktop\"/>
    </mc:Choice>
  </mc:AlternateContent>
  <bookViews>
    <workbookView xWindow="0" yWindow="0" windowWidth="20475" windowHeight="8775" tabRatio="688" activeTab="5"/>
  </bookViews>
  <sheets>
    <sheet name="START" sheetId="12" r:id="rId1"/>
    <sheet name="TRANSPORT" sheetId="11" r:id="rId2"/>
    <sheet name="LAND USE CHANGE" sheetId="18" r:id="rId3"/>
    <sheet name="BUILDINGS" sheetId="15" r:id="rId4"/>
    <sheet name="RESULTS" sheetId="17" r:id="rId5"/>
    <sheet name="LOCAL DATASET" sheetId="16" r:id="rId6"/>
    <sheet name="UPLOAD" sheetId="19" r:id="rId7"/>
    <sheet name="DEFAULT DATA" sheetId="10" r:id="rId8"/>
    <sheet name="MENU OPTIONS" sheetId="13" r:id="rId9"/>
  </sheets>
  <externalReferences>
    <externalReference r:id="rId10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96" i="18" l="1"/>
  <c r="AJ96" i="18"/>
  <c r="AK96" i="18"/>
  <c r="AL96" i="18"/>
  <c r="AM96" i="18"/>
  <c r="AN96" i="18"/>
  <c r="AO96" i="18"/>
  <c r="AP96" i="18"/>
  <c r="AQ96" i="18"/>
  <c r="AI97" i="18"/>
  <c r="AJ97" i="18"/>
  <c r="AK97" i="18"/>
  <c r="AL97" i="18"/>
  <c r="AM97" i="18"/>
  <c r="AN97" i="18"/>
  <c r="AO97" i="18"/>
  <c r="AP97" i="18"/>
  <c r="AQ97" i="18"/>
  <c r="L69" i="18"/>
  <c r="L70" i="18" s="1"/>
  <c r="L71" i="18" s="1"/>
  <c r="L72" i="18" s="1"/>
  <c r="L73" i="18" s="1"/>
  <c r="L74" i="18" s="1"/>
  <c r="L75" i="18" s="1"/>
  <c r="L76" i="18" s="1"/>
  <c r="L77" i="18" s="1"/>
  <c r="L78" i="18" s="1"/>
  <c r="L79" i="18" s="1"/>
  <c r="L80" i="18" s="1"/>
  <c r="L81" i="18" s="1"/>
  <c r="L82" i="18" s="1"/>
  <c r="L83" i="18" s="1"/>
  <c r="L84" i="18" s="1"/>
  <c r="L85" i="18" s="1"/>
  <c r="L86" i="18" s="1"/>
  <c r="L87" i="18" s="1"/>
  <c r="L88" i="18" s="1"/>
  <c r="L89" i="18" s="1"/>
  <c r="L90" i="18" s="1"/>
  <c r="L91" i="18" s="1"/>
  <c r="L92" i="18" s="1"/>
  <c r="L93" i="18" s="1"/>
  <c r="L94" i="18" s="1"/>
  <c r="L95" i="18" s="1"/>
  <c r="L96" i="18" s="1"/>
  <c r="L97" i="18" s="1"/>
  <c r="AV41" i="10" l="1"/>
  <c r="AW41" i="10"/>
  <c r="AX41" i="10"/>
  <c r="AY41" i="10"/>
  <c r="AZ41" i="10"/>
  <c r="O67" i="18"/>
  <c r="P67" i="18" s="1"/>
  <c r="Q67" i="18" s="1"/>
  <c r="R67" i="18" s="1"/>
  <c r="S67" i="18" s="1"/>
  <c r="T67" i="18" s="1"/>
  <c r="U67" i="18" s="1"/>
  <c r="V67" i="18" s="1"/>
  <c r="W67" i="18" s="1"/>
  <c r="X67" i="18" s="1"/>
  <c r="Y67" i="18" s="1"/>
  <c r="Z67" i="18" s="1"/>
  <c r="AA67" i="18" s="1"/>
  <c r="AB67" i="18" s="1"/>
  <c r="AC67" i="18" s="1"/>
  <c r="AD67" i="18" s="1"/>
  <c r="AE67" i="18" s="1"/>
  <c r="AF67" i="18" s="1"/>
  <c r="AG67" i="18" s="1"/>
  <c r="AH67" i="18" s="1"/>
  <c r="AI67" i="18" s="1"/>
  <c r="AJ67" i="18" s="1"/>
  <c r="AK67" i="18" s="1"/>
  <c r="AL67" i="18" s="1"/>
  <c r="AM67" i="18" s="1"/>
  <c r="AN67" i="18" s="1"/>
  <c r="AO67" i="18" s="1"/>
  <c r="AP67" i="18" s="1"/>
  <c r="AQ67" i="18" s="1"/>
  <c r="M9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67" i="18"/>
  <c r="N35" i="18"/>
  <c r="N36" i="18"/>
  <c r="N37" i="18"/>
  <c r="N38" i="18"/>
  <c r="N39" i="18"/>
  <c r="N40" i="18"/>
  <c r="N41" i="18"/>
  <c r="N42" i="18"/>
  <c r="N43" i="18"/>
  <c r="N44" i="18"/>
  <c r="N45" i="18"/>
  <c r="N46" i="18"/>
  <c r="N47" i="18"/>
  <c r="N48" i="18"/>
  <c r="N49" i="18"/>
  <c r="N50" i="18"/>
  <c r="N51" i="18"/>
  <c r="N52" i="18"/>
  <c r="N53" i="18"/>
  <c r="N54" i="18"/>
  <c r="N55" i="18"/>
  <c r="N56" i="18"/>
  <c r="N57" i="18"/>
  <c r="N58" i="18"/>
  <c r="N59" i="18"/>
  <c r="N60" i="18"/>
  <c r="N61" i="18"/>
  <c r="N62" i="18"/>
  <c r="N63" i="18"/>
  <c r="N34" i="18"/>
  <c r="I35" i="18"/>
  <c r="J35" i="18"/>
  <c r="K35" i="18"/>
  <c r="I36" i="18"/>
  <c r="J36" i="18"/>
  <c r="K36" i="18"/>
  <c r="I37" i="18"/>
  <c r="J37" i="18"/>
  <c r="K37" i="18"/>
  <c r="I38" i="18"/>
  <c r="J38" i="18"/>
  <c r="K38" i="18"/>
  <c r="I39" i="18"/>
  <c r="J39" i="18"/>
  <c r="K39" i="18"/>
  <c r="I40" i="18"/>
  <c r="J40" i="18"/>
  <c r="K40" i="18"/>
  <c r="I41" i="18"/>
  <c r="J41" i="18"/>
  <c r="K41" i="18"/>
  <c r="I42" i="18"/>
  <c r="J42" i="18"/>
  <c r="K42" i="18"/>
  <c r="I43" i="18"/>
  <c r="J43" i="18"/>
  <c r="K43" i="18"/>
  <c r="I44" i="18"/>
  <c r="J44" i="18"/>
  <c r="K44" i="18"/>
  <c r="I45" i="18"/>
  <c r="J45" i="18"/>
  <c r="K45" i="18"/>
  <c r="I46" i="18"/>
  <c r="J46" i="18"/>
  <c r="K46" i="18"/>
  <c r="I47" i="18"/>
  <c r="J47" i="18"/>
  <c r="K47" i="18"/>
  <c r="I48" i="18"/>
  <c r="J48" i="18"/>
  <c r="K48" i="18"/>
  <c r="I49" i="18"/>
  <c r="J49" i="18"/>
  <c r="K49" i="18"/>
  <c r="I50" i="18"/>
  <c r="J50" i="18"/>
  <c r="K50" i="18"/>
  <c r="I51" i="18"/>
  <c r="J51" i="18"/>
  <c r="K51" i="18"/>
  <c r="I52" i="18"/>
  <c r="J52" i="18"/>
  <c r="K52" i="18"/>
  <c r="I53" i="18"/>
  <c r="J53" i="18"/>
  <c r="K53" i="18"/>
  <c r="I54" i="18"/>
  <c r="J54" i="18"/>
  <c r="K54" i="18"/>
  <c r="I55" i="18"/>
  <c r="J55" i="18"/>
  <c r="K55" i="18"/>
  <c r="I56" i="18"/>
  <c r="J56" i="18"/>
  <c r="K56" i="18"/>
  <c r="I57" i="18"/>
  <c r="J57" i="18"/>
  <c r="K57" i="18"/>
  <c r="I58" i="18"/>
  <c r="J58" i="18"/>
  <c r="K58" i="18"/>
  <c r="I59" i="18"/>
  <c r="J59" i="18"/>
  <c r="K59" i="18"/>
  <c r="I60" i="18"/>
  <c r="J60" i="18"/>
  <c r="K60" i="18"/>
  <c r="I61" i="18"/>
  <c r="J61" i="18"/>
  <c r="K61" i="18"/>
  <c r="I62" i="18"/>
  <c r="J62" i="18"/>
  <c r="K62" i="18"/>
  <c r="I63" i="18"/>
  <c r="J63" i="18"/>
  <c r="K63" i="18"/>
  <c r="J34" i="18"/>
  <c r="K34" i="18"/>
  <c r="I34" i="18"/>
  <c r="F76" i="18"/>
  <c r="E76" i="18"/>
  <c r="D76" i="18"/>
  <c r="AJ93" i="18" l="1"/>
  <c r="AN93" i="18"/>
  <c r="AK93" i="18"/>
  <c r="AO93" i="18"/>
  <c r="AQ93" i="18"/>
  <c r="AL93" i="18"/>
  <c r="AP93" i="18"/>
  <c r="AI93" i="18"/>
  <c r="AM93" i="18"/>
  <c r="AJ95" i="18"/>
  <c r="AN95" i="18"/>
  <c r="AI95" i="18"/>
  <c r="AK95" i="18"/>
  <c r="AO95" i="18"/>
  <c r="AQ95" i="18"/>
  <c r="AL95" i="18"/>
  <c r="AP95" i="18"/>
  <c r="AM95" i="18"/>
  <c r="AJ94" i="18"/>
  <c r="AN94" i="18"/>
  <c r="AI94" i="18"/>
  <c r="AQ94" i="18"/>
  <c r="AK94" i="18"/>
  <c r="AO94" i="18"/>
  <c r="AL94" i="18"/>
  <c r="AP94" i="18"/>
  <c r="AM94" i="18"/>
  <c r="J39" i="11"/>
  <c r="J40" i="11"/>
  <c r="J41" i="11"/>
  <c r="J42" i="11"/>
  <c r="J38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AA37" i="11"/>
  <c r="AB37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L37" i="11"/>
  <c r="K37" i="11"/>
  <c r="F39" i="11"/>
  <c r="F40" i="11"/>
  <c r="F41" i="11"/>
  <c r="F42" i="11"/>
  <c r="F38" i="11"/>
  <c r="H42" i="11"/>
  <c r="H41" i="11"/>
  <c r="H40" i="11"/>
  <c r="K26" i="11"/>
  <c r="A275" i="11"/>
  <c r="A267" i="11"/>
  <c r="A245" i="11"/>
  <c r="A234" i="11"/>
  <c r="A224" i="11"/>
  <c r="A195" i="11"/>
  <c r="A186" i="11"/>
  <c r="A274" i="11"/>
  <c r="A266" i="11"/>
  <c r="A244" i="11"/>
  <c r="A233" i="11"/>
  <c r="B271" i="11"/>
  <c r="B270" i="11"/>
  <c r="B262" i="11"/>
  <c r="A262" i="11"/>
  <c r="B261" i="11"/>
  <c r="A261" i="11"/>
  <c r="B260" i="11"/>
  <c r="A260" i="11"/>
  <c r="B259" i="11"/>
  <c r="A259" i="11"/>
  <c r="B258" i="11"/>
  <c r="A258" i="11"/>
  <c r="B257" i="11"/>
  <c r="A257" i="11"/>
  <c r="B256" i="11"/>
  <c r="A256" i="11"/>
  <c r="B255" i="11"/>
  <c r="A255" i="11"/>
  <c r="B254" i="11"/>
  <c r="A254" i="11"/>
  <c r="B253" i="11"/>
  <c r="A253" i="11"/>
  <c r="B252" i="11"/>
  <c r="A252" i="11"/>
  <c r="B251" i="11"/>
  <c r="A251" i="11"/>
  <c r="B250" i="11"/>
  <c r="A250" i="11"/>
  <c r="B249" i="11"/>
  <c r="A249" i="11"/>
  <c r="B248" i="11"/>
  <c r="A248" i="11"/>
  <c r="B247" i="11"/>
  <c r="C240" i="11"/>
  <c r="B240" i="11"/>
  <c r="A240" i="11"/>
  <c r="B239" i="11"/>
  <c r="A239" i="11"/>
  <c r="B238" i="11"/>
  <c r="A238" i="11"/>
  <c r="B237" i="11"/>
  <c r="A237" i="11"/>
  <c r="B236" i="11"/>
  <c r="A236" i="11"/>
  <c r="C235" i="11"/>
  <c r="B235" i="11"/>
  <c r="C229" i="11"/>
  <c r="B229" i="11"/>
  <c r="B228" i="11"/>
  <c r="B227" i="11"/>
  <c r="C226" i="11"/>
  <c r="B226" i="11"/>
  <c r="K224" i="11"/>
  <c r="K227" i="11"/>
  <c r="K237" i="11"/>
  <c r="K238" i="11"/>
  <c r="K239" i="11"/>
  <c r="K240" i="11"/>
  <c r="K241" i="11"/>
  <c r="K242" i="11" l="1"/>
  <c r="C262" i="11"/>
  <c r="B263" i="11"/>
  <c r="C261" i="11"/>
  <c r="B241" i="11"/>
  <c r="B230" i="11"/>
  <c r="G130" i="16" l="1"/>
  <c r="MH185" i="16" s="1"/>
  <c r="F130" i="16"/>
  <c r="MG185" i="16" s="1"/>
  <c r="E130" i="16"/>
  <c r="MF185" i="16" s="1"/>
  <c r="D130" i="16"/>
  <c r="ME185" i="16" s="1"/>
  <c r="C130" i="16"/>
  <c r="MD185" i="16" s="1"/>
  <c r="B130" i="16"/>
  <c r="MC185" i="16" s="1"/>
  <c r="G129" i="16"/>
  <c r="MB185" i="16" s="1"/>
  <c r="F129" i="16"/>
  <c r="MA185" i="16" s="1"/>
  <c r="E129" i="16"/>
  <c r="LZ185" i="16" s="1"/>
  <c r="D129" i="16"/>
  <c r="LY185" i="16" s="1"/>
  <c r="C129" i="16"/>
  <c r="LX185" i="16" s="1"/>
  <c r="B129" i="16"/>
  <c r="LW185" i="16" s="1"/>
  <c r="G128" i="16"/>
  <c r="LV185" i="16" s="1"/>
  <c r="F128" i="16"/>
  <c r="LU185" i="16" s="1"/>
  <c r="E128" i="16"/>
  <c r="LT185" i="16" s="1"/>
  <c r="D128" i="16"/>
  <c r="LS185" i="16" s="1"/>
  <c r="C128" i="16"/>
  <c r="LR185" i="16" s="1"/>
  <c r="B128" i="16"/>
  <c r="LQ185" i="16" s="1"/>
  <c r="G127" i="16"/>
  <c r="LP185" i="16" s="1"/>
  <c r="F127" i="16"/>
  <c r="LO185" i="16" s="1"/>
  <c r="E127" i="16"/>
  <c r="LN185" i="16" s="1"/>
  <c r="D127" i="16"/>
  <c r="LM185" i="16" s="1"/>
  <c r="C127" i="16"/>
  <c r="LL185" i="16" s="1"/>
  <c r="B127" i="16"/>
  <c r="LK185" i="16" s="1"/>
  <c r="G126" i="16"/>
  <c r="LJ185" i="16" s="1"/>
  <c r="F126" i="16"/>
  <c r="LI185" i="16" s="1"/>
  <c r="E126" i="16"/>
  <c r="LH185" i="16" s="1"/>
  <c r="D126" i="16"/>
  <c r="LG185" i="16" s="1"/>
  <c r="C126" i="16"/>
  <c r="LF185" i="16" s="1"/>
  <c r="B126" i="16"/>
  <c r="LE185" i="16" s="1"/>
  <c r="G125" i="16"/>
  <c r="LD185" i="16" s="1"/>
  <c r="F125" i="16"/>
  <c r="LC185" i="16" s="1"/>
  <c r="E125" i="16"/>
  <c r="LB185" i="16" s="1"/>
  <c r="D125" i="16"/>
  <c r="LA185" i="16" s="1"/>
  <c r="C125" i="16"/>
  <c r="KZ185" i="16" s="1"/>
  <c r="B125" i="16"/>
  <c r="KY185" i="16" s="1"/>
  <c r="G124" i="16"/>
  <c r="KX185" i="16" s="1"/>
  <c r="F124" i="16"/>
  <c r="KW185" i="16" s="1"/>
  <c r="E124" i="16"/>
  <c r="KV185" i="16" s="1"/>
  <c r="D124" i="16"/>
  <c r="KU185" i="16" s="1"/>
  <c r="C124" i="16"/>
  <c r="KT185" i="16" s="1"/>
  <c r="B124" i="16"/>
  <c r="KS185" i="16" s="1"/>
  <c r="G123" i="16"/>
  <c r="KR185" i="16" s="1"/>
  <c r="F123" i="16"/>
  <c r="KQ185" i="16" s="1"/>
  <c r="E123" i="16"/>
  <c r="KP185" i="16" s="1"/>
  <c r="D123" i="16"/>
  <c r="KO185" i="16" s="1"/>
  <c r="C123" i="16"/>
  <c r="KN185" i="16" s="1"/>
  <c r="B123" i="16"/>
  <c r="KM185" i="16" s="1"/>
  <c r="G122" i="16"/>
  <c r="KL185" i="16" s="1"/>
  <c r="F122" i="16"/>
  <c r="KK185" i="16" s="1"/>
  <c r="E122" i="16"/>
  <c r="KJ185" i="16" s="1"/>
  <c r="D122" i="16"/>
  <c r="KI185" i="16" s="1"/>
  <c r="C122" i="16"/>
  <c r="KH185" i="16" s="1"/>
  <c r="B122" i="16"/>
  <c r="KG185" i="16" s="1"/>
  <c r="G121" i="16"/>
  <c r="KF185" i="16" s="1"/>
  <c r="F121" i="16"/>
  <c r="KE185" i="16" s="1"/>
  <c r="E121" i="16"/>
  <c r="KD185" i="16" s="1"/>
  <c r="D121" i="16"/>
  <c r="KC185" i="16" s="1"/>
  <c r="C121" i="16"/>
  <c r="KB185" i="16" s="1"/>
  <c r="B121" i="16"/>
  <c r="KA185" i="16" s="1"/>
  <c r="G120" i="16"/>
  <c r="JZ185" i="16" s="1"/>
  <c r="F120" i="16"/>
  <c r="JY185" i="16" s="1"/>
  <c r="E120" i="16"/>
  <c r="JX185" i="16" s="1"/>
  <c r="D120" i="16"/>
  <c r="JW185" i="16" s="1"/>
  <c r="C120" i="16"/>
  <c r="JV185" i="16" s="1"/>
  <c r="B120" i="16"/>
  <c r="JU185" i="16" s="1"/>
  <c r="G119" i="16"/>
  <c r="JT185" i="16" s="1"/>
  <c r="F119" i="16"/>
  <c r="JS185" i="16" s="1"/>
  <c r="E119" i="16"/>
  <c r="JR185" i="16" s="1"/>
  <c r="D119" i="16"/>
  <c r="JQ185" i="16" s="1"/>
  <c r="C119" i="16"/>
  <c r="JP185" i="16" s="1"/>
  <c r="B119" i="16"/>
  <c r="JO185" i="16" s="1"/>
  <c r="G118" i="16"/>
  <c r="JN185" i="16" s="1"/>
  <c r="F118" i="16"/>
  <c r="JM185" i="16" s="1"/>
  <c r="E118" i="16"/>
  <c r="JL185" i="16" s="1"/>
  <c r="D118" i="16"/>
  <c r="JK185" i="16" s="1"/>
  <c r="C118" i="16"/>
  <c r="JJ185" i="16" s="1"/>
  <c r="B118" i="16"/>
  <c r="JI185" i="16" s="1"/>
  <c r="G117" i="16"/>
  <c r="JH185" i="16" s="1"/>
  <c r="F117" i="16"/>
  <c r="JG185" i="16" s="1"/>
  <c r="E117" i="16"/>
  <c r="JF185" i="16" s="1"/>
  <c r="D117" i="16"/>
  <c r="JE185" i="16" s="1"/>
  <c r="C117" i="16"/>
  <c r="JD185" i="16" s="1"/>
  <c r="B117" i="16"/>
  <c r="JC185" i="16" s="1"/>
  <c r="G116" i="16"/>
  <c r="JB185" i="16" s="1"/>
  <c r="F116" i="16"/>
  <c r="JA185" i="16" s="1"/>
  <c r="E116" i="16"/>
  <c r="IZ185" i="16" s="1"/>
  <c r="D116" i="16"/>
  <c r="IY185" i="16" s="1"/>
  <c r="C116" i="16"/>
  <c r="IX185" i="16" s="1"/>
  <c r="B116" i="16"/>
  <c r="IW185" i="16" s="1"/>
  <c r="G115" i="16"/>
  <c r="IV185" i="16" s="1"/>
  <c r="F115" i="16"/>
  <c r="IU185" i="16" s="1"/>
  <c r="E115" i="16"/>
  <c r="IT185" i="16" s="1"/>
  <c r="D115" i="16"/>
  <c r="IS185" i="16" s="1"/>
  <c r="C115" i="16"/>
  <c r="IR185" i="16" s="1"/>
  <c r="B115" i="16"/>
  <c r="IQ185" i="16" s="1"/>
  <c r="G114" i="16"/>
  <c r="IP185" i="16" s="1"/>
  <c r="F114" i="16"/>
  <c r="IO185" i="16" s="1"/>
  <c r="E114" i="16"/>
  <c r="IN185" i="16" s="1"/>
  <c r="D114" i="16"/>
  <c r="IM185" i="16" s="1"/>
  <c r="C114" i="16"/>
  <c r="IL185" i="16" s="1"/>
  <c r="B114" i="16"/>
  <c r="IK185" i="16" s="1"/>
  <c r="G113" i="16"/>
  <c r="IJ185" i="16" s="1"/>
  <c r="F113" i="16"/>
  <c r="II185" i="16" s="1"/>
  <c r="E113" i="16"/>
  <c r="IH185" i="16" s="1"/>
  <c r="D113" i="16"/>
  <c r="IG185" i="16" s="1"/>
  <c r="C113" i="16"/>
  <c r="IF185" i="16" s="1"/>
  <c r="B113" i="16"/>
  <c r="IE185" i="16" s="1"/>
  <c r="G112" i="16"/>
  <c r="ID185" i="16" s="1"/>
  <c r="F112" i="16"/>
  <c r="IC185" i="16" s="1"/>
  <c r="E112" i="16"/>
  <c r="IB185" i="16" s="1"/>
  <c r="D112" i="16"/>
  <c r="IA185" i="16" s="1"/>
  <c r="C112" i="16"/>
  <c r="HZ185" i="16" s="1"/>
  <c r="B112" i="16"/>
  <c r="HY185" i="16" s="1"/>
  <c r="G111" i="16"/>
  <c r="HX185" i="16" s="1"/>
  <c r="F111" i="16"/>
  <c r="HW185" i="16" s="1"/>
  <c r="E111" i="16"/>
  <c r="HV185" i="16" s="1"/>
  <c r="D111" i="16"/>
  <c r="HU185" i="16" s="1"/>
  <c r="C111" i="16"/>
  <c r="HT185" i="16" s="1"/>
  <c r="B111" i="16"/>
  <c r="HS185" i="16" s="1"/>
  <c r="G110" i="16"/>
  <c r="HR185" i="16" s="1"/>
  <c r="F110" i="16"/>
  <c r="HQ185" i="16" s="1"/>
  <c r="E110" i="16"/>
  <c r="HP185" i="16" s="1"/>
  <c r="D110" i="16"/>
  <c r="HO185" i="16" s="1"/>
  <c r="C110" i="16"/>
  <c r="HN185" i="16" s="1"/>
  <c r="B110" i="16"/>
  <c r="HM185" i="16" s="1"/>
  <c r="G109" i="16"/>
  <c r="HL185" i="16" s="1"/>
  <c r="F109" i="16"/>
  <c r="HK185" i="16" s="1"/>
  <c r="E109" i="16"/>
  <c r="HJ185" i="16" s="1"/>
  <c r="D109" i="16"/>
  <c r="HI185" i="16" s="1"/>
  <c r="C109" i="16"/>
  <c r="HH185" i="16" s="1"/>
  <c r="B109" i="16"/>
  <c r="HG185" i="16" s="1"/>
  <c r="G108" i="16"/>
  <c r="HF185" i="16" s="1"/>
  <c r="F108" i="16"/>
  <c r="HE185" i="16" s="1"/>
  <c r="E108" i="16"/>
  <c r="HD185" i="16" s="1"/>
  <c r="D108" i="16"/>
  <c r="HC185" i="16" s="1"/>
  <c r="C108" i="16"/>
  <c r="HB185" i="16" s="1"/>
  <c r="B108" i="16"/>
  <c r="HA185" i="16" s="1"/>
  <c r="G107" i="16"/>
  <c r="GZ185" i="16" s="1"/>
  <c r="F107" i="16"/>
  <c r="GY185" i="16" s="1"/>
  <c r="E107" i="16"/>
  <c r="GX185" i="16" s="1"/>
  <c r="D107" i="16"/>
  <c r="GW185" i="16" s="1"/>
  <c r="C107" i="16"/>
  <c r="GV185" i="16" s="1"/>
  <c r="B107" i="16"/>
  <c r="GU185" i="16" s="1"/>
  <c r="G106" i="16"/>
  <c r="GT185" i="16" s="1"/>
  <c r="F106" i="16"/>
  <c r="GS185" i="16" s="1"/>
  <c r="E106" i="16"/>
  <c r="GR185" i="16" s="1"/>
  <c r="D106" i="16"/>
  <c r="GQ185" i="16" s="1"/>
  <c r="C106" i="16"/>
  <c r="GP185" i="16" s="1"/>
  <c r="B106" i="16"/>
  <c r="GO185" i="16" s="1"/>
  <c r="G105" i="16"/>
  <c r="GN185" i="16" s="1"/>
  <c r="F105" i="16"/>
  <c r="GM185" i="16" s="1"/>
  <c r="E105" i="16"/>
  <c r="GL185" i="16" s="1"/>
  <c r="D105" i="16"/>
  <c r="GK185" i="16" s="1"/>
  <c r="C105" i="16"/>
  <c r="GJ185" i="16" s="1"/>
  <c r="B105" i="16"/>
  <c r="GI185" i="16" s="1"/>
  <c r="G104" i="16"/>
  <c r="GH185" i="16" s="1"/>
  <c r="F104" i="16"/>
  <c r="GG185" i="16" s="1"/>
  <c r="E104" i="16"/>
  <c r="GF185" i="16" s="1"/>
  <c r="D104" i="16"/>
  <c r="GE185" i="16" s="1"/>
  <c r="C104" i="16"/>
  <c r="GD185" i="16" s="1"/>
  <c r="B104" i="16"/>
  <c r="GC185" i="16" s="1"/>
  <c r="G103" i="16"/>
  <c r="GB185" i="16" s="1"/>
  <c r="F103" i="16"/>
  <c r="GA185" i="16" s="1"/>
  <c r="E103" i="16"/>
  <c r="FZ185" i="16" s="1"/>
  <c r="D103" i="16"/>
  <c r="FY185" i="16" s="1"/>
  <c r="C103" i="16"/>
  <c r="FX185" i="16" s="1"/>
  <c r="B103" i="16"/>
  <c r="FW185" i="16" s="1"/>
  <c r="G102" i="16"/>
  <c r="FV185" i="16" s="1"/>
  <c r="F102" i="16"/>
  <c r="FU185" i="16" s="1"/>
  <c r="E102" i="16"/>
  <c r="FT185" i="16" s="1"/>
  <c r="D102" i="16"/>
  <c r="FS185" i="16" s="1"/>
  <c r="C102" i="16"/>
  <c r="FR185" i="16" s="1"/>
  <c r="B102" i="16"/>
  <c r="FQ185" i="16" s="1"/>
  <c r="G101" i="16"/>
  <c r="FP185" i="16" s="1"/>
  <c r="F101" i="16"/>
  <c r="FO185" i="16" s="1"/>
  <c r="E101" i="16"/>
  <c r="FN185" i="16" s="1"/>
  <c r="D101" i="16"/>
  <c r="FM185" i="16" s="1"/>
  <c r="C101" i="16"/>
  <c r="FL185" i="16" s="1"/>
  <c r="B101" i="16"/>
  <c r="FK185" i="16" s="1"/>
  <c r="G100" i="16"/>
  <c r="FJ185" i="16" s="1"/>
  <c r="F100" i="16"/>
  <c r="FI185" i="16" s="1"/>
  <c r="E100" i="16"/>
  <c r="FH185" i="16" s="1"/>
  <c r="D100" i="16"/>
  <c r="FG185" i="16" s="1"/>
  <c r="C100" i="16"/>
  <c r="FF185" i="16" s="1"/>
  <c r="B100" i="16"/>
  <c r="FE185" i="16" s="1"/>
  <c r="G99" i="16"/>
  <c r="FD185" i="16" s="1"/>
  <c r="F99" i="16"/>
  <c r="FC185" i="16" s="1"/>
  <c r="E99" i="16"/>
  <c r="FB185" i="16" s="1"/>
  <c r="D99" i="16"/>
  <c r="FA185" i="16" s="1"/>
  <c r="C99" i="16"/>
  <c r="EZ185" i="16" s="1"/>
  <c r="B99" i="16"/>
  <c r="EY185" i="16" s="1"/>
  <c r="G98" i="16"/>
  <c r="EX185" i="16" s="1"/>
  <c r="F98" i="16"/>
  <c r="EW185" i="16" s="1"/>
  <c r="E98" i="16"/>
  <c r="EV185" i="16" s="1"/>
  <c r="D98" i="16"/>
  <c r="EU185" i="16" s="1"/>
  <c r="C98" i="16"/>
  <c r="ET185" i="16" s="1"/>
  <c r="B98" i="16"/>
  <c r="ES185" i="16" s="1"/>
  <c r="G97" i="16"/>
  <c r="ER185" i="16" s="1"/>
  <c r="F97" i="16"/>
  <c r="EQ185" i="16" s="1"/>
  <c r="E97" i="16"/>
  <c r="EP185" i="16" s="1"/>
  <c r="D97" i="16"/>
  <c r="EO185" i="16" s="1"/>
  <c r="C97" i="16"/>
  <c r="EN185" i="16" s="1"/>
  <c r="B97" i="16"/>
  <c r="EM185" i="16" s="1"/>
  <c r="G96" i="16"/>
  <c r="EL185" i="16" s="1"/>
  <c r="F96" i="16"/>
  <c r="EK185" i="16" s="1"/>
  <c r="E96" i="16"/>
  <c r="EJ185" i="16" s="1"/>
  <c r="D96" i="16"/>
  <c r="EI185" i="16" s="1"/>
  <c r="C96" i="16"/>
  <c r="EH185" i="16" s="1"/>
  <c r="B96" i="16"/>
  <c r="EG185" i="16" s="1"/>
  <c r="G95" i="16"/>
  <c r="EF185" i="16" s="1"/>
  <c r="F95" i="16"/>
  <c r="EE185" i="16" s="1"/>
  <c r="E95" i="16"/>
  <c r="ED185" i="16" s="1"/>
  <c r="D95" i="16"/>
  <c r="EC185" i="16" s="1"/>
  <c r="C95" i="16"/>
  <c r="EB185" i="16" s="1"/>
  <c r="B95" i="16"/>
  <c r="EA185" i="16" s="1"/>
  <c r="H41" i="10" l="1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Z41" i="10"/>
  <c r="AA41" i="10"/>
  <c r="AB41" i="10"/>
  <c r="AC41" i="10"/>
  <c r="AD41" i="10"/>
  <c r="AE41" i="10"/>
  <c r="AF41" i="10"/>
  <c r="AG41" i="10"/>
  <c r="AH41" i="10"/>
  <c r="AI41" i="10"/>
  <c r="AJ41" i="10"/>
  <c r="AK41" i="10"/>
  <c r="AL41" i="10"/>
  <c r="AM41" i="10"/>
  <c r="AN41" i="10"/>
  <c r="AO41" i="10"/>
  <c r="AP41" i="10"/>
  <c r="AQ41" i="10"/>
  <c r="AR41" i="10"/>
  <c r="AS41" i="10"/>
  <c r="AT41" i="10"/>
  <c r="AU41" i="10"/>
  <c r="BA41" i="10"/>
  <c r="BB41" i="10"/>
  <c r="BD41" i="10"/>
  <c r="L18" i="11" s="1"/>
  <c r="M18" i="11" s="1"/>
  <c r="N18" i="11" s="1"/>
  <c r="O18" i="11" s="1"/>
  <c r="P18" i="11" s="1"/>
  <c r="Q18" i="11" s="1"/>
  <c r="R18" i="11" s="1"/>
  <c r="S18" i="11" s="1"/>
  <c r="T18" i="11" s="1"/>
  <c r="BE41" i="10"/>
  <c r="BF41" i="10"/>
  <c r="BG41" i="10"/>
  <c r="BH41" i="10"/>
  <c r="BI41" i="10"/>
  <c r="BJ41" i="10"/>
  <c r="L19" i="11" s="1"/>
  <c r="M19" i="11" s="1"/>
  <c r="N19" i="11" s="1"/>
  <c r="O19" i="11" s="1"/>
  <c r="P19" i="11" s="1"/>
  <c r="Q19" i="11" s="1"/>
  <c r="R19" i="11" s="1"/>
  <c r="S19" i="11" s="1"/>
  <c r="T19" i="11" s="1"/>
  <c r="U19" i="11" s="1"/>
  <c r="V19" i="11" s="1"/>
  <c r="W19" i="11" s="1"/>
  <c r="X19" i="11" s="1"/>
  <c r="Y19" i="11" s="1"/>
  <c r="Z19" i="11" s="1"/>
  <c r="AA19" i="11" s="1"/>
  <c r="AB19" i="11" s="1"/>
  <c r="AC19" i="11" s="1"/>
  <c r="AD19" i="11" s="1"/>
  <c r="AE19" i="11" s="1"/>
  <c r="AF19" i="11" s="1"/>
  <c r="AG19" i="11" s="1"/>
  <c r="AH19" i="11" s="1"/>
  <c r="AI19" i="11" s="1"/>
  <c r="AJ19" i="11" s="1"/>
  <c r="AK19" i="11" s="1"/>
  <c r="AL19" i="11" s="1"/>
  <c r="AM19" i="11" s="1"/>
  <c r="AN19" i="11" s="1"/>
  <c r="BK41" i="10"/>
  <c r="BL41" i="10"/>
  <c r="BM41" i="10"/>
  <c r="BN41" i="10"/>
  <c r="BO41" i="10"/>
  <c r="BP41" i="10"/>
  <c r="BQ41" i="10"/>
  <c r="BR41" i="10"/>
  <c r="BS41" i="10"/>
  <c r="BT41" i="10"/>
  <c r="BU41" i="10"/>
  <c r="BV41" i="10"/>
  <c r="BW41" i="10"/>
  <c r="BX41" i="10"/>
  <c r="BY41" i="10"/>
  <c r="BZ41" i="10"/>
  <c r="CA41" i="10"/>
  <c r="CB41" i="10"/>
  <c r="CC41" i="10"/>
  <c r="CD41" i="10"/>
  <c r="CE41" i="10"/>
  <c r="CF41" i="10"/>
  <c r="CG41" i="10"/>
  <c r="CH41" i="10"/>
  <c r="CI41" i="10"/>
  <c r="CJ41" i="10"/>
  <c r="CK41" i="10"/>
  <c r="CL41" i="10"/>
  <c r="CM41" i="10"/>
  <c r="CN41" i="10"/>
  <c r="CO41" i="10"/>
  <c r="CP41" i="10"/>
  <c r="CQ41" i="10"/>
  <c r="CR41" i="10"/>
  <c r="CS41" i="10"/>
  <c r="CT41" i="10"/>
  <c r="CU41" i="10"/>
  <c r="CV41" i="10"/>
  <c r="CW41" i="10"/>
  <c r="CX41" i="10"/>
  <c r="CY41" i="10"/>
  <c r="CZ41" i="10"/>
  <c r="DA41" i="10"/>
  <c r="DB41" i="10"/>
  <c r="DC41" i="10"/>
  <c r="DD41" i="10"/>
  <c r="DE41" i="10"/>
  <c r="DF41" i="10"/>
  <c r="O10" i="18" s="1"/>
  <c r="DG41" i="10"/>
  <c r="DH41" i="10"/>
  <c r="DI41" i="10"/>
  <c r="DJ41" i="10"/>
  <c r="O11" i="18" s="1"/>
  <c r="DK41" i="10"/>
  <c r="DL41" i="10"/>
  <c r="DM41" i="10"/>
  <c r="DN41" i="10"/>
  <c r="O12" i="18" s="1"/>
  <c r="DO41" i="10"/>
  <c r="DP41" i="10"/>
  <c r="DQ41" i="10"/>
  <c r="DR41" i="10"/>
  <c r="O13" i="18" s="1"/>
  <c r="DS41" i="10"/>
  <c r="DT41" i="10"/>
  <c r="DU41" i="10"/>
  <c r="DV41" i="10"/>
  <c r="O14" i="18" s="1"/>
  <c r="DW41" i="10"/>
  <c r="DX41" i="10"/>
  <c r="DY41" i="10"/>
  <c r="DZ41" i="10"/>
  <c r="EA41" i="10"/>
  <c r="EB41" i="10"/>
  <c r="EC41" i="10"/>
  <c r="ED41" i="10"/>
  <c r="EE41" i="10"/>
  <c r="EF41" i="10"/>
  <c r="EG41" i="10"/>
  <c r="EH41" i="10"/>
  <c r="EI41" i="10"/>
  <c r="EJ41" i="10"/>
  <c r="EK41" i="10"/>
  <c r="EL41" i="10"/>
  <c r="EM41" i="10"/>
  <c r="EN41" i="10"/>
  <c r="EO41" i="10"/>
  <c r="EP41" i="10"/>
  <c r="EQ41" i="10"/>
  <c r="ER41" i="10"/>
  <c r="ES41" i="10"/>
  <c r="ET41" i="10"/>
  <c r="EU41" i="10"/>
  <c r="EV41" i="10"/>
  <c r="EW41" i="10"/>
  <c r="EX41" i="10"/>
  <c r="EY41" i="10"/>
  <c r="EZ41" i="10"/>
  <c r="FA41" i="10"/>
  <c r="FB41" i="10"/>
  <c r="FC41" i="10"/>
  <c r="FD41" i="10"/>
  <c r="FE41" i="10"/>
  <c r="FF41" i="10"/>
  <c r="FG41" i="10"/>
  <c r="FH41" i="10"/>
  <c r="FI41" i="10"/>
  <c r="FJ41" i="10"/>
  <c r="FK41" i="10"/>
  <c r="FL41" i="10"/>
  <c r="FM41" i="10"/>
  <c r="FN41" i="10"/>
  <c r="FO41" i="10"/>
  <c r="FP41" i="10"/>
  <c r="FQ41" i="10"/>
  <c r="FR41" i="10"/>
  <c r="FS41" i="10"/>
  <c r="FT41" i="10"/>
  <c r="FU41" i="10"/>
  <c r="FV41" i="10"/>
  <c r="FW41" i="10"/>
  <c r="FX41" i="10"/>
  <c r="FY41" i="10"/>
  <c r="FZ41" i="10"/>
  <c r="GA41" i="10"/>
  <c r="GB41" i="10"/>
  <c r="GC41" i="10"/>
  <c r="GD41" i="10"/>
  <c r="GE41" i="10"/>
  <c r="GF41" i="10"/>
  <c r="GG41" i="10"/>
  <c r="GH41" i="10"/>
  <c r="GI41" i="10"/>
  <c r="GJ41" i="10"/>
  <c r="GK41" i="10"/>
  <c r="GL41" i="10"/>
  <c r="GM41" i="10"/>
  <c r="GN41" i="10"/>
  <c r="GO41" i="10"/>
  <c r="GP41" i="10"/>
  <c r="GQ41" i="10"/>
  <c r="GR41" i="10"/>
  <c r="GS41" i="10"/>
  <c r="GT41" i="10"/>
  <c r="GU41" i="10"/>
  <c r="GV41" i="10"/>
  <c r="GW41" i="10"/>
  <c r="GX41" i="10"/>
  <c r="GY41" i="10"/>
  <c r="GZ41" i="10"/>
  <c r="HA41" i="10"/>
  <c r="HB41" i="10"/>
  <c r="HC41" i="10"/>
  <c r="HD41" i="10"/>
  <c r="HE41" i="10"/>
  <c r="HF41" i="10"/>
  <c r="HG41" i="10"/>
  <c r="HH41" i="10"/>
  <c r="HI41" i="10"/>
  <c r="HJ41" i="10"/>
  <c r="HK41" i="10"/>
  <c r="HL41" i="10"/>
  <c r="HM41" i="10"/>
  <c r="HN41" i="10"/>
  <c r="HO41" i="10"/>
  <c r="HP41" i="10"/>
  <c r="HQ41" i="10"/>
  <c r="HR41" i="10"/>
  <c r="HS41" i="10"/>
  <c r="HT41" i="10"/>
  <c r="HU41" i="10"/>
  <c r="HV41" i="10"/>
  <c r="HW41" i="10"/>
  <c r="HX41" i="10"/>
  <c r="HY41" i="10"/>
  <c r="HZ41" i="10"/>
  <c r="IA41" i="10"/>
  <c r="IB41" i="10"/>
  <c r="IC41" i="10"/>
  <c r="ID41" i="10"/>
  <c r="IE41" i="10"/>
  <c r="IF41" i="10"/>
  <c r="IG41" i="10"/>
  <c r="IH41" i="10"/>
  <c r="II41" i="10"/>
  <c r="IJ41" i="10"/>
  <c r="IK41" i="10"/>
  <c r="IL41" i="10"/>
  <c r="IM41" i="10"/>
  <c r="IN41" i="10"/>
  <c r="IO41" i="10"/>
  <c r="IP41" i="10"/>
  <c r="IQ41" i="10"/>
  <c r="IR41" i="10"/>
  <c r="IS41" i="10"/>
  <c r="IT41" i="10"/>
  <c r="IU41" i="10"/>
  <c r="IV41" i="10"/>
  <c r="IW41" i="10"/>
  <c r="IX41" i="10"/>
  <c r="IY41" i="10"/>
  <c r="IZ41" i="10"/>
  <c r="JA41" i="10"/>
  <c r="JB41" i="10"/>
  <c r="JC41" i="10"/>
  <c r="JD41" i="10"/>
  <c r="JE41" i="10"/>
  <c r="JF41" i="10"/>
  <c r="JG41" i="10"/>
  <c r="JH41" i="10"/>
  <c r="JI41" i="10"/>
  <c r="JJ41" i="10"/>
  <c r="JK41" i="10"/>
  <c r="JL41" i="10"/>
  <c r="JM41" i="10"/>
  <c r="JN41" i="10"/>
  <c r="JO41" i="10"/>
  <c r="JP41" i="10"/>
  <c r="JQ41" i="10"/>
  <c r="JR41" i="10"/>
  <c r="JS41" i="10"/>
  <c r="JT41" i="10"/>
  <c r="JU41" i="10"/>
  <c r="JV41" i="10"/>
  <c r="JW41" i="10"/>
  <c r="JX41" i="10"/>
  <c r="JY41" i="10"/>
  <c r="JZ41" i="10"/>
  <c r="KA41" i="10"/>
  <c r="KB41" i="10"/>
  <c r="KC41" i="10"/>
  <c r="KD41" i="10"/>
  <c r="KE41" i="10"/>
  <c r="KF41" i="10"/>
  <c r="KG41" i="10"/>
  <c r="KH41" i="10"/>
  <c r="KI41" i="10"/>
  <c r="KJ41" i="10"/>
  <c r="KK41" i="10"/>
  <c r="KL41" i="10"/>
  <c r="KM41" i="10"/>
  <c r="KN41" i="10"/>
  <c r="KO41" i="10"/>
  <c r="KP41" i="10"/>
  <c r="KQ41" i="10"/>
  <c r="KR41" i="10"/>
  <c r="KS41" i="10"/>
  <c r="KT41" i="10"/>
  <c r="KU41" i="10"/>
  <c r="KV41" i="10"/>
  <c r="KW41" i="10"/>
  <c r="KX41" i="10"/>
  <c r="KY41" i="10"/>
  <c r="KZ41" i="10"/>
  <c r="LA41" i="10"/>
  <c r="LB41" i="10"/>
  <c r="LC41" i="10"/>
  <c r="LD41" i="10"/>
  <c r="LE41" i="10"/>
  <c r="LF41" i="10"/>
  <c r="LG41" i="10"/>
  <c r="LH41" i="10"/>
  <c r="LI41" i="10"/>
  <c r="LJ41" i="10"/>
  <c r="LK41" i="10"/>
  <c r="LL41" i="10"/>
  <c r="LM41" i="10"/>
  <c r="LN41" i="10"/>
  <c r="LO41" i="10"/>
  <c r="LV41" i="10"/>
  <c r="LW41" i="10"/>
  <c r="LX41" i="10"/>
  <c r="LY41" i="10"/>
  <c r="LZ41" i="10"/>
  <c r="MA41" i="10"/>
  <c r="MB41" i="10"/>
  <c r="MC41" i="10"/>
  <c r="MD41" i="10"/>
  <c r="ME41" i="10"/>
  <c r="MF41" i="10"/>
  <c r="MG41" i="10"/>
  <c r="LP41" i="10"/>
  <c r="LQ41" i="10"/>
  <c r="LR41" i="10"/>
  <c r="LS41" i="10"/>
  <c r="LT41" i="10"/>
  <c r="LU41" i="10"/>
  <c r="E41" i="10"/>
  <c r="F41" i="10"/>
  <c r="G41" i="10"/>
  <c r="O9" i="18"/>
  <c r="O18" i="18"/>
  <c r="P18" i="18" s="1"/>
  <c r="Q18" i="18" s="1"/>
  <c r="R18" i="18" s="1"/>
  <c r="S18" i="18" s="1"/>
  <c r="T18" i="18" s="1"/>
  <c r="U18" i="18" s="1"/>
  <c r="V18" i="18" s="1"/>
  <c r="W18" i="18" s="1"/>
  <c r="X18" i="18" s="1"/>
  <c r="Y18" i="18" s="1"/>
  <c r="Z18" i="18" s="1"/>
  <c r="AA18" i="18" s="1"/>
  <c r="AB18" i="18" s="1"/>
  <c r="AC18" i="18" s="1"/>
  <c r="AD18" i="18" s="1"/>
  <c r="AE18" i="18" s="1"/>
  <c r="AF18" i="18" s="1"/>
  <c r="AG18" i="18" s="1"/>
  <c r="AH18" i="18" s="1"/>
  <c r="AI18" i="18" s="1"/>
  <c r="AJ18" i="18" s="1"/>
  <c r="AK18" i="18" s="1"/>
  <c r="AL18" i="18" s="1"/>
  <c r="AM18" i="18" s="1"/>
  <c r="AN18" i="18" s="1"/>
  <c r="AO18" i="18" s="1"/>
  <c r="AP18" i="18" s="1"/>
  <c r="AQ18" i="18" s="1"/>
  <c r="A17" i="18"/>
  <c r="A18" i="18"/>
  <c r="A19" i="18"/>
  <c r="A20" i="18"/>
  <c r="A21" i="18"/>
  <c r="A16" i="18"/>
  <c r="L35" i="18"/>
  <c r="O27" i="11" l="1"/>
  <c r="S27" i="11"/>
  <c r="W27" i="11"/>
  <c r="AA27" i="11"/>
  <c r="AE27" i="11"/>
  <c r="AI27" i="11"/>
  <c r="AM27" i="11"/>
  <c r="L27" i="11"/>
  <c r="P27" i="11"/>
  <c r="T27" i="11"/>
  <c r="X27" i="11"/>
  <c r="AB27" i="11"/>
  <c r="AF27" i="11"/>
  <c r="AJ27" i="11"/>
  <c r="AN27" i="11"/>
  <c r="M27" i="11"/>
  <c r="Q27" i="11"/>
  <c r="U27" i="11"/>
  <c r="Y27" i="11"/>
  <c r="AC27" i="11"/>
  <c r="AG27" i="11"/>
  <c r="AK27" i="11"/>
  <c r="N27" i="11"/>
  <c r="AD27" i="11"/>
  <c r="Z27" i="11"/>
  <c r="R27" i="11"/>
  <c r="AH27" i="11"/>
  <c r="V27" i="11"/>
  <c r="AL27" i="11"/>
  <c r="K27" i="11"/>
  <c r="Y49" i="18"/>
  <c r="Y83" i="18" s="1"/>
  <c r="AO49" i="18"/>
  <c r="AO83" i="18" s="1"/>
  <c r="AH49" i="18"/>
  <c r="AH83" i="18" s="1"/>
  <c r="AA49" i="18"/>
  <c r="AA83" i="18" s="1"/>
  <c r="AQ49" i="18"/>
  <c r="AQ83" i="18" s="1"/>
  <c r="AF49" i="18"/>
  <c r="AF83" i="18" s="1"/>
  <c r="AC49" i="18"/>
  <c r="AC83" i="18" s="1"/>
  <c r="V49" i="18"/>
  <c r="V83" i="18" s="1"/>
  <c r="AL49" i="18"/>
  <c r="AL83" i="18" s="1"/>
  <c r="AE49" i="18"/>
  <c r="AE83" i="18" s="1"/>
  <c r="X49" i="18"/>
  <c r="X83" i="18" s="1"/>
  <c r="AB49" i="18"/>
  <c r="AB83" i="18" s="1"/>
  <c r="AG49" i="18"/>
  <c r="AG83" i="18" s="1"/>
  <c r="Z49" i="18"/>
  <c r="Z83" i="18" s="1"/>
  <c r="AP49" i="18"/>
  <c r="AP83" i="18" s="1"/>
  <c r="AI49" i="18"/>
  <c r="AI83" i="18" s="1"/>
  <c r="AN49" i="18"/>
  <c r="AN83" i="18" s="1"/>
  <c r="AR49" i="18"/>
  <c r="U49" i="18"/>
  <c r="U83" i="18" s="1"/>
  <c r="AM49" i="18"/>
  <c r="AM83" i="18" s="1"/>
  <c r="AK49" i="18"/>
  <c r="AK83" i="18" s="1"/>
  <c r="T49" i="18"/>
  <c r="T83" i="18" s="1"/>
  <c r="AD49" i="18"/>
  <c r="AD83" i="18" s="1"/>
  <c r="AJ49" i="18"/>
  <c r="AJ83" i="18" s="1"/>
  <c r="W49" i="18"/>
  <c r="W83" i="18" s="1"/>
  <c r="AL53" i="18"/>
  <c r="AL87" i="18" s="1"/>
  <c r="AM53" i="18"/>
  <c r="AM87" i="18" s="1"/>
  <c r="AJ51" i="18"/>
  <c r="AJ85" i="18" s="1"/>
  <c r="AK51" i="18"/>
  <c r="AK85" i="18" s="1"/>
  <c r="AL52" i="18"/>
  <c r="AL86" i="18" s="1"/>
  <c r="AM52" i="18"/>
  <c r="AM86" i="18" s="1"/>
  <c r="AR52" i="18"/>
  <c r="AK53" i="18"/>
  <c r="AK87" i="18" s="1"/>
  <c r="AP53" i="18"/>
  <c r="AP87" i="18" s="1"/>
  <c r="AQ53" i="18"/>
  <c r="AQ87" i="18" s="1"/>
  <c r="AN51" i="18"/>
  <c r="AN85" i="18" s="1"/>
  <c r="AO51" i="18"/>
  <c r="AO85" i="18" s="1"/>
  <c r="AP52" i="18"/>
  <c r="AP86" i="18" s="1"/>
  <c r="AQ52" i="18"/>
  <c r="AQ86" i="18" s="1"/>
  <c r="AO52" i="18"/>
  <c r="AO86" i="18" s="1"/>
  <c r="AO53" i="18"/>
  <c r="AO87" i="18" s="1"/>
  <c r="AI53" i="18"/>
  <c r="AI87" i="18" s="1"/>
  <c r="AR53" i="18"/>
  <c r="AM51" i="18"/>
  <c r="AM85" i="18" s="1"/>
  <c r="AR51" i="18"/>
  <c r="AI51" i="18"/>
  <c r="AI85" i="18" s="1"/>
  <c r="AI52" i="18"/>
  <c r="AI86" i="18" s="1"/>
  <c r="AJ52" i="18"/>
  <c r="AJ86" i="18" s="1"/>
  <c r="AL51" i="18"/>
  <c r="AL85" i="18" s="1"/>
  <c r="AK52" i="18"/>
  <c r="AK86" i="18" s="1"/>
  <c r="AN53" i="18"/>
  <c r="AN87" i="18" s="1"/>
  <c r="AN52" i="18"/>
  <c r="AN86" i="18" s="1"/>
  <c r="AP51" i="18"/>
  <c r="AP85" i="18" s="1"/>
  <c r="AJ53" i="18"/>
  <c r="AJ87" i="18" s="1"/>
  <c r="AQ51" i="18"/>
  <c r="AQ85" i="18" s="1"/>
  <c r="U18" i="11"/>
  <c r="V18" i="11" s="1"/>
  <c r="W18" i="11" s="1"/>
  <c r="X18" i="11" s="1"/>
  <c r="Y18" i="11" s="1"/>
  <c r="Z18" i="11" s="1"/>
  <c r="AA18" i="11" s="1"/>
  <c r="AB18" i="11" s="1"/>
  <c r="AC18" i="11" s="1"/>
  <c r="AD18" i="11" s="1"/>
  <c r="AE18" i="11" s="1"/>
  <c r="AF18" i="11" s="1"/>
  <c r="AG18" i="11" s="1"/>
  <c r="AH18" i="11" s="1"/>
  <c r="AI18" i="11" s="1"/>
  <c r="AJ18" i="11" s="1"/>
  <c r="AK18" i="11" s="1"/>
  <c r="AL18" i="11" s="1"/>
  <c r="AM18" i="11" s="1"/>
  <c r="AN18" i="11" s="1"/>
  <c r="K30" i="11"/>
  <c r="N30" i="11"/>
  <c r="R30" i="11"/>
  <c r="V30" i="11"/>
  <c r="Z30" i="11"/>
  <c r="AD30" i="11"/>
  <c r="AH30" i="11"/>
  <c r="AL30" i="11"/>
  <c r="Q30" i="11"/>
  <c r="AC30" i="11"/>
  <c r="O30" i="11"/>
  <c r="S30" i="11"/>
  <c r="W30" i="11"/>
  <c r="AA30" i="11"/>
  <c r="AE30" i="11"/>
  <c r="AI30" i="11"/>
  <c r="AM30" i="11"/>
  <c r="M30" i="11"/>
  <c r="Y30" i="11"/>
  <c r="AK30" i="11"/>
  <c r="L30" i="11"/>
  <c r="P30" i="11"/>
  <c r="T30" i="11"/>
  <c r="X30" i="11"/>
  <c r="AB30" i="11"/>
  <c r="AF30" i="11"/>
  <c r="AJ30" i="11"/>
  <c r="AN30" i="11"/>
  <c r="U30" i="11"/>
  <c r="AG30" i="11"/>
  <c r="K31" i="11"/>
  <c r="M31" i="11"/>
  <c r="Q31" i="11"/>
  <c r="V31" i="11"/>
  <c r="Z31" i="11"/>
  <c r="AD31" i="11"/>
  <c r="AH31" i="11"/>
  <c r="AL31" i="11"/>
  <c r="L31" i="11"/>
  <c r="Y31" i="11"/>
  <c r="AK31" i="11"/>
  <c r="N31" i="11"/>
  <c r="R31" i="11"/>
  <c r="W31" i="11"/>
  <c r="AA31" i="11"/>
  <c r="AE31" i="11"/>
  <c r="AI31" i="11"/>
  <c r="AM31" i="11"/>
  <c r="U31" i="11"/>
  <c r="AG31" i="11"/>
  <c r="O31" i="11"/>
  <c r="S31" i="11"/>
  <c r="X31" i="11"/>
  <c r="AB31" i="11"/>
  <c r="AF31" i="11"/>
  <c r="AJ31" i="11"/>
  <c r="AN31" i="11"/>
  <c r="P31" i="11"/>
  <c r="AC31" i="11"/>
  <c r="AN42" i="18"/>
  <c r="AN76" i="18" s="1"/>
  <c r="AM42" i="18"/>
  <c r="AM76" i="18" s="1"/>
  <c r="AO41" i="18"/>
  <c r="AO75" i="18" s="1"/>
  <c r="AN41" i="18"/>
  <c r="AN75" i="18" s="1"/>
  <c r="AR43" i="18"/>
  <c r="AO43" i="18"/>
  <c r="AO77" i="18" s="1"/>
  <c r="AJ39" i="18"/>
  <c r="AJ73" i="18" s="1"/>
  <c r="AO39" i="18"/>
  <c r="AO73" i="18" s="1"/>
  <c r="AP39" i="18"/>
  <c r="AP73" i="18" s="1"/>
  <c r="AL40" i="18"/>
  <c r="AL74" i="18" s="1"/>
  <c r="AI40" i="18"/>
  <c r="AI74" i="18" s="1"/>
  <c r="AL42" i="18"/>
  <c r="AL76" i="18" s="1"/>
  <c r="AQ42" i="18"/>
  <c r="AQ76" i="18" s="1"/>
  <c r="AM41" i="18"/>
  <c r="AM75" i="18" s="1"/>
  <c r="AR41" i="18"/>
  <c r="AI43" i="18"/>
  <c r="AI77" i="18" s="1"/>
  <c r="AQ43" i="18"/>
  <c r="AQ77" i="18" s="1"/>
  <c r="AN39" i="18"/>
  <c r="AN73" i="18" s="1"/>
  <c r="AI39" i="18"/>
  <c r="AI73" i="18" s="1"/>
  <c r="AQ39" i="18"/>
  <c r="AQ73" i="18" s="1"/>
  <c r="AJ40" i="18"/>
  <c r="AJ74" i="18" s="1"/>
  <c r="AP40" i="18"/>
  <c r="AP74" i="18" s="1"/>
  <c r="AK42" i="18"/>
  <c r="AK76" i="18" s="1"/>
  <c r="AP42" i="18"/>
  <c r="AP76" i="18" s="1"/>
  <c r="AR42" i="18"/>
  <c r="AL41" i="18"/>
  <c r="AL75" i="18" s="1"/>
  <c r="AQ41" i="18"/>
  <c r="AQ75" i="18" s="1"/>
  <c r="AI41" i="18"/>
  <c r="AI75" i="18" s="1"/>
  <c r="AJ43" i="18"/>
  <c r="AJ77" i="18" s="1"/>
  <c r="AM43" i="18"/>
  <c r="AM77" i="18" s="1"/>
  <c r="AL43" i="18"/>
  <c r="AL77" i="18" s="1"/>
  <c r="AR39" i="18"/>
  <c r="AM39" i="18"/>
  <c r="AM73" i="18" s="1"/>
  <c r="AM40" i="18"/>
  <c r="AM74" i="18" s="1"/>
  <c r="AN40" i="18"/>
  <c r="AN74" i="18" s="1"/>
  <c r="AK40" i="18"/>
  <c r="AK74" i="18" s="1"/>
  <c r="AO42" i="18"/>
  <c r="AO76" i="18" s="1"/>
  <c r="AK43" i="18"/>
  <c r="AK77" i="18" s="1"/>
  <c r="AR40" i="18"/>
  <c r="AK41" i="18"/>
  <c r="AK75" i="18" s="1"/>
  <c r="AL39" i="18"/>
  <c r="AL73" i="18" s="1"/>
  <c r="AJ42" i="18"/>
  <c r="AJ76" i="18" s="1"/>
  <c r="AP41" i="18"/>
  <c r="AP75" i="18" s="1"/>
  <c r="AP43" i="18"/>
  <c r="AP77" i="18" s="1"/>
  <c r="AO40" i="18"/>
  <c r="AO74" i="18" s="1"/>
  <c r="AQ40" i="18"/>
  <c r="AQ74" i="18" s="1"/>
  <c r="AI42" i="18"/>
  <c r="AI76" i="18" s="1"/>
  <c r="AJ41" i="18"/>
  <c r="AJ75" i="18" s="1"/>
  <c r="AK39" i="18"/>
  <c r="AK73" i="18" s="1"/>
  <c r="AN43" i="18"/>
  <c r="AN77" i="18" s="1"/>
  <c r="O29" i="11"/>
  <c r="K29" i="11"/>
  <c r="N29" i="11"/>
  <c r="S29" i="11"/>
  <c r="W29" i="11"/>
  <c r="AA29" i="11"/>
  <c r="AE29" i="11"/>
  <c r="AI29" i="11"/>
  <c r="AM29" i="11"/>
  <c r="M29" i="11"/>
  <c r="Z29" i="11"/>
  <c r="AL29" i="11"/>
  <c r="P29" i="11"/>
  <c r="T29" i="11"/>
  <c r="X29" i="11"/>
  <c r="AB29" i="11"/>
  <c r="AF29" i="11"/>
  <c r="AJ29" i="11"/>
  <c r="AN29" i="11"/>
  <c r="R29" i="11"/>
  <c r="AD29" i="11"/>
  <c r="L29" i="11"/>
  <c r="Q29" i="11"/>
  <c r="U29" i="11"/>
  <c r="Y29" i="11"/>
  <c r="AC29" i="11"/>
  <c r="AG29" i="11"/>
  <c r="AK29" i="11"/>
  <c r="V29" i="11"/>
  <c r="AH29" i="11"/>
  <c r="AQ57" i="18"/>
  <c r="AQ91" i="18" s="1"/>
  <c r="AI57" i="18"/>
  <c r="AI91" i="18" s="1"/>
  <c r="AP57" i="18"/>
  <c r="AP91" i="18" s="1"/>
  <c r="AL58" i="18"/>
  <c r="AL92" i="18" s="1"/>
  <c r="AQ58" i="18"/>
  <c r="AQ92" i="18" s="1"/>
  <c r="AR58" i="18"/>
  <c r="AO54" i="18"/>
  <c r="AO88" i="18" s="1"/>
  <c r="AJ54" i="18"/>
  <c r="AJ88" i="18" s="1"/>
  <c r="AK55" i="18"/>
  <c r="AK89" i="18" s="1"/>
  <c r="AL55" i="18"/>
  <c r="AL89" i="18" s="1"/>
  <c r="AQ55" i="18"/>
  <c r="AQ89" i="18" s="1"/>
  <c r="AR56" i="18"/>
  <c r="AO56" i="18"/>
  <c r="AO90" i="18" s="1"/>
  <c r="AJ57" i="18"/>
  <c r="AJ91" i="18" s="1"/>
  <c r="AL57" i="18"/>
  <c r="AL91" i="18" s="1"/>
  <c r="AP58" i="18"/>
  <c r="AP92" i="18" s="1"/>
  <c r="AO58" i="18"/>
  <c r="AO92" i="18" s="1"/>
  <c r="AI58" i="18"/>
  <c r="AI92" i="18" s="1"/>
  <c r="AM54" i="18"/>
  <c r="AM88" i="18" s="1"/>
  <c r="AN54" i="18"/>
  <c r="AN88" i="18" s="1"/>
  <c r="AO55" i="18"/>
  <c r="AO89" i="18" s="1"/>
  <c r="AP55" i="18"/>
  <c r="AP89" i="18" s="1"/>
  <c r="AR55" i="18"/>
  <c r="AI56" i="18"/>
  <c r="AI90" i="18" s="1"/>
  <c r="AL56" i="18"/>
  <c r="AL90" i="18" s="1"/>
  <c r="AN57" i="18"/>
  <c r="AN91" i="18" s="1"/>
  <c r="AK57" i="18"/>
  <c r="AK91" i="18" s="1"/>
  <c r="AK58" i="18"/>
  <c r="AK92" i="18" s="1"/>
  <c r="AJ58" i="18"/>
  <c r="AJ92" i="18" s="1"/>
  <c r="AL54" i="18"/>
  <c r="AL88" i="18" s="1"/>
  <c r="AQ54" i="18"/>
  <c r="AQ88" i="18" s="1"/>
  <c r="AR54" i="18"/>
  <c r="AN55" i="18"/>
  <c r="AN89" i="18" s="1"/>
  <c r="AJ55" i="18"/>
  <c r="AJ89" i="18" s="1"/>
  <c r="AJ56" i="18"/>
  <c r="AJ90" i="18" s="1"/>
  <c r="AM56" i="18"/>
  <c r="AM90" i="18" s="1"/>
  <c r="AP56" i="18"/>
  <c r="AP90" i="18" s="1"/>
  <c r="AR57" i="18"/>
  <c r="AI54" i="18"/>
  <c r="AI88" i="18" s="1"/>
  <c r="AI55" i="18"/>
  <c r="AI89" i="18" s="1"/>
  <c r="AP54" i="18"/>
  <c r="AP88" i="18" s="1"/>
  <c r="AO57" i="18"/>
  <c r="AO91" i="18" s="1"/>
  <c r="AM58" i="18"/>
  <c r="AM92" i="18" s="1"/>
  <c r="AK54" i="18"/>
  <c r="AK88" i="18" s="1"/>
  <c r="AM55" i="18"/>
  <c r="AM89" i="18" s="1"/>
  <c r="AN56" i="18"/>
  <c r="AN90" i="18" s="1"/>
  <c r="AM57" i="18"/>
  <c r="AM91" i="18" s="1"/>
  <c r="AN58" i="18"/>
  <c r="AN92" i="18" s="1"/>
  <c r="AK56" i="18"/>
  <c r="AK90" i="18" s="1"/>
  <c r="AQ56" i="18"/>
  <c r="AQ90" i="18" s="1"/>
  <c r="AM45" i="18"/>
  <c r="AM79" i="18" s="1"/>
  <c r="AR45" i="18"/>
  <c r="AL45" i="18"/>
  <c r="AL79" i="18" s="1"/>
  <c r="AL46" i="18"/>
  <c r="AL80" i="18" s="1"/>
  <c r="AJ46" i="18"/>
  <c r="AJ80" i="18" s="1"/>
  <c r="AO46" i="18"/>
  <c r="AO80" i="18" s="1"/>
  <c r="AK47" i="18"/>
  <c r="AK81" i="18" s="1"/>
  <c r="AM47" i="18"/>
  <c r="AM81" i="18" s="1"/>
  <c r="AR47" i="18"/>
  <c r="AR48" i="18"/>
  <c r="AL48" i="18"/>
  <c r="AL82" i="18" s="1"/>
  <c r="AJ44" i="18"/>
  <c r="AJ78" i="18" s="1"/>
  <c r="AO44" i="18"/>
  <c r="AO78" i="18" s="1"/>
  <c r="AP44" i="18"/>
  <c r="AP78" i="18" s="1"/>
  <c r="AQ45" i="18"/>
  <c r="AQ79" i="18" s="1"/>
  <c r="AI45" i="18"/>
  <c r="AI79" i="18" s="1"/>
  <c r="AP45" i="18"/>
  <c r="AP79" i="18" s="1"/>
  <c r="AP46" i="18"/>
  <c r="AP80" i="18" s="1"/>
  <c r="AN46" i="18"/>
  <c r="AN80" i="18" s="1"/>
  <c r="AK46" i="18"/>
  <c r="AK80" i="18" s="1"/>
  <c r="AO47" i="18"/>
  <c r="AO81" i="18" s="1"/>
  <c r="AQ47" i="18"/>
  <c r="AQ81" i="18" s="1"/>
  <c r="AI47" i="18"/>
  <c r="AI81" i="18" s="1"/>
  <c r="AI48" i="18"/>
  <c r="AI82" i="18" s="1"/>
  <c r="AP48" i="18"/>
  <c r="AP82" i="18" s="1"/>
  <c r="AN44" i="18"/>
  <c r="AN78" i="18" s="1"/>
  <c r="AI44" i="18"/>
  <c r="AI78" i="18" s="1"/>
  <c r="AQ44" i="18"/>
  <c r="AQ78" i="18" s="1"/>
  <c r="AJ45" i="18"/>
  <c r="AJ79" i="18" s="1"/>
  <c r="AK45" i="18"/>
  <c r="AK79" i="18" s="1"/>
  <c r="AM46" i="18"/>
  <c r="AM80" i="18" s="1"/>
  <c r="AR46" i="18"/>
  <c r="AL47" i="18"/>
  <c r="AL81" i="18" s="1"/>
  <c r="AJ47" i="18"/>
  <c r="AJ81" i="18" s="1"/>
  <c r="AJ48" i="18"/>
  <c r="AJ82" i="18" s="1"/>
  <c r="AK48" i="18"/>
  <c r="AK82" i="18" s="1"/>
  <c r="AM48" i="18"/>
  <c r="AM82" i="18" s="1"/>
  <c r="AR44" i="18"/>
  <c r="AM44" i="18"/>
  <c r="AM78" i="18" s="1"/>
  <c r="AO45" i="18"/>
  <c r="AO79" i="18" s="1"/>
  <c r="AQ48" i="18"/>
  <c r="AQ82" i="18" s="1"/>
  <c r="AN45" i="18"/>
  <c r="AN79" i="18" s="1"/>
  <c r="AO48" i="18"/>
  <c r="AO82" i="18" s="1"/>
  <c r="AP47" i="18"/>
  <c r="AP81" i="18" s="1"/>
  <c r="AK44" i="18"/>
  <c r="AK78" i="18" s="1"/>
  <c r="AI46" i="18"/>
  <c r="AI80" i="18" s="1"/>
  <c r="AQ46" i="18"/>
  <c r="AQ80" i="18" s="1"/>
  <c r="AN47" i="18"/>
  <c r="AN81" i="18" s="1"/>
  <c r="AN48" i="18"/>
  <c r="AN82" i="18" s="1"/>
  <c r="AL44" i="18"/>
  <c r="AL78" i="18" s="1"/>
  <c r="AK34" i="18"/>
  <c r="AK68" i="18" s="1"/>
  <c r="AN34" i="18"/>
  <c r="AN68" i="18" s="1"/>
  <c r="AL38" i="18"/>
  <c r="AL72" i="18" s="1"/>
  <c r="AQ38" i="18"/>
  <c r="AQ72" i="18" s="1"/>
  <c r="AR38" i="18"/>
  <c r="AN35" i="18"/>
  <c r="AN69" i="18" s="1"/>
  <c r="AJ35" i="18"/>
  <c r="AJ69" i="18" s="1"/>
  <c r="AM37" i="18"/>
  <c r="AM71" i="18" s="1"/>
  <c r="AR37" i="18"/>
  <c r="AO37" i="18"/>
  <c r="AO71" i="18" s="1"/>
  <c r="AJ36" i="18"/>
  <c r="AJ70" i="18" s="1"/>
  <c r="AQ36" i="18"/>
  <c r="AQ70" i="18" s="1"/>
  <c r="AP36" i="18"/>
  <c r="AP70" i="18" s="1"/>
  <c r="AM34" i="18"/>
  <c r="AM68" i="18" s="1"/>
  <c r="AR34" i="18"/>
  <c r="AP38" i="18"/>
  <c r="AP72" i="18" s="1"/>
  <c r="AO38" i="18"/>
  <c r="AO72" i="18" s="1"/>
  <c r="AI38" i="18"/>
  <c r="AI72" i="18" s="1"/>
  <c r="AI35" i="18"/>
  <c r="AI69" i="18" s="1"/>
  <c r="AR35" i="18"/>
  <c r="AQ37" i="18"/>
  <c r="AQ71" i="18" s="1"/>
  <c r="AI37" i="18"/>
  <c r="AI71" i="18" s="1"/>
  <c r="AP37" i="18"/>
  <c r="AP71" i="18" s="1"/>
  <c r="AN36" i="18"/>
  <c r="AN70" i="18" s="1"/>
  <c r="AK36" i="18"/>
  <c r="AK70" i="18" s="1"/>
  <c r="AM36" i="18"/>
  <c r="AM70" i="18" s="1"/>
  <c r="AL34" i="18"/>
  <c r="AL68" i="18" s="1"/>
  <c r="AQ34" i="18"/>
  <c r="AQ68" i="18" s="1"/>
  <c r="AO34" i="18"/>
  <c r="AO68" i="18" s="1"/>
  <c r="AK38" i="18"/>
  <c r="AK72" i="18" s="1"/>
  <c r="AJ38" i="18"/>
  <c r="AJ72" i="18" s="1"/>
  <c r="AK35" i="18"/>
  <c r="AK69" i="18" s="1"/>
  <c r="AL35" i="18"/>
  <c r="AL69" i="18" s="1"/>
  <c r="AM35" i="18"/>
  <c r="AM69" i="18" s="1"/>
  <c r="AJ37" i="18"/>
  <c r="AJ71" i="18" s="1"/>
  <c r="AL37" i="18"/>
  <c r="AL71" i="18" s="1"/>
  <c r="AR36" i="18"/>
  <c r="AO36" i="18"/>
  <c r="AO70" i="18" s="1"/>
  <c r="AN38" i="18"/>
  <c r="AN72" i="18" s="1"/>
  <c r="AO35" i="18"/>
  <c r="AO69" i="18" s="1"/>
  <c r="AK37" i="18"/>
  <c r="AK71" i="18" s="1"/>
  <c r="AP34" i="18"/>
  <c r="AP68" i="18" s="1"/>
  <c r="AP35" i="18"/>
  <c r="AP69" i="18" s="1"/>
  <c r="AI34" i="18"/>
  <c r="AI68" i="18" s="1"/>
  <c r="AN37" i="18"/>
  <c r="AN71" i="18" s="1"/>
  <c r="AJ34" i="18"/>
  <c r="AJ68" i="18" s="1"/>
  <c r="AQ35" i="18"/>
  <c r="AQ69" i="18" s="1"/>
  <c r="AI36" i="18"/>
  <c r="AI70" i="18" s="1"/>
  <c r="AM38" i="18"/>
  <c r="AM72" i="18" s="1"/>
  <c r="AL36" i="18"/>
  <c r="AL70" i="18" s="1"/>
  <c r="S34" i="18"/>
  <c r="S68" i="18" s="1"/>
  <c r="P34" i="18"/>
  <c r="P68" i="18" s="1"/>
  <c r="AF34" i="18"/>
  <c r="AF68" i="18" s="1"/>
  <c r="AC34" i="18"/>
  <c r="AC68" i="18" s="1"/>
  <c r="Z34" i="18"/>
  <c r="Z68" i="18" s="1"/>
  <c r="W34" i="18"/>
  <c r="W68" i="18" s="1"/>
  <c r="T34" i="18"/>
  <c r="T68" i="18" s="1"/>
  <c r="Q34" i="18"/>
  <c r="Q68" i="18" s="1"/>
  <c r="AG34" i="18"/>
  <c r="AG68" i="18" s="1"/>
  <c r="AD34" i="18"/>
  <c r="AD68" i="18" s="1"/>
  <c r="AA34" i="18"/>
  <c r="AA68" i="18" s="1"/>
  <c r="X34" i="18"/>
  <c r="X68" i="18" s="1"/>
  <c r="U34" i="18"/>
  <c r="U68" i="18" s="1"/>
  <c r="V34" i="18"/>
  <c r="V68" i="18" s="1"/>
  <c r="R34" i="18"/>
  <c r="R68" i="18" s="1"/>
  <c r="AE34" i="18"/>
  <c r="AE68" i="18" s="1"/>
  <c r="O34" i="18"/>
  <c r="O68" i="18" s="1"/>
  <c r="AB34" i="18"/>
  <c r="AB68" i="18" s="1"/>
  <c r="Y34" i="18"/>
  <c r="Y68" i="18" s="1"/>
  <c r="AH34" i="18"/>
  <c r="AH68" i="18" s="1"/>
  <c r="N28" i="11"/>
  <c r="R28" i="11"/>
  <c r="V28" i="11"/>
  <c r="Z28" i="11"/>
  <c r="AD28" i="11"/>
  <c r="AH28" i="11"/>
  <c r="AL28" i="11"/>
  <c r="O28" i="11"/>
  <c r="S28" i="11"/>
  <c r="W28" i="11"/>
  <c r="AA28" i="11"/>
  <c r="AE28" i="11"/>
  <c r="AI28" i="11"/>
  <c r="AM28" i="11"/>
  <c r="K28" i="11"/>
  <c r="L28" i="11"/>
  <c r="P28" i="11"/>
  <c r="T28" i="11"/>
  <c r="X28" i="11"/>
  <c r="AB28" i="11"/>
  <c r="AF28" i="11"/>
  <c r="AJ28" i="11"/>
  <c r="AN28" i="11"/>
  <c r="Q28" i="11"/>
  <c r="AG28" i="11"/>
  <c r="U28" i="11"/>
  <c r="AK28" i="11"/>
  <c r="M28" i="11"/>
  <c r="Y28" i="11"/>
  <c r="AC28" i="11"/>
  <c r="P35" i="18"/>
  <c r="P69" i="18" s="1"/>
  <c r="AF35" i="18"/>
  <c r="AF69" i="18" s="1"/>
  <c r="AC35" i="18"/>
  <c r="AC69" i="18" s="1"/>
  <c r="Z35" i="18"/>
  <c r="Z69" i="18" s="1"/>
  <c r="W35" i="18"/>
  <c r="W69" i="18" s="1"/>
  <c r="T35" i="18"/>
  <c r="T69" i="18" s="1"/>
  <c r="Q35" i="18"/>
  <c r="Q69" i="18" s="1"/>
  <c r="AG35" i="18"/>
  <c r="AG69" i="18" s="1"/>
  <c r="AD35" i="18"/>
  <c r="AD69" i="18" s="1"/>
  <c r="AA35" i="18"/>
  <c r="AA69" i="18" s="1"/>
  <c r="X35" i="18"/>
  <c r="X69" i="18" s="1"/>
  <c r="U35" i="18"/>
  <c r="U69" i="18" s="1"/>
  <c r="R35" i="18"/>
  <c r="R69" i="18" s="1"/>
  <c r="AH35" i="18"/>
  <c r="O35" i="18"/>
  <c r="O69" i="18" s="1"/>
  <c r="AB35" i="18"/>
  <c r="AB69" i="18" s="1"/>
  <c r="Y35" i="18"/>
  <c r="Y69" i="18" s="1"/>
  <c r="V35" i="18"/>
  <c r="V69" i="18" s="1"/>
  <c r="S35" i="18"/>
  <c r="S69" i="18" s="1"/>
  <c r="AE35" i="18"/>
  <c r="AE69" i="18" s="1"/>
  <c r="L36" i="18"/>
  <c r="P10" i="18"/>
  <c r="Q10" i="18" s="1"/>
  <c r="P14" i="18"/>
  <c r="Q14" i="18" s="1"/>
  <c r="P12" i="18"/>
  <c r="P11" i="18"/>
  <c r="P9" i="18"/>
  <c r="P13" i="18"/>
  <c r="L32" i="11" l="1"/>
  <c r="L34" i="11"/>
  <c r="L33" i="11"/>
  <c r="AH34" i="11"/>
  <c r="AH33" i="11"/>
  <c r="AH32" i="11"/>
  <c r="N32" i="11"/>
  <c r="N34" i="11"/>
  <c r="N33" i="11"/>
  <c r="Y32" i="11"/>
  <c r="Y33" i="11"/>
  <c r="Y34" i="11"/>
  <c r="AN32" i="11"/>
  <c r="AN33" i="11"/>
  <c r="AN34" i="11"/>
  <c r="X34" i="11"/>
  <c r="X32" i="11"/>
  <c r="X33" i="11"/>
  <c r="AM33" i="11"/>
  <c r="AM34" i="11"/>
  <c r="AM32" i="11"/>
  <c r="W32" i="11"/>
  <c r="W33" i="11"/>
  <c r="W34" i="11"/>
  <c r="V33" i="11"/>
  <c r="V32" i="11"/>
  <c r="V34" i="11"/>
  <c r="AC32" i="11"/>
  <c r="AC33" i="11"/>
  <c r="AC34" i="11"/>
  <c r="AB34" i="11"/>
  <c r="AB33" i="11"/>
  <c r="AB32" i="11"/>
  <c r="K32" i="11"/>
  <c r="K33" i="11"/>
  <c r="K34" i="11"/>
  <c r="R34" i="11"/>
  <c r="R32" i="11"/>
  <c r="R33" i="11"/>
  <c r="AK34" i="11"/>
  <c r="AK33" i="11"/>
  <c r="AK32" i="11"/>
  <c r="U34" i="11"/>
  <c r="U33" i="11"/>
  <c r="U32" i="11"/>
  <c r="AJ32" i="11"/>
  <c r="AJ33" i="11"/>
  <c r="AJ34" i="11"/>
  <c r="T32" i="11"/>
  <c r="T34" i="11"/>
  <c r="T33" i="11"/>
  <c r="AI33" i="11"/>
  <c r="AI34" i="11"/>
  <c r="AI32" i="11"/>
  <c r="S34" i="11"/>
  <c r="S33" i="11"/>
  <c r="S32" i="11"/>
  <c r="AD32" i="11"/>
  <c r="AD33" i="11"/>
  <c r="AD34" i="11"/>
  <c r="M34" i="11"/>
  <c r="M32" i="11"/>
  <c r="M33" i="11"/>
  <c r="AA32" i="11"/>
  <c r="AA34" i="11"/>
  <c r="AA33" i="11"/>
  <c r="AL34" i="11"/>
  <c r="AL33" i="11"/>
  <c r="AL32" i="11"/>
  <c r="Z32" i="11"/>
  <c r="Z33" i="11"/>
  <c r="Z34" i="11"/>
  <c r="AG32" i="11"/>
  <c r="AG33" i="11"/>
  <c r="AG34" i="11"/>
  <c r="Q32" i="11"/>
  <c r="Q34" i="11"/>
  <c r="Q33" i="11"/>
  <c r="AF34" i="11"/>
  <c r="AF32" i="11"/>
  <c r="AF33" i="11"/>
  <c r="P33" i="11"/>
  <c r="P32" i="11"/>
  <c r="P34" i="11"/>
  <c r="AE34" i="11"/>
  <c r="AE32" i="11"/>
  <c r="AE33" i="11"/>
  <c r="O34" i="11"/>
  <c r="O32" i="11"/>
  <c r="O33" i="11"/>
  <c r="AH69" i="18"/>
  <c r="U36" i="18"/>
  <c r="U70" i="18" s="1"/>
  <c r="R36" i="18"/>
  <c r="R70" i="18" s="1"/>
  <c r="AE36" i="18"/>
  <c r="AE70" i="18" s="1"/>
  <c r="Y36" i="18"/>
  <c r="Y70" i="18" s="1"/>
  <c r="V36" i="18"/>
  <c r="V70" i="18" s="1"/>
  <c r="S36" i="18"/>
  <c r="S70" i="18" s="1"/>
  <c r="P36" i="18"/>
  <c r="P70" i="18" s="1"/>
  <c r="X36" i="18"/>
  <c r="X70" i="18" s="1"/>
  <c r="AC36" i="18"/>
  <c r="AC70" i="18" s="1"/>
  <c r="Z36" i="18"/>
  <c r="Z70" i="18" s="1"/>
  <c r="W36" i="18"/>
  <c r="W70" i="18" s="1"/>
  <c r="AF36" i="18"/>
  <c r="AF70" i="18" s="1"/>
  <c r="O36" i="18"/>
  <c r="O70" i="18" s="1"/>
  <c r="Q36" i="18"/>
  <c r="Q70" i="18" s="1"/>
  <c r="AG36" i="18"/>
  <c r="AG70" i="18" s="1"/>
  <c r="AD36" i="18"/>
  <c r="AD70" i="18" s="1"/>
  <c r="AA36" i="18"/>
  <c r="AA70" i="18" s="1"/>
  <c r="T36" i="18"/>
  <c r="T70" i="18" s="1"/>
  <c r="AH36" i="18"/>
  <c r="AH70" i="18" s="1"/>
  <c r="AB36" i="18"/>
  <c r="AB70" i="18" s="1"/>
  <c r="L37" i="18"/>
  <c r="R10" i="18"/>
  <c r="Q13" i="18"/>
  <c r="Q11" i="18"/>
  <c r="R14" i="18"/>
  <c r="Q9" i="18"/>
  <c r="Q12" i="18"/>
  <c r="K41" i="11" l="1"/>
  <c r="U39" i="11"/>
  <c r="U42" i="11"/>
  <c r="U38" i="11"/>
  <c r="U40" i="11"/>
  <c r="U41" i="11"/>
  <c r="AB38" i="11"/>
  <c r="AB42" i="11"/>
  <c r="AB39" i="11"/>
  <c r="AB40" i="11"/>
  <c r="AB41" i="11"/>
  <c r="Z42" i="11"/>
  <c r="Z41" i="11"/>
  <c r="Z40" i="11"/>
  <c r="Z39" i="11"/>
  <c r="Z38" i="11"/>
  <c r="R41" i="11"/>
  <c r="R40" i="11"/>
  <c r="R39" i="11"/>
  <c r="R42" i="11"/>
  <c r="R38" i="11"/>
  <c r="W38" i="11"/>
  <c r="W39" i="11"/>
  <c r="W41" i="11"/>
  <c r="W40" i="11"/>
  <c r="W42" i="11"/>
  <c r="Y40" i="11"/>
  <c r="Y39" i="11"/>
  <c r="Y42" i="11"/>
  <c r="Y41" i="11"/>
  <c r="Y38" i="11"/>
  <c r="L38" i="11"/>
  <c r="L41" i="11"/>
  <c r="L39" i="11"/>
  <c r="L42" i="11"/>
  <c r="L40" i="11"/>
  <c r="S41" i="11"/>
  <c r="S39" i="11"/>
  <c r="S40" i="11"/>
  <c r="S42" i="11"/>
  <c r="S38" i="11"/>
  <c r="M42" i="11"/>
  <c r="M41" i="11"/>
  <c r="M40" i="11"/>
  <c r="M38" i="11"/>
  <c r="M39" i="11"/>
  <c r="AJ39" i="11"/>
  <c r="AJ40" i="11"/>
  <c r="AJ38" i="11"/>
  <c r="AJ42" i="11"/>
  <c r="AJ41" i="11"/>
  <c r="O42" i="11"/>
  <c r="O40" i="11"/>
  <c r="O39" i="11"/>
  <c r="O41" i="11"/>
  <c r="O38" i="11"/>
  <c r="P39" i="11"/>
  <c r="P38" i="11"/>
  <c r="P42" i="11"/>
  <c r="P41" i="11"/>
  <c r="P40" i="11"/>
  <c r="Q41" i="11"/>
  <c r="Q40" i="11"/>
  <c r="Q38" i="11"/>
  <c r="Q39" i="11"/>
  <c r="AG39" i="11"/>
  <c r="AG38" i="11"/>
  <c r="AG41" i="11"/>
  <c r="AG42" i="11"/>
  <c r="AG40" i="11"/>
  <c r="AA40" i="11"/>
  <c r="AA42" i="11"/>
  <c r="AA41" i="11"/>
  <c r="AA39" i="11"/>
  <c r="AA38" i="11"/>
  <c r="X42" i="11"/>
  <c r="X39" i="11"/>
  <c r="X41" i="11"/>
  <c r="X40" i="11"/>
  <c r="X38" i="11"/>
  <c r="AN38" i="11"/>
  <c r="AN39" i="11"/>
  <c r="AN40" i="11"/>
  <c r="AN42" i="11"/>
  <c r="AN41" i="11"/>
  <c r="AL42" i="11"/>
  <c r="AL39" i="11"/>
  <c r="AL40" i="11"/>
  <c r="AL41" i="11"/>
  <c r="AL38" i="11"/>
  <c r="AI42" i="11"/>
  <c r="AI40" i="11"/>
  <c r="AI41" i="11"/>
  <c r="AI38" i="11"/>
  <c r="AI39" i="11"/>
  <c r="AE42" i="11"/>
  <c r="AE40" i="11"/>
  <c r="AE38" i="11"/>
  <c r="AE41" i="11"/>
  <c r="AE39" i="11"/>
  <c r="AD38" i="11"/>
  <c r="AD40" i="11"/>
  <c r="AD39" i="11"/>
  <c r="AD42" i="11"/>
  <c r="AD41" i="11"/>
  <c r="T42" i="11"/>
  <c r="T40" i="11"/>
  <c r="T41" i="11"/>
  <c r="T38" i="11"/>
  <c r="T39" i="11"/>
  <c r="K38" i="11"/>
  <c r="K42" i="11"/>
  <c r="K40" i="11"/>
  <c r="K39" i="11"/>
  <c r="AM39" i="11"/>
  <c r="AM38" i="11"/>
  <c r="AM40" i="11"/>
  <c r="AM42" i="11"/>
  <c r="AM41" i="11"/>
  <c r="AF39" i="11"/>
  <c r="AF38" i="11"/>
  <c r="AF42" i="11"/>
  <c r="AF40" i="11"/>
  <c r="AF41" i="11"/>
  <c r="Q42" i="11"/>
  <c r="AK38" i="11"/>
  <c r="AK40" i="11"/>
  <c r="AK41" i="11"/>
  <c r="AK39" i="11"/>
  <c r="AK42" i="11"/>
  <c r="AC42" i="11"/>
  <c r="AC40" i="11"/>
  <c r="AC41" i="11"/>
  <c r="AC39" i="11"/>
  <c r="AC38" i="11"/>
  <c r="V38" i="11"/>
  <c r="V42" i="11"/>
  <c r="V40" i="11"/>
  <c r="V41" i="11"/>
  <c r="V39" i="11"/>
  <c r="N40" i="11"/>
  <c r="N42" i="11"/>
  <c r="N39" i="11"/>
  <c r="N41" i="11"/>
  <c r="N38" i="11"/>
  <c r="AH40" i="11"/>
  <c r="AH39" i="11"/>
  <c r="AH38" i="11"/>
  <c r="AH41" i="11"/>
  <c r="AH42" i="11"/>
  <c r="Z37" i="18"/>
  <c r="Z71" i="18" s="1"/>
  <c r="W37" i="18"/>
  <c r="W71" i="18" s="1"/>
  <c r="T37" i="18"/>
  <c r="T71" i="18" s="1"/>
  <c r="AC37" i="18"/>
  <c r="AC71" i="18" s="1"/>
  <c r="U37" i="18"/>
  <c r="U71" i="18" s="1"/>
  <c r="AD37" i="18"/>
  <c r="AD71" i="18" s="1"/>
  <c r="AA37" i="18"/>
  <c r="AA71" i="18" s="1"/>
  <c r="X37" i="18"/>
  <c r="X71" i="18" s="1"/>
  <c r="O37" i="18"/>
  <c r="O71" i="18" s="1"/>
  <c r="Y37" i="18"/>
  <c r="Y71" i="18" s="1"/>
  <c r="R37" i="18"/>
  <c r="R71" i="18" s="1"/>
  <c r="AH37" i="18"/>
  <c r="AH71" i="18" s="1"/>
  <c r="AE37" i="18"/>
  <c r="AE71" i="18" s="1"/>
  <c r="AB37" i="18"/>
  <c r="AB71" i="18" s="1"/>
  <c r="Q37" i="18"/>
  <c r="Q71" i="18" s="1"/>
  <c r="V37" i="18"/>
  <c r="V71" i="18" s="1"/>
  <c r="S37" i="18"/>
  <c r="S71" i="18" s="1"/>
  <c r="P37" i="18"/>
  <c r="P71" i="18" s="1"/>
  <c r="AF37" i="18"/>
  <c r="AF71" i="18" s="1"/>
  <c r="AG37" i="18"/>
  <c r="AG71" i="18" s="1"/>
  <c r="L38" i="18"/>
  <c r="R12" i="18"/>
  <c r="S14" i="18"/>
  <c r="R9" i="18"/>
  <c r="Q15" i="18"/>
  <c r="R11" i="18"/>
  <c r="S10" i="18"/>
  <c r="R13" i="18"/>
  <c r="AF43" i="11" l="1"/>
  <c r="T43" i="11"/>
  <c r="AJ43" i="11"/>
  <c r="M43" i="11"/>
  <c r="R43" i="11"/>
  <c r="AD43" i="11"/>
  <c r="AN43" i="11"/>
  <c r="S43" i="11"/>
  <c r="N43" i="11"/>
  <c r="AH43" i="11"/>
  <c r="AM43" i="11"/>
  <c r="X43" i="11"/>
  <c r="O43" i="11"/>
  <c r="L43" i="11"/>
  <c r="U43" i="11"/>
  <c r="Q43" i="11"/>
  <c r="AC43" i="11"/>
  <c r="K43" i="11"/>
  <c r="AA43" i="11"/>
  <c r="AG43" i="11"/>
  <c r="Y43" i="11"/>
  <c r="Z43" i="11"/>
  <c r="AB43" i="11"/>
  <c r="V43" i="11"/>
  <c r="AK43" i="11"/>
  <c r="AE43" i="11"/>
  <c r="AI43" i="11"/>
  <c r="AL43" i="11"/>
  <c r="P43" i="11"/>
  <c r="W43" i="11"/>
  <c r="S38" i="18"/>
  <c r="S72" i="18" s="1"/>
  <c r="P38" i="18"/>
  <c r="P72" i="18" s="1"/>
  <c r="AF38" i="18"/>
  <c r="AF72" i="18" s="1"/>
  <c r="AC38" i="18"/>
  <c r="AC72" i="18" s="1"/>
  <c r="O38" i="18"/>
  <c r="O72" i="18" s="1"/>
  <c r="AA38" i="18"/>
  <c r="AA72" i="18" s="1"/>
  <c r="X38" i="18"/>
  <c r="X72" i="18" s="1"/>
  <c r="U38" i="18"/>
  <c r="U72" i="18" s="1"/>
  <c r="Z38" i="18"/>
  <c r="Z72" i="18" s="1"/>
  <c r="AH38" i="18"/>
  <c r="AH72" i="18" s="1"/>
  <c r="AE38" i="18"/>
  <c r="AE72" i="18" s="1"/>
  <c r="Y38" i="18"/>
  <c r="Y72" i="18" s="1"/>
  <c r="V38" i="18"/>
  <c r="V72" i="18" s="1"/>
  <c r="T38" i="18"/>
  <c r="T72" i="18" s="1"/>
  <c r="AG38" i="18"/>
  <c r="AG72" i="18" s="1"/>
  <c r="AB38" i="18"/>
  <c r="AB72" i="18" s="1"/>
  <c r="AD38" i="18"/>
  <c r="AD72" i="18" s="1"/>
  <c r="W38" i="18"/>
  <c r="W72" i="18" s="1"/>
  <c r="Q38" i="18"/>
  <c r="Q72" i="18" s="1"/>
  <c r="R38" i="18"/>
  <c r="R72" i="18" s="1"/>
  <c r="L39" i="18"/>
  <c r="T14" i="18"/>
  <c r="T10" i="18"/>
  <c r="S9" i="18"/>
  <c r="R15" i="18"/>
  <c r="S12" i="18"/>
  <c r="S13" i="18"/>
  <c r="S11" i="18"/>
  <c r="T39" i="18" l="1"/>
  <c r="T73" i="18" s="1"/>
  <c r="P39" i="18"/>
  <c r="P73" i="18" s="1"/>
  <c r="AG39" i="18"/>
  <c r="AG73" i="18" s="1"/>
  <c r="AD39" i="18"/>
  <c r="AD73" i="18" s="1"/>
  <c r="S39" i="18"/>
  <c r="S73" i="18" s="1"/>
  <c r="X39" i="18"/>
  <c r="X73" i="18" s="1"/>
  <c r="U39" i="18"/>
  <c r="U73" i="18" s="1"/>
  <c r="R39" i="18"/>
  <c r="R73" i="18" s="1"/>
  <c r="AH39" i="18"/>
  <c r="AH73" i="18" s="1"/>
  <c r="W39" i="18"/>
  <c r="W73" i="18" s="1"/>
  <c r="AF39" i="18"/>
  <c r="AF73" i="18" s="1"/>
  <c r="AC39" i="18"/>
  <c r="AC73" i="18" s="1"/>
  <c r="Z39" i="18"/>
  <c r="Z73" i="18" s="1"/>
  <c r="AE39" i="18"/>
  <c r="AE73" i="18" s="1"/>
  <c r="AB39" i="18"/>
  <c r="AB73" i="18" s="1"/>
  <c r="AA39" i="18"/>
  <c r="AA73" i="18" s="1"/>
  <c r="Y39" i="18"/>
  <c r="Y73" i="18" s="1"/>
  <c r="O39" i="18"/>
  <c r="O73" i="18" s="1"/>
  <c r="V39" i="18"/>
  <c r="V73" i="18" s="1"/>
  <c r="Q39" i="18"/>
  <c r="Q73" i="18" s="1"/>
  <c r="L40" i="18"/>
  <c r="T11" i="18"/>
  <c r="U10" i="18"/>
  <c r="T13" i="18"/>
  <c r="T12" i="18"/>
  <c r="T9" i="18"/>
  <c r="S15" i="18"/>
  <c r="U14" i="18"/>
  <c r="AB40" i="18" l="1"/>
  <c r="AB74" i="18" s="1"/>
  <c r="Y40" i="18"/>
  <c r="Y74" i="18" s="1"/>
  <c r="V40" i="18"/>
  <c r="V74" i="18" s="1"/>
  <c r="W40" i="18"/>
  <c r="W74" i="18" s="1"/>
  <c r="P40" i="18"/>
  <c r="P74" i="18" s="1"/>
  <c r="AF40" i="18"/>
  <c r="AF74" i="18" s="1"/>
  <c r="AC40" i="18"/>
  <c r="AC74" i="18" s="1"/>
  <c r="Z40" i="18"/>
  <c r="Z74" i="18" s="1"/>
  <c r="AA40" i="18"/>
  <c r="AA74" i="18" s="1"/>
  <c r="AG40" i="18"/>
  <c r="AG74" i="18" s="1"/>
  <c r="AE40" i="18"/>
  <c r="AE74" i="18" s="1"/>
  <c r="T40" i="18"/>
  <c r="T74" i="18" s="1"/>
  <c r="Q40" i="18"/>
  <c r="Q74" i="18" s="1"/>
  <c r="AD40" i="18"/>
  <c r="AD74" i="18" s="1"/>
  <c r="X40" i="18"/>
  <c r="X74" i="18" s="1"/>
  <c r="U40" i="18"/>
  <c r="U74" i="18" s="1"/>
  <c r="R40" i="18"/>
  <c r="R74" i="18" s="1"/>
  <c r="AH40" i="18"/>
  <c r="AH74" i="18" s="1"/>
  <c r="S40" i="18"/>
  <c r="S74" i="18" s="1"/>
  <c r="O40" i="18"/>
  <c r="O74" i="18" s="1"/>
  <c r="L41" i="18"/>
  <c r="U12" i="18"/>
  <c r="V10" i="18"/>
  <c r="U9" i="18"/>
  <c r="T15" i="18"/>
  <c r="V14" i="18"/>
  <c r="U13" i="18"/>
  <c r="U11" i="18"/>
  <c r="AC41" i="18" l="1"/>
  <c r="AC75" i="18" s="1"/>
  <c r="Z41" i="18"/>
  <c r="Z75" i="18" s="1"/>
  <c r="W41" i="18"/>
  <c r="W75" i="18" s="1"/>
  <c r="O41" i="18"/>
  <c r="O75" i="18" s="1"/>
  <c r="AF41" i="18"/>
  <c r="AF75" i="18" s="1"/>
  <c r="U41" i="18"/>
  <c r="U75" i="18" s="1"/>
  <c r="R41" i="18"/>
  <c r="R75" i="18" s="1"/>
  <c r="AH41" i="18"/>
  <c r="AH75" i="18" s="1"/>
  <c r="AE41" i="18"/>
  <c r="AE75" i="18" s="1"/>
  <c r="X41" i="18"/>
  <c r="X75" i="18" s="1"/>
  <c r="Q41" i="18"/>
  <c r="Q75" i="18" s="1"/>
  <c r="AD41" i="18"/>
  <c r="AD75" i="18" s="1"/>
  <c r="P41" i="18"/>
  <c r="P75" i="18" s="1"/>
  <c r="Y41" i="18"/>
  <c r="Y75" i="18" s="1"/>
  <c r="S41" i="18"/>
  <c r="S75" i="18" s="1"/>
  <c r="AB41" i="18"/>
  <c r="AB75" i="18" s="1"/>
  <c r="AG41" i="18"/>
  <c r="AG75" i="18" s="1"/>
  <c r="AA41" i="18"/>
  <c r="AA75" i="18" s="1"/>
  <c r="V41" i="18"/>
  <c r="V75" i="18" s="1"/>
  <c r="T41" i="18"/>
  <c r="T75" i="18" s="1"/>
  <c r="L42" i="18"/>
  <c r="W10" i="18"/>
  <c r="V13" i="18"/>
  <c r="V9" i="18"/>
  <c r="U15" i="18"/>
  <c r="V11" i="18"/>
  <c r="W14" i="18"/>
  <c r="V12" i="18"/>
  <c r="R42" i="18" l="1"/>
  <c r="R76" i="18" s="1"/>
  <c r="AH42" i="18"/>
  <c r="AH76" i="18" s="1"/>
  <c r="AE42" i="18"/>
  <c r="AE76" i="18" s="1"/>
  <c r="AB42" i="18"/>
  <c r="AB76" i="18" s="1"/>
  <c r="O42" i="18"/>
  <c r="O76" i="18" s="1"/>
  <c r="V42" i="18"/>
  <c r="V76" i="18" s="1"/>
  <c r="S42" i="18"/>
  <c r="S76" i="18" s="1"/>
  <c r="P42" i="18"/>
  <c r="P76" i="18" s="1"/>
  <c r="AF42" i="18"/>
  <c r="AF76" i="18" s="1"/>
  <c r="AC42" i="18"/>
  <c r="AC76" i="18" s="1"/>
  <c r="Z42" i="18"/>
  <c r="Z76" i="18" s="1"/>
  <c r="W42" i="18"/>
  <c r="W76" i="18" s="1"/>
  <c r="AD42" i="18"/>
  <c r="AD76" i="18" s="1"/>
  <c r="AA42" i="18"/>
  <c r="AA76" i="18" s="1"/>
  <c r="X42" i="18"/>
  <c r="X76" i="18" s="1"/>
  <c r="AG42" i="18"/>
  <c r="AG76" i="18" s="1"/>
  <c r="Y42" i="18"/>
  <c r="Y76" i="18" s="1"/>
  <c r="T42" i="18"/>
  <c r="T76" i="18" s="1"/>
  <c r="Q42" i="18"/>
  <c r="Q76" i="18" s="1"/>
  <c r="U42" i="18"/>
  <c r="U76" i="18" s="1"/>
  <c r="L43" i="18"/>
  <c r="X14" i="18"/>
  <c r="W13" i="18"/>
  <c r="W9" i="18"/>
  <c r="V15" i="18"/>
  <c r="W12" i="18"/>
  <c r="W11" i="18"/>
  <c r="X10" i="18"/>
  <c r="W43" i="18" l="1"/>
  <c r="W77" i="18" s="1"/>
  <c r="T43" i="18"/>
  <c r="T77" i="18" s="1"/>
  <c r="Q43" i="18"/>
  <c r="Q77" i="18" s="1"/>
  <c r="AG43" i="18"/>
  <c r="AG77" i="18" s="1"/>
  <c r="V43" i="18"/>
  <c r="V77" i="18" s="1"/>
  <c r="AA43" i="18"/>
  <c r="AA77" i="18" s="1"/>
  <c r="X43" i="18"/>
  <c r="X77" i="18" s="1"/>
  <c r="U43" i="18"/>
  <c r="U77" i="18" s="1"/>
  <c r="AD43" i="18"/>
  <c r="AD77" i="18" s="1"/>
  <c r="O43" i="18"/>
  <c r="O77" i="18" s="1"/>
  <c r="AE43" i="18"/>
  <c r="AE77" i="18" s="1"/>
  <c r="AB43" i="18"/>
  <c r="AB77" i="18" s="1"/>
  <c r="Y43" i="18"/>
  <c r="Y77" i="18" s="1"/>
  <c r="R43" i="18"/>
  <c r="R77" i="18" s="1"/>
  <c r="Z43" i="18"/>
  <c r="Z77" i="18" s="1"/>
  <c r="S43" i="18"/>
  <c r="S77" i="18" s="1"/>
  <c r="P43" i="18"/>
  <c r="P77" i="18" s="1"/>
  <c r="AF43" i="18"/>
  <c r="AF77" i="18" s="1"/>
  <c r="AC43" i="18"/>
  <c r="AC77" i="18" s="1"/>
  <c r="AH43" i="18"/>
  <c r="AH77" i="18" s="1"/>
  <c r="L44" i="18"/>
  <c r="X11" i="18"/>
  <c r="X13" i="18"/>
  <c r="Y14" i="18"/>
  <c r="Y10" i="18"/>
  <c r="X12" i="18"/>
  <c r="X9" i="18"/>
  <c r="W15" i="18"/>
  <c r="O4" i="18"/>
  <c r="P4" i="18" s="1"/>
  <c r="Q4" i="18" s="1"/>
  <c r="R4" i="18" s="1"/>
  <c r="S4" i="18" s="1"/>
  <c r="T4" i="18" s="1"/>
  <c r="U4" i="18" s="1"/>
  <c r="V4" i="18" s="1"/>
  <c r="W4" i="18" s="1"/>
  <c r="X4" i="18" s="1"/>
  <c r="Y4" i="18" s="1"/>
  <c r="Z4" i="18" s="1"/>
  <c r="AA4" i="18" s="1"/>
  <c r="AB4" i="18" s="1"/>
  <c r="AC4" i="18" s="1"/>
  <c r="AD4" i="18" s="1"/>
  <c r="AE4" i="18" s="1"/>
  <c r="AF4" i="18" s="1"/>
  <c r="AG4" i="18" s="1"/>
  <c r="AH4" i="18" s="1"/>
  <c r="AI4" i="18" s="1"/>
  <c r="AJ4" i="18" s="1"/>
  <c r="AK4" i="18" s="1"/>
  <c r="AL4" i="18" s="1"/>
  <c r="AM4" i="18" s="1"/>
  <c r="AN4" i="18" s="1"/>
  <c r="AO4" i="18" s="1"/>
  <c r="AP4" i="18" s="1"/>
  <c r="AQ4" i="18" s="1"/>
  <c r="O8" i="18"/>
  <c r="P8" i="18" s="1"/>
  <c r="Q8" i="18" s="1"/>
  <c r="R8" i="18" s="1"/>
  <c r="S8" i="18" s="1"/>
  <c r="T8" i="18" s="1"/>
  <c r="U8" i="18" s="1"/>
  <c r="V8" i="18" s="1"/>
  <c r="W8" i="18" s="1"/>
  <c r="X8" i="18" s="1"/>
  <c r="Y8" i="18" s="1"/>
  <c r="Z8" i="18" s="1"/>
  <c r="AA8" i="18" s="1"/>
  <c r="AB8" i="18" s="1"/>
  <c r="AC8" i="18" s="1"/>
  <c r="AD8" i="18" s="1"/>
  <c r="AE8" i="18" s="1"/>
  <c r="AF8" i="18" s="1"/>
  <c r="AG8" i="18" s="1"/>
  <c r="AH8" i="18" s="1"/>
  <c r="AI8" i="18" s="1"/>
  <c r="AJ8" i="18" s="1"/>
  <c r="AK8" i="18" s="1"/>
  <c r="AL8" i="18" s="1"/>
  <c r="AM8" i="18" s="1"/>
  <c r="AN8" i="18" s="1"/>
  <c r="AO8" i="18" s="1"/>
  <c r="AP8" i="18" s="1"/>
  <c r="AQ8" i="18" s="1"/>
  <c r="DW185" i="16"/>
  <c r="DO185" i="16"/>
  <c r="DG185" i="16"/>
  <c r="M90" i="16"/>
  <c r="M86" i="16"/>
  <c r="M87" i="16"/>
  <c r="N87" i="16" s="1"/>
  <c r="O87" i="16" s="1"/>
  <c r="P87" i="16" s="1"/>
  <c r="Q87" i="16" s="1"/>
  <c r="R87" i="16" s="1"/>
  <c r="S87" i="16" s="1"/>
  <c r="T87" i="16" s="1"/>
  <c r="U87" i="16" s="1"/>
  <c r="V87" i="16" s="1"/>
  <c r="W87" i="16" s="1"/>
  <c r="X87" i="16" s="1"/>
  <c r="Y87" i="16" s="1"/>
  <c r="Z87" i="16" s="1"/>
  <c r="AA87" i="16" s="1"/>
  <c r="AB87" i="16" s="1"/>
  <c r="AC87" i="16" s="1"/>
  <c r="AD87" i="16" s="1"/>
  <c r="AE87" i="16" s="1"/>
  <c r="AF87" i="16" s="1"/>
  <c r="M88" i="16"/>
  <c r="M81" i="16" s="1"/>
  <c r="M89" i="16"/>
  <c r="N89" i="16" s="1"/>
  <c r="O89" i="16" s="1"/>
  <c r="P89" i="16" s="1"/>
  <c r="Q89" i="16" s="1"/>
  <c r="R89" i="16" s="1"/>
  <c r="S89" i="16" s="1"/>
  <c r="T89" i="16" s="1"/>
  <c r="U89" i="16" s="1"/>
  <c r="V89" i="16" s="1"/>
  <c r="W89" i="16" s="1"/>
  <c r="X89" i="16" s="1"/>
  <c r="Y89" i="16" s="1"/>
  <c r="Z89" i="16" s="1"/>
  <c r="AA89" i="16" s="1"/>
  <c r="AB89" i="16" s="1"/>
  <c r="AC89" i="16" s="1"/>
  <c r="AD89" i="16" s="1"/>
  <c r="AE89" i="16" s="1"/>
  <c r="AF89" i="16" s="1"/>
  <c r="B86" i="16"/>
  <c r="B87" i="16"/>
  <c r="B88" i="16"/>
  <c r="B89" i="16"/>
  <c r="C89" i="16" s="1"/>
  <c r="D89" i="16" s="1"/>
  <c r="E89" i="16" s="1"/>
  <c r="F89" i="16" s="1"/>
  <c r="G89" i="16" s="1"/>
  <c r="H89" i="16" s="1"/>
  <c r="I89" i="16" s="1"/>
  <c r="J89" i="16" s="1"/>
  <c r="K89" i="16" s="1"/>
  <c r="L89" i="16" s="1"/>
  <c r="B90" i="16"/>
  <c r="C90" i="16" s="1"/>
  <c r="D90" i="16" s="1"/>
  <c r="E90" i="16" s="1"/>
  <c r="F90" i="16" s="1"/>
  <c r="G90" i="16" s="1"/>
  <c r="H90" i="16" s="1"/>
  <c r="I90" i="16" s="1"/>
  <c r="J90" i="16" s="1"/>
  <c r="K90" i="16" s="1"/>
  <c r="L90" i="16" s="1"/>
  <c r="M85" i="16"/>
  <c r="M78" i="16" s="1"/>
  <c r="B85" i="16"/>
  <c r="C85" i="16" s="1"/>
  <c r="N88" i="16"/>
  <c r="O88" i="16" s="1"/>
  <c r="P88" i="16" s="1"/>
  <c r="Q88" i="16" s="1"/>
  <c r="R88" i="16" s="1"/>
  <c r="S88" i="16" s="1"/>
  <c r="T88" i="16" s="1"/>
  <c r="U88" i="16" s="1"/>
  <c r="V88" i="16" s="1"/>
  <c r="W88" i="16" s="1"/>
  <c r="X88" i="16" s="1"/>
  <c r="Y88" i="16" s="1"/>
  <c r="Z88" i="16" s="1"/>
  <c r="AA88" i="16" s="1"/>
  <c r="AB88" i="16" s="1"/>
  <c r="AC88" i="16" s="1"/>
  <c r="AD88" i="16" s="1"/>
  <c r="AE88" i="16" s="1"/>
  <c r="AF88" i="16" s="1"/>
  <c r="N90" i="16"/>
  <c r="O90" i="16" s="1"/>
  <c r="P90" i="16" s="1"/>
  <c r="Q90" i="16" s="1"/>
  <c r="R90" i="16" s="1"/>
  <c r="S90" i="16" s="1"/>
  <c r="T90" i="16" s="1"/>
  <c r="U90" i="16" s="1"/>
  <c r="V90" i="16" s="1"/>
  <c r="W90" i="16" s="1"/>
  <c r="X90" i="16" s="1"/>
  <c r="Y90" i="16" s="1"/>
  <c r="Z90" i="16" s="1"/>
  <c r="AA90" i="16" s="1"/>
  <c r="AB90" i="16" s="1"/>
  <c r="AC90" i="16" s="1"/>
  <c r="AD90" i="16" s="1"/>
  <c r="AE90" i="16" s="1"/>
  <c r="AF90" i="16" s="1"/>
  <c r="C87" i="16"/>
  <c r="D87" i="16" s="1"/>
  <c r="E87" i="16" s="1"/>
  <c r="F87" i="16" s="1"/>
  <c r="G87" i="16" s="1"/>
  <c r="H87" i="16" s="1"/>
  <c r="I87" i="16" s="1"/>
  <c r="J87" i="16" s="1"/>
  <c r="K87" i="16" s="1"/>
  <c r="L87" i="16" s="1"/>
  <c r="A90" i="16"/>
  <c r="A86" i="16"/>
  <c r="A87" i="16"/>
  <c r="A88" i="16"/>
  <c r="A89" i="16"/>
  <c r="A85" i="16"/>
  <c r="D77" i="16"/>
  <c r="E77" i="16" s="1"/>
  <c r="F77" i="16" s="1"/>
  <c r="G77" i="16" s="1"/>
  <c r="H77" i="16" s="1"/>
  <c r="I77" i="16" s="1"/>
  <c r="J77" i="16" s="1"/>
  <c r="K77" i="16" s="1"/>
  <c r="L77" i="16" s="1"/>
  <c r="M77" i="16" s="1"/>
  <c r="N77" i="16" s="1"/>
  <c r="O77" i="16" s="1"/>
  <c r="P77" i="16" s="1"/>
  <c r="Q77" i="16" s="1"/>
  <c r="R77" i="16" s="1"/>
  <c r="S77" i="16" s="1"/>
  <c r="T77" i="16" s="1"/>
  <c r="U77" i="16" s="1"/>
  <c r="V77" i="16" s="1"/>
  <c r="W77" i="16" s="1"/>
  <c r="X77" i="16" s="1"/>
  <c r="Y77" i="16" s="1"/>
  <c r="Z77" i="16" s="1"/>
  <c r="AA77" i="16" s="1"/>
  <c r="AB77" i="16" s="1"/>
  <c r="AC77" i="16" s="1"/>
  <c r="AD77" i="16" s="1"/>
  <c r="AE77" i="16" s="1"/>
  <c r="AF77" i="16" s="1"/>
  <c r="C77" i="16"/>
  <c r="AC44" i="18" l="1"/>
  <c r="AC78" i="18" s="1"/>
  <c r="Z44" i="18"/>
  <c r="Z78" i="18" s="1"/>
  <c r="S44" i="18"/>
  <c r="S78" i="18" s="1"/>
  <c r="AF44" i="18"/>
  <c r="AF78" i="18" s="1"/>
  <c r="AB44" i="18"/>
  <c r="AB78" i="18" s="1"/>
  <c r="AG44" i="18"/>
  <c r="AG78" i="18" s="1"/>
  <c r="AD44" i="18"/>
  <c r="AD78" i="18" s="1"/>
  <c r="W44" i="18"/>
  <c r="W78" i="18" s="1"/>
  <c r="T44" i="18"/>
  <c r="T78" i="18" s="1"/>
  <c r="U44" i="18"/>
  <c r="U78" i="18" s="1"/>
  <c r="R44" i="18"/>
  <c r="R78" i="18" s="1"/>
  <c r="AH44" i="18"/>
  <c r="AH78" i="18" s="1"/>
  <c r="AA44" i="18"/>
  <c r="AA78" i="18" s="1"/>
  <c r="X44" i="18"/>
  <c r="X78" i="18" s="1"/>
  <c r="O44" i="18"/>
  <c r="O78" i="18" s="1"/>
  <c r="Y44" i="18"/>
  <c r="Y78" i="18" s="1"/>
  <c r="V44" i="18"/>
  <c r="V78" i="18" s="1"/>
  <c r="Q44" i="18"/>
  <c r="Q78" i="18" s="1"/>
  <c r="AE44" i="18"/>
  <c r="AE78" i="18" s="1"/>
  <c r="P44" i="18"/>
  <c r="P78" i="18" s="1"/>
  <c r="L45" i="18"/>
  <c r="DY185" i="16"/>
  <c r="Y13" i="18"/>
  <c r="Y12" i="18"/>
  <c r="Z14" i="18"/>
  <c r="Y9" i="18"/>
  <c r="X15" i="18"/>
  <c r="Z10" i="18"/>
  <c r="Y11" i="18"/>
  <c r="DZ185" i="16"/>
  <c r="C83" i="16"/>
  <c r="D83" i="16" s="1"/>
  <c r="E83" i="16" s="1"/>
  <c r="F83" i="16" s="1"/>
  <c r="G83" i="16" s="1"/>
  <c r="H83" i="16" s="1"/>
  <c r="I83" i="16" s="1"/>
  <c r="J83" i="16" s="1"/>
  <c r="K83" i="16" s="1"/>
  <c r="M83" i="16"/>
  <c r="N83" i="16" s="1"/>
  <c r="O83" i="16" s="1"/>
  <c r="P83" i="16" s="1"/>
  <c r="Q83" i="16" s="1"/>
  <c r="R83" i="16" s="1"/>
  <c r="S83" i="16" s="1"/>
  <c r="T83" i="16" s="1"/>
  <c r="U83" i="16" s="1"/>
  <c r="N81" i="16"/>
  <c r="O81" i="16" s="1"/>
  <c r="P81" i="16" s="1"/>
  <c r="Q81" i="16" s="1"/>
  <c r="R81" i="16" s="1"/>
  <c r="S81" i="16" s="1"/>
  <c r="T81" i="16" s="1"/>
  <c r="U81" i="16" s="1"/>
  <c r="W83" i="16"/>
  <c r="X83" i="16" s="1"/>
  <c r="Y83" i="16" s="1"/>
  <c r="Z83" i="16" s="1"/>
  <c r="AA83" i="16" s="1"/>
  <c r="AB83" i="16" s="1"/>
  <c r="AC83" i="16" s="1"/>
  <c r="AD83" i="16" s="1"/>
  <c r="AE83" i="16" s="1"/>
  <c r="AF83" i="16" s="1"/>
  <c r="DV185" i="16"/>
  <c r="DU185" i="16"/>
  <c r="DX185" i="16"/>
  <c r="M79" i="16"/>
  <c r="N86" i="16"/>
  <c r="O86" i="16" s="1"/>
  <c r="P86" i="16" s="1"/>
  <c r="Q86" i="16" s="1"/>
  <c r="R86" i="16" s="1"/>
  <c r="S86" i="16" s="1"/>
  <c r="T86" i="16" s="1"/>
  <c r="U86" i="16" s="1"/>
  <c r="V86" i="16" s="1"/>
  <c r="W86" i="16" s="1"/>
  <c r="X86" i="16" s="1"/>
  <c r="Y86" i="16" s="1"/>
  <c r="Z86" i="16" s="1"/>
  <c r="AA86" i="16" s="1"/>
  <c r="AB86" i="16" s="1"/>
  <c r="AC86" i="16" s="1"/>
  <c r="AD86" i="16" s="1"/>
  <c r="AE86" i="16" s="1"/>
  <c r="AF86" i="16" s="1"/>
  <c r="W81" i="16"/>
  <c r="X81" i="16" s="1"/>
  <c r="Y81" i="16" s="1"/>
  <c r="Z81" i="16" s="1"/>
  <c r="AA81" i="16" s="1"/>
  <c r="AB81" i="16" s="1"/>
  <c r="AC81" i="16" s="1"/>
  <c r="AD81" i="16" s="1"/>
  <c r="AE81" i="16" s="1"/>
  <c r="AF81" i="16" s="1"/>
  <c r="DQ185" i="16"/>
  <c r="DM185" i="16"/>
  <c r="DR185" i="16"/>
  <c r="C80" i="16"/>
  <c r="D80" i="16" s="1"/>
  <c r="W80" i="16"/>
  <c r="X80" i="16" s="1"/>
  <c r="Y80" i="16" s="1"/>
  <c r="Z80" i="16" s="1"/>
  <c r="AA80" i="16" s="1"/>
  <c r="AB80" i="16" s="1"/>
  <c r="AC80" i="16" s="1"/>
  <c r="AD80" i="16" s="1"/>
  <c r="AE80" i="16" s="1"/>
  <c r="AF80" i="16" s="1"/>
  <c r="DN185" i="16"/>
  <c r="DT185" i="16"/>
  <c r="M80" i="16"/>
  <c r="N80" i="16" s="1"/>
  <c r="O80" i="16" s="1"/>
  <c r="P80" i="16" s="1"/>
  <c r="Q80" i="16" s="1"/>
  <c r="R80" i="16" s="1"/>
  <c r="S80" i="16" s="1"/>
  <c r="T80" i="16" s="1"/>
  <c r="U80" i="16" s="1"/>
  <c r="DL185" i="16"/>
  <c r="C82" i="16"/>
  <c r="D82" i="16" s="1"/>
  <c r="M82" i="16"/>
  <c r="N82" i="16" s="1"/>
  <c r="O82" i="16" s="1"/>
  <c r="P82" i="16" s="1"/>
  <c r="Q82" i="16" s="1"/>
  <c r="R82" i="16" s="1"/>
  <c r="S82" i="16" s="1"/>
  <c r="T82" i="16" s="1"/>
  <c r="U82" i="16" s="1"/>
  <c r="W82" i="16"/>
  <c r="X82" i="16" s="1"/>
  <c r="Y82" i="16" s="1"/>
  <c r="Z82" i="16" s="1"/>
  <c r="AA82" i="16" s="1"/>
  <c r="AB82" i="16" s="1"/>
  <c r="AC82" i="16" s="1"/>
  <c r="AD82" i="16" s="1"/>
  <c r="AE82" i="16" s="1"/>
  <c r="AF82" i="16" s="1"/>
  <c r="W79" i="16"/>
  <c r="X79" i="16" s="1"/>
  <c r="Y79" i="16" s="1"/>
  <c r="Z79" i="16" s="1"/>
  <c r="AA79" i="16" s="1"/>
  <c r="AB79" i="16" s="1"/>
  <c r="AC79" i="16" s="1"/>
  <c r="AD79" i="16" s="1"/>
  <c r="AE79" i="16" s="1"/>
  <c r="AF79" i="16" s="1"/>
  <c r="N85" i="16"/>
  <c r="O85" i="16" s="1"/>
  <c r="P85" i="16" s="1"/>
  <c r="Q85" i="16" s="1"/>
  <c r="R85" i="16" s="1"/>
  <c r="S85" i="16" s="1"/>
  <c r="T85" i="16" s="1"/>
  <c r="U85" i="16" s="1"/>
  <c r="V85" i="16" s="1"/>
  <c r="W85" i="16" s="1"/>
  <c r="D85" i="16"/>
  <c r="C78" i="16"/>
  <c r="P45" i="18" l="1"/>
  <c r="P79" i="18" s="1"/>
  <c r="AF45" i="18"/>
  <c r="AF79" i="18" s="1"/>
  <c r="AC45" i="18"/>
  <c r="AC79" i="18" s="1"/>
  <c r="Z45" i="18"/>
  <c r="Z79" i="18" s="1"/>
  <c r="O45" i="18"/>
  <c r="O79" i="18" s="1"/>
  <c r="T45" i="18"/>
  <c r="T79" i="18" s="1"/>
  <c r="Q45" i="18"/>
  <c r="Q79" i="18" s="1"/>
  <c r="AG45" i="18"/>
  <c r="AG79" i="18" s="1"/>
  <c r="AD45" i="18"/>
  <c r="AD79" i="18" s="1"/>
  <c r="W45" i="18"/>
  <c r="W79" i="18" s="1"/>
  <c r="X45" i="18"/>
  <c r="X79" i="18" s="1"/>
  <c r="U45" i="18"/>
  <c r="U79" i="18" s="1"/>
  <c r="R45" i="18"/>
  <c r="R79" i="18" s="1"/>
  <c r="AH45" i="18"/>
  <c r="AH79" i="18" s="1"/>
  <c r="AE45" i="18"/>
  <c r="AE79" i="18" s="1"/>
  <c r="AB45" i="18"/>
  <c r="AB79" i="18" s="1"/>
  <c r="Y45" i="18"/>
  <c r="Y79" i="18" s="1"/>
  <c r="V45" i="18"/>
  <c r="V79" i="18" s="1"/>
  <c r="AA45" i="18"/>
  <c r="AA79" i="18" s="1"/>
  <c r="S45" i="18"/>
  <c r="S79" i="18" s="1"/>
  <c r="L46" i="18"/>
  <c r="DJ185" i="16"/>
  <c r="N79" i="16"/>
  <c r="O79" i="16" s="1"/>
  <c r="P79" i="16" s="1"/>
  <c r="Q79" i="16" s="1"/>
  <c r="R79" i="16" s="1"/>
  <c r="S79" i="16" s="1"/>
  <c r="T79" i="16" s="1"/>
  <c r="U79" i="16" s="1"/>
  <c r="AA10" i="18"/>
  <c r="Z12" i="18"/>
  <c r="AA14" i="18"/>
  <c r="Z13" i="18"/>
  <c r="Z9" i="18"/>
  <c r="Y15" i="18"/>
  <c r="Z11" i="18"/>
  <c r="X85" i="16"/>
  <c r="Y85" i="16" s="1"/>
  <c r="Z85" i="16" s="1"/>
  <c r="AA85" i="16" s="1"/>
  <c r="AB85" i="16" s="1"/>
  <c r="AC85" i="16" s="1"/>
  <c r="AD85" i="16" s="1"/>
  <c r="AE85" i="16" s="1"/>
  <c r="AF85" i="16" s="1"/>
  <c r="W78" i="16"/>
  <c r="X78" i="16" s="1"/>
  <c r="Y78" i="16" s="1"/>
  <c r="Z78" i="16" s="1"/>
  <c r="AA78" i="16" s="1"/>
  <c r="AB78" i="16" s="1"/>
  <c r="AC78" i="16" s="1"/>
  <c r="AD78" i="16" s="1"/>
  <c r="AE78" i="16" s="1"/>
  <c r="AF78" i="16" s="1"/>
  <c r="DF185" i="16"/>
  <c r="DE185" i="16"/>
  <c r="E85" i="16"/>
  <c r="F85" i="16" s="1"/>
  <c r="G85" i="16" s="1"/>
  <c r="H85" i="16" s="1"/>
  <c r="I85" i="16" s="1"/>
  <c r="J85" i="16" s="1"/>
  <c r="K85" i="16" s="1"/>
  <c r="L85" i="16" s="1"/>
  <c r="DD185" i="16"/>
  <c r="D78" i="16"/>
  <c r="DI185" i="16"/>
  <c r="DS185" i="16"/>
  <c r="E82" i="16"/>
  <c r="F82" i="16" s="1"/>
  <c r="G82" i="16" s="1"/>
  <c r="H82" i="16" s="1"/>
  <c r="I82" i="16" s="1"/>
  <c r="J82" i="16" s="1"/>
  <c r="K82" i="16" s="1"/>
  <c r="E80" i="16"/>
  <c r="F80" i="16" s="1"/>
  <c r="G80" i="16" s="1"/>
  <c r="H80" i="16" s="1"/>
  <c r="I80" i="16" s="1"/>
  <c r="J80" i="16" s="1"/>
  <c r="K80" i="16" s="1"/>
  <c r="DK185" i="16"/>
  <c r="N78" i="16"/>
  <c r="O78" i="16" s="1"/>
  <c r="P78" i="16" s="1"/>
  <c r="Q78" i="16" s="1"/>
  <c r="R78" i="16" s="1"/>
  <c r="S78" i="16" s="1"/>
  <c r="T78" i="16" s="1"/>
  <c r="U78" i="16" s="1"/>
  <c r="Y46" i="18" l="1"/>
  <c r="Y80" i="18" s="1"/>
  <c r="V46" i="18"/>
  <c r="V80" i="18" s="1"/>
  <c r="S46" i="18"/>
  <c r="S80" i="18" s="1"/>
  <c r="X46" i="18"/>
  <c r="X80" i="18" s="1"/>
  <c r="AF46" i="18"/>
  <c r="AF80" i="18" s="1"/>
  <c r="AC46" i="18"/>
  <c r="AC80" i="18" s="1"/>
  <c r="Z46" i="18"/>
  <c r="Z80" i="18" s="1"/>
  <c r="W46" i="18"/>
  <c r="W80" i="18" s="1"/>
  <c r="O46" i="18"/>
  <c r="O80" i="18" s="1"/>
  <c r="T46" i="18"/>
  <c r="T80" i="18" s="1"/>
  <c r="Q46" i="18"/>
  <c r="Q80" i="18" s="1"/>
  <c r="AG46" i="18"/>
  <c r="AG80" i="18" s="1"/>
  <c r="AD46" i="18"/>
  <c r="AD80" i="18" s="1"/>
  <c r="AA46" i="18"/>
  <c r="AA80" i="18" s="1"/>
  <c r="AB46" i="18"/>
  <c r="AB80" i="18" s="1"/>
  <c r="U46" i="18"/>
  <c r="U80" i="18" s="1"/>
  <c r="R46" i="18"/>
  <c r="R80" i="18" s="1"/>
  <c r="AH46" i="18"/>
  <c r="AH80" i="18" s="1"/>
  <c r="AE46" i="18"/>
  <c r="AE80" i="18" s="1"/>
  <c r="P46" i="18"/>
  <c r="P80" i="18" s="1"/>
  <c r="L47" i="18"/>
  <c r="AA11" i="18"/>
  <c r="AA12" i="18"/>
  <c r="AA13" i="18"/>
  <c r="AA9" i="18"/>
  <c r="Z15" i="18"/>
  <c r="AB14" i="18"/>
  <c r="AB10" i="18"/>
  <c r="E78" i="16"/>
  <c r="F78" i="16" s="1"/>
  <c r="G78" i="16" s="1"/>
  <c r="H78" i="16" s="1"/>
  <c r="I78" i="16" s="1"/>
  <c r="J78" i="16" s="1"/>
  <c r="K78" i="16" s="1"/>
  <c r="DC185" i="16"/>
  <c r="C41" i="10"/>
  <c r="D41" i="10"/>
  <c r="B41" i="10"/>
  <c r="A3" i="11"/>
  <c r="C3" i="12"/>
  <c r="BC42" i="10"/>
  <c r="Z47" i="18" l="1"/>
  <c r="Z81" i="18" s="1"/>
  <c r="W47" i="18"/>
  <c r="W81" i="18" s="1"/>
  <c r="T47" i="18"/>
  <c r="T81" i="18" s="1"/>
  <c r="U47" i="18"/>
  <c r="U81" i="18" s="1"/>
  <c r="AC47" i="18"/>
  <c r="AC81" i="18" s="1"/>
  <c r="AD47" i="18"/>
  <c r="AD81" i="18" s="1"/>
  <c r="AA47" i="18"/>
  <c r="AA81" i="18" s="1"/>
  <c r="X47" i="18"/>
  <c r="X81" i="18" s="1"/>
  <c r="AG47" i="18"/>
  <c r="AG81" i="18" s="1"/>
  <c r="O47" i="18"/>
  <c r="O81" i="18" s="1"/>
  <c r="R47" i="18"/>
  <c r="R81" i="18" s="1"/>
  <c r="AH47" i="18"/>
  <c r="AH81" i="18" s="1"/>
  <c r="AE47" i="18"/>
  <c r="AE81" i="18" s="1"/>
  <c r="AB47" i="18"/>
  <c r="AB81" i="18" s="1"/>
  <c r="Y47" i="18"/>
  <c r="Y81" i="18" s="1"/>
  <c r="V47" i="18"/>
  <c r="V81" i="18" s="1"/>
  <c r="S47" i="18"/>
  <c r="S81" i="18" s="1"/>
  <c r="P47" i="18"/>
  <c r="P81" i="18" s="1"/>
  <c r="AF47" i="18"/>
  <c r="AF81" i="18" s="1"/>
  <c r="Q47" i="18"/>
  <c r="Q81" i="18" s="1"/>
  <c r="L48" i="18"/>
  <c r="AN113" i="11"/>
  <c r="AJ113" i="11"/>
  <c r="AF113" i="11"/>
  <c r="AM113" i="11"/>
  <c r="AI113" i="11"/>
  <c r="AE113" i="11"/>
  <c r="AK113" i="11"/>
  <c r="AL113" i="11"/>
  <c r="AH113" i="11"/>
  <c r="AG113" i="11"/>
  <c r="T113" i="11"/>
  <c r="P113" i="11"/>
  <c r="K113" i="11"/>
  <c r="S113" i="11"/>
  <c r="O113" i="11"/>
  <c r="L113" i="11"/>
  <c r="Q113" i="11"/>
  <c r="R113" i="11"/>
  <c r="N113" i="11"/>
  <c r="M113" i="11"/>
  <c r="AB113" i="11"/>
  <c r="X113" i="11"/>
  <c r="AA113" i="11"/>
  <c r="W113" i="11"/>
  <c r="Y113" i="11"/>
  <c r="AC113" i="11"/>
  <c r="AD113" i="11"/>
  <c r="Z113" i="11"/>
  <c r="V113" i="11"/>
  <c r="U113" i="11"/>
  <c r="AB9" i="18"/>
  <c r="AA15" i="18"/>
  <c r="AC14" i="18"/>
  <c r="AB12" i="18"/>
  <c r="AB13" i="18"/>
  <c r="AC10" i="18"/>
  <c r="AB11" i="18"/>
  <c r="C35" i="16"/>
  <c r="T185" i="16" s="1"/>
  <c r="C34" i="16"/>
  <c r="S185" i="16" s="1"/>
  <c r="C33" i="16"/>
  <c r="R185" i="16" s="1"/>
  <c r="C32" i="16"/>
  <c r="Q185" i="16" s="1"/>
  <c r="C31" i="16"/>
  <c r="P185" i="16" s="1"/>
  <c r="S48" i="18" l="1"/>
  <c r="S82" i="18" s="1"/>
  <c r="P48" i="18"/>
  <c r="P82" i="18" s="1"/>
  <c r="Y48" i="18"/>
  <c r="Y82" i="18" s="1"/>
  <c r="AB48" i="18"/>
  <c r="AB82" i="18" s="1"/>
  <c r="X48" i="18"/>
  <c r="X82" i="18" s="1"/>
  <c r="W48" i="18"/>
  <c r="W82" i="18" s="1"/>
  <c r="T48" i="18"/>
  <c r="T82" i="18" s="1"/>
  <c r="AC48" i="18"/>
  <c r="AC82" i="18" s="1"/>
  <c r="AH48" i="18"/>
  <c r="AH82" i="18" s="1"/>
  <c r="AF48" i="18"/>
  <c r="AF82" i="18" s="1"/>
  <c r="AA48" i="18"/>
  <c r="AA82" i="18" s="1"/>
  <c r="Q48" i="18"/>
  <c r="Q82" i="18" s="1"/>
  <c r="AG48" i="18"/>
  <c r="AG82" i="18" s="1"/>
  <c r="V48" i="18"/>
  <c r="V82" i="18" s="1"/>
  <c r="Z48" i="18"/>
  <c r="Z82" i="18" s="1"/>
  <c r="AE48" i="18"/>
  <c r="AE82" i="18" s="1"/>
  <c r="U48" i="18"/>
  <c r="U82" i="18" s="1"/>
  <c r="R48" i="18"/>
  <c r="R82" i="18" s="1"/>
  <c r="AD48" i="18"/>
  <c r="AD82" i="18" s="1"/>
  <c r="O48" i="18"/>
  <c r="O82" i="18" s="1"/>
  <c r="L49" i="18"/>
  <c r="AD14" i="18"/>
  <c r="AD10" i="18"/>
  <c r="AC12" i="18"/>
  <c r="AC13" i="18"/>
  <c r="AC11" i="18"/>
  <c r="AC9" i="18"/>
  <c r="AB15" i="18"/>
  <c r="A185" i="16"/>
  <c r="K185" i="16"/>
  <c r="B25" i="16"/>
  <c r="J185" i="16" s="1"/>
  <c r="X28" i="16"/>
  <c r="Y28" i="16"/>
  <c r="Z28" i="16"/>
  <c r="AA28" i="16"/>
  <c r="AB28" i="16"/>
  <c r="AC28" i="16"/>
  <c r="AD28" i="16"/>
  <c r="AE28" i="16"/>
  <c r="AF28" i="16"/>
  <c r="W28" i="16"/>
  <c r="N28" i="16"/>
  <c r="O28" i="16"/>
  <c r="P28" i="16"/>
  <c r="Q28" i="16"/>
  <c r="R28" i="16"/>
  <c r="S28" i="16"/>
  <c r="T28" i="16"/>
  <c r="U28" i="16"/>
  <c r="V28" i="16"/>
  <c r="M28" i="16"/>
  <c r="D28" i="16"/>
  <c r="E28" i="16"/>
  <c r="F28" i="16"/>
  <c r="G28" i="16"/>
  <c r="H28" i="16"/>
  <c r="I28" i="16"/>
  <c r="J28" i="16"/>
  <c r="K28" i="16"/>
  <c r="L28" i="16"/>
  <c r="C28" i="16"/>
  <c r="C27" i="16"/>
  <c r="B11" i="16"/>
  <c r="F185" i="16" s="1"/>
  <c r="X13" i="16"/>
  <c r="Y13" i="16"/>
  <c r="Z13" i="16"/>
  <c r="AA13" i="16"/>
  <c r="AB13" i="16"/>
  <c r="AC13" i="16"/>
  <c r="AD13" i="16"/>
  <c r="AE13" i="16"/>
  <c r="AF13" i="16"/>
  <c r="W13" i="16"/>
  <c r="N13" i="16"/>
  <c r="O13" i="16"/>
  <c r="P13" i="16"/>
  <c r="Q13" i="16"/>
  <c r="R13" i="16"/>
  <c r="S13" i="16"/>
  <c r="T13" i="16"/>
  <c r="U13" i="16"/>
  <c r="V13" i="16"/>
  <c r="M13" i="16"/>
  <c r="D13" i="16"/>
  <c r="E13" i="16"/>
  <c r="F13" i="16"/>
  <c r="G13" i="16"/>
  <c r="H13" i="16"/>
  <c r="I13" i="16"/>
  <c r="J13" i="16"/>
  <c r="K13" i="16"/>
  <c r="L13" i="16"/>
  <c r="C13" i="16"/>
  <c r="C14" i="16" s="1"/>
  <c r="D12" i="16"/>
  <c r="D27" i="16" s="1"/>
  <c r="X8" i="16"/>
  <c r="Y8" i="16"/>
  <c r="Z8" i="16"/>
  <c r="AA8" i="16"/>
  <c r="AB8" i="16"/>
  <c r="AC8" i="16"/>
  <c r="AD8" i="16"/>
  <c r="AE8" i="16"/>
  <c r="AF8" i="16"/>
  <c r="W8" i="16"/>
  <c r="N8" i="16"/>
  <c r="O8" i="16"/>
  <c r="P8" i="16"/>
  <c r="Q8" i="16"/>
  <c r="R8" i="16"/>
  <c r="S8" i="16"/>
  <c r="T8" i="16"/>
  <c r="U8" i="16"/>
  <c r="V8" i="16"/>
  <c r="M8" i="16"/>
  <c r="F8" i="16"/>
  <c r="G8" i="16"/>
  <c r="H8" i="16"/>
  <c r="I8" i="16"/>
  <c r="J8" i="16"/>
  <c r="K8" i="16"/>
  <c r="L8" i="16"/>
  <c r="E8" i="16"/>
  <c r="D8" i="16"/>
  <c r="C8" i="16"/>
  <c r="D7" i="16"/>
  <c r="E7" i="16" s="1"/>
  <c r="F7" i="16" s="1"/>
  <c r="G7" i="16" s="1"/>
  <c r="H7" i="16" s="1"/>
  <c r="I7" i="16" s="1"/>
  <c r="J7" i="16" s="1"/>
  <c r="K7" i="16" s="1"/>
  <c r="L7" i="16" s="1"/>
  <c r="M7" i="16" s="1"/>
  <c r="N7" i="16" s="1"/>
  <c r="O7" i="16" s="1"/>
  <c r="P7" i="16" s="1"/>
  <c r="Q7" i="16" s="1"/>
  <c r="R7" i="16" s="1"/>
  <c r="S7" i="16" s="1"/>
  <c r="T7" i="16" s="1"/>
  <c r="U7" i="16" s="1"/>
  <c r="V7" i="16" s="1"/>
  <c r="W7" i="16" s="1"/>
  <c r="X7" i="16" s="1"/>
  <c r="Y7" i="16" s="1"/>
  <c r="Z7" i="16" s="1"/>
  <c r="AA7" i="16" s="1"/>
  <c r="AB7" i="16" s="1"/>
  <c r="AC7" i="16" s="1"/>
  <c r="AD7" i="16" s="1"/>
  <c r="AE7" i="16" s="1"/>
  <c r="AF7" i="16" s="1"/>
  <c r="D182" i="16"/>
  <c r="E182" i="16" s="1"/>
  <c r="F182" i="16" s="1"/>
  <c r="G182" i="16" s="1"/>
  <c r="H182" i="16" s="1"/>
  <c r="I182" i="16" s="1"/>
  <c r="J182" i="16" s="1"/>
  <c r="K182" i="16" s="1"/>
  <c r="L182" i="16" s="1"/>
  <c r="M182" i="16" s="1"/>
  <c r="N182" i="16" s="1"/>
  <c r="O182" i="16" s="1"/>
  <c r="P182" i="16" s="1"/>
  <c r="Q182" i="16" s="1"/>
  <c r="R182" i="16" s="1"/>
  <c r="S182" i="16" s="1"/>
  <c r="T182" i="16" s="1"/>
  <c r="U182" i="16" s="1"/>
  <c r="V182" i="16" s="1"/>
  <c r="W182" i="16" s="1"/>
  <c r="X182" i="16" s="1"/>
  <c r="Y182" i="16" s="1"/>
  <c r="Z182" i="16" s="1"/>
  <c r="AA182" i="16" s="1"/>
  <c r="AB182" i="16" s="1"/>
  <c r="AC182" i="16" s="1"/>
  <c r="AD182" i="16" s="1"/>
  <c r="AE182" i="16" s="1"/>
  <c r="AF182" i="16" s="1"/>
  <c r="AG182" i="16" s="1"/>
  <c r="AH182" i="16" s="1"/>
  <c r="AI182" i="16" s="1"/>
  <c r="AJ182" i="16" s="1"/>
  <c r="AK182" i="16" s="1"/>
  <c r="AL182" i="16" s="1"/>
  <c r="AM182" i="16" s="1"/>
  <c r="AN182" i="16" s="1"/>
  <c r="AO182" i="16" s="1"/>
  <c r="AP182" i="16" s="1"/>
  <c r="AQ182" i="16" s="1"/>
  <c r="AR182" i="16" s="1"/>
  <c r="AS182" i="16" s="1"/>
  <c r="AT182" i="16" s="1"/>
  <c r="AU182" i="16" s="1"/>
  <c r="AV182" i="16" s="1"/>
  <c r="AW182" i="16" s="1"/>
  <c r="AX182" i="16" s="1"/>
  <c r="AY182" i="16" s="1"/>
  <c r="AZ182" i="16" s="1"/>
  <c r="BA182" i="16" s="1"/>
  <c r="BB182" i="16" s="1"/>
  <c r="BC182" i="16" s="1"/>
  <c r="BD182" i="16" s="1"/>
  <c r="BE182" i="16" s="1"/>
  <c r="BF182" i="16" s="1"/>
  <c r="BG182" i="16" s="1"/>
  <c r="BH182" i="16" s="1"/>
  <c r="BI182" i="16" s="1"/>
  <c r="BJ182" i="16" s="1"/>
  <c r="BK182" i="16" s="1"/>
  <c r="BL182" i="16" s="1"/>
  <c r="BM182" i="16" s="1"/>
  <c r="BN182" i="16" s="1"/>
  <c r="BO182" i="16" s="1"/>
  <c r="BP182" i="16" s="1"/>
  <c r="BQ182" i="16" s="1"/>
  <c r="BR182" i="16" s="1"/>
  <c r="BS182" i="16" s="1"/>
  <c r="BT182" i="16" s="1"/>
  <c r="BU182" i="16" s="1"/>
  <c r="BV182" i="16" s="1"/>
  <c r="BW182" i="16" s="1"/>
  <c r="BX182" i="16" s="1"/>
  <c r="BY182" i="16" s="1"/>
  <c r="BZ182" i="16" s="1"/>
  <c r="CA182" i="16" s="1"/>
  <c r="CB182" i="16" s="1"/>
  <c r="CC182" i="16" s="1"/>
  <c r="CD182" i="16" s="1"/>
  <c r="CE182" i="16" s="1"/>
  <c r="CF182" i="16" s="1"/>
  <c r="CG182" i="16" s="1"/>
  <c r="CH182" i="16" s="1"/>
  <c r="CI182" i="16" s="1"/>
  <c r="CJ182" i="16" s="1"/>
  <c r="CK182" i="16" s="1"/>
  <c r="CL182" i="16" s="1"/>
  <c r="CM182" i="16" s="1"/>
  <c r="CN182" i="16" s="1"/>
  <c r="CO182" i="16" s="1"/>
  <c r="CP182" i="16" s="1"/>
  <c r="CQ182" i="16" s="1"/>
  <c r="CR182" i="16" s="1"/>
  <c r="CS182" i="16" s="1"/>
  <c r="CT182" i="16" s="1"/>
  <c r="CU182" i="16" s="1"/>
  <c r="CV182" i="16" s="1"/>
  <c r="CW182" i="16" s="1"/>
  <c r="CX182" i="16" s="1"/>
  <c r="CY182" i="16" s="1"/>
  <c r="CZ182" i="16" s="1"/>
  <c r="DA182" i="16" s="1"/>
  <c r="DB182" i="16" s="1"/>
  <c r="DC182" i="16" s="1"/>
  <c r="DD182" i="16" s="1"/>
  <c r="DE182" i="16" s="1"/>
  <c r="DF182" i="16" s="1"/>
  <c r="DG182" i="16" s="1"/>
  <c r="DH182" i="16" s="1"/>
  <c r="DI182" i="16" s="1"/>
  <c r="DJ182" i="16" s="1"/>
  <c r="DK182" i="16" s="1"/>
  <c r="DL182" i="16" s="1"/>
  <c r="DM182" i="16" s="1"/>
  <c r="DN182" i="16" s="1"/>
  <c r="DO182" i="16" s="1"/>
  <c r="DP182" i="16" s="1"/>
  <c r="DQ182" i="16" s="1"/>
  <c r="DR182" i="16" s="1"/>
  <c r="DS182" i="16" s="1"/>
  <c r="DT182" i="16" s="1"/>
  <c r="DU182" i="16" s="1"/>
  <c r="DV182" i="16" s="1"/>
  <c r="DW182" i="16" s="1"/>
  <c r="DX182" i="16" s="1"/>
  <c r="DY182" i="16" s="1"/>
  <c r="DZ182" i="16" s="1"/>
  <c r="EA182" i="16" s="1"/>
  <c r="EB182" i="16" s="1"/>
  <c r="EC182" i="16" s="1"/>
  <c r="ED182" i="16" s="1"/>
  <c r="EE182" i="16" s="1"/>
  <c r="EF182" i="16" s="1"/>
  <c r="EG182" i="16" s="1"/>
  <c r="EH182" i="16" s="1"/>
  <c r="EI182" i="16" s="1"/>
  <c r="EJ182" i="16" s="1"/>
  <c r="EK182" i="16" s="1"/>
  <c r="EL182" i="16" s="1"/>
  <c r="EM182" i="16" s="1"/>
  <c r="EN182" i="16" s="1"/>
  <c r="EO182" i="16" s="1"/>
  <c r="EP182" i="16" s="1"/>
  <c r="EQ182" i="16" s="1"/>
  <c r="ER182" i="16" s="1"/>
  <c r="ES182" i="16" s="1"/>
  <c r="ET182" i="16" s="1"/>
  <c r="EU182" i="16" s="1"/>
  <c r="EV182" i="16" s="1"/>
  <c r="EW182" i="16" s="1"/>
  <c r="EX182" i="16" s="1"/>
  <c r="EY182" i="16" s="1"/>
  <c r="EZ182" i="16" s="1"/>
  <c r="FA182" i="16" s="1"/>
  <c r="FB182" i="16" s="1"/>
  <c r="FC182" i="16" s="1"/>
  <c r="FD182" i="16" s="1"/>
  <c r="FE182" i="16" s="1"/>
  <c r="FF182" i="16" s="1"/>
  <c r="FG182" i="16" s="1"/>
  <c r="FH182" i="16" s="1"/>
  <c r="FI182" i="16" s="1"/>
  <c r="FJ182" i="16" s="1"/>
  <c r="FK182" i="16" s="1"/>
  <c r="FL182" i="16" s="1"/>
  <c r="FM182" i="16" s="1"/>
  <c r="FN182" i="16" s="1"/>
  <c r="FO182" i="16" s="1"/>
  <c r="FP182" i="16" s="1"/>
  <c r="FQ182" i="16" s="1"/>
  <c r="FR182" i="16" s="1"/>
  <c r="FS182" i="16" s="1"/>
  <c r="FT182" i="16" s="1"/>
  <c r="FU182" i="16" s="1"/>
  <c r="FV182" i="16" s="1"/>
  <c r="FW182" i="16" s="1"/>
  <c r="FX182" i="16" s="1"/>
  <c r="FY182" i="16" s="1"/>
  <c r="FZ182" i="16" s="1"/>
  <c r="GA182" i="16" s="1"/>
  <c r="GB182" i="16" s="1"/>
  <c r="GC182" i="16" s="1"/>
  <c r="GD182" i="16" s="1"/>
  <c r="GE182" i="16" s="1"/>
  <c r="GF182" i="16" s="1"/>
  <c r="GG182" i="16" s="1"/>
  <c r="GH182" i="16" s="1"/>
  <c r="GI182" i="16" s="1"/>
  <c r="GJ182" i="16" s="1"/>
  <c r="GK182" i="16" s="1"/>
  <c r="GL182" i="16" s="1"/>
  <c r="GM182" i="16" s="1"/>
  <c r="GN182" i="16" s="1"/>
  <c r="GO182" i="16" s="1"/>
  <c r="GP182" i="16" s="1"/>
  <c r="GQ182" i="16" s="1"/>
  <c r="GR182" i="16" s="1"/>
  <c r="GS182" i="16" s="1"/>
  <c r="GT182" i="16" s="1"/>
  <c r="GU182" i="16" s="1"/>
  <c r="GV182" i="16" s="1"/>
  <c r="GW182" i="16" s="1"/>
  <c r="GX182" i="16" s="1"/>
  <c r="GY182" i="16" s="1"/>
  <c r="GZ182" i="16" s="1"/>
  <c r="HA182" i="16" s="1"/>
  <c r="HB182" i="16" s="1"/>
  <c r="HC182" i="16" s="1"/>
  <c r="HD182" i="16" s="1"/>
  <c r="HE182" i="16" s="1"/>
  <c r="HF182" i="16" s="1"/>
  <c r="HG182" i="16" s="1"/>
  <c r="HH182" i="16" s="1"/>
  <c r="HI182" i="16" s="1"/>
  <c r="HJ182" i="16" s="1"/>
  <c r="HK182" i="16" s="1"/>
  <c r="HL182" i="16" s="1"/>
  <c r="HM182" i="16" s="1"/>
  <c r="HN182" i="16" s="1"/>
  <c r="HO182" i="16" s="1"/>
  <c r="HP182" i="16" s="1"/>
  <c r="HQ182" i="16" s="1"/>
  <c r="HR182" i="16" s="1"/>
  <c r="HS182" i="16" s="1"/>
  <c r="HT182" i="16" s="1"/>
  <c r="HU182" i="16" s="1"/>
  <c r="HV182" i="16" s="1"/>
  <c r="HW182" i="16" s="1"/>
  <c r="HX182" i="16" s="1"/>
  <c r="HY182" i="16" s="1"/>
  <c r="HZ182" i="16" s="1"/>
  <c r="IA182" i="16" s="1"/>
  <c r="IB182" i="16" s="1"/>
  <c r="IC182" i="16" s="1"/>
  <c r="ID182" i="16" s="1"/>
  <c r="IE182" i="16" s="1"/>
  <c r="IF182" i="16" s="1"/>
  <c r="IG182" i="16" s="1"/>
  <c r="IH182" i="16" s="1"/>
  <c r="II182" i="16" s="1"/>
  <c r="IJ182" i="16" s="1"/>
  <c r="IK182" i="16" s="1"/>
  <c r="IL182" i="16" s="1"/>
  <c r="IM182" i="16" s="1"/>
  <c r="IN182" i="16" s="1"/>
  <c r="IO182" i="16" s="1"/>
  <c r="IP182" i="16" s="1"/>
  <c r="IQ182" i="16" s="1"/>
  <c r="IR182" i="16" s="1"/>
  <c r="IS182" i="16" s="1"/>
  <c r="IT182" i="16" s="1"/>
  <c r="IU182" i="16" s="1"/>
  <c r="IV182" i="16" s="1"/>
  <c r="IW182" i="16" s="1"/>
  <c r="IX182" i="16" s="1"/>
  <c r="IY182" i="16" s="1"/>
  <c r="IZ182" i="16" s="1"/>
  <c r="JA182" i="16" s="1"/>
  <c r="JB182" i="16" s="1"/>
  <c r="JC182" i="16" s="1"/>
  <c r="JD182" i="16" s="1"/>
  <c r="JE182" i="16" s="1"/>
  <c r="JF182" i="16" s="1"/>
  <c r="JG182" i="16" s="1"/>
  <c r="JH182" i="16" s="1"/>
  <c r="JI182" i="16" s="1"/>
  <c r="JJ182" i="16" s="1"/>
  <c r="JK182" i="16" s="1"/>
  <c r="JL182" i="16" s="1"/>
  <c r="JM182" i="16" s="1"/>
  <c r="JN182" i="16" s="1"/>
  <c r="JO182" i="16" s="1"/>
  <c r="JP182" i="16" s="1"/>
  <c r="JQ182" i="16" s="1"/>
  <c r="JR182" i="16" s="1"/>
  <c r="JS182" i="16" s="1"/>
  <c r="JT182" i="16" s="1"/>
  <c r="JU182" i="16" s="1"/>
  <c r="JV182" i="16" s="1"/>
  <c r="JW182" i="16" s="1"/>
  <c r="JX182" i="16" s="1"/>
  <c r="JY182" i="16" s="1"/>
  <c r="JZ182" i="16" s="1"/>
  <c r="KA182" i="16" s="1"/>
  <c r="KB182" i="16" s="1"/>
  <c r="KC182" i="16" s="1"/>
  <c r="KD182" i="16" s="1"/>
  <c r="KE182" i="16" s="1"/>
  <c r="KF182" i="16" s="1"/>
  <c r="KG182" i="16" s="1"/>
  <c r="KH182" i="16" s="1"/>
  <c r="KI182" i="16" s="1"/>
  <c r="KJ182" i="16" s="1"/>
  <c r="KK182" i="16" s="1"/>
  <c r="KL182" i="16" s="1"/>
  <c r="KM182" i="16" s="1"/>
  <c r="KN182" i="16" s="1"/>
  <c r="KO182" i="16" s="1"/>
  <c r="KP182" i="16" s="1"/>
  <c r="KQ182" i="16" s="1"/>
  <c r="KR182" i="16" s="1"/>
  <c r="KS182" i="16" s="1"/>
  <c r="KT182" i="16" s="1"/>
  <c r="KU182" i="16" s="1"/>
  <c r="KV182" i="16" s="1"/>
  <c r="KW182" i="16" s="1"/>
  <c r="KX182" i="16" s="1"/>
  <c r="KY182" i="16" s="1"/>
  <c r="KZ182" i="16" s="1"/>
  <c r="LA182" i="16" s="1"/>
  <c r="LB182" i="16" s="1"/>
  <c r="LC182" i="16" s="1"/>
  <c r="LD182" i="16" s="1"/>
  <c r="LE182" i="16" s="1"/>
  <c r="LF182" i="16" s="1"/>
  <c r="LG182" i="16" s="1"/>
  <c r="LH182" i="16" s="1"/>
  <c r="LI182" i="16" s="1"/>
  <c r="LJ182" i="16" s="1"/>
  <c r="LK182" i="16" s="1"/>
  <c r="LL182" i="16" s="1"/>
  <c r="LM182" i="16" s="1"/>
  <c r="LN182" i="16" s="1"/>
  <c r="LO182" i="16" s="1"/>
  <c r="LP182" i="16" s="1"/>
  <c r="LQ182" i="16" s="1"/>
  <c r="LR182" i="16" s="1"/>
  <c r="LS182" i="16" s="1"/>
  <c r="LT182" i="16" s="1"/>
  <c r="LU182" i="16" s="1"/>
  <c r="LV182" i="16" s="1"/>
  <c r="LW182" i="16" s="1"/>
  <c r="LX182" i="16" s="1"/>
  <c r="LY182" i="16" s="1"/>
  <c r="LZ182" i="16" s="1"/>
  <c r="MA182" i="16" s="1"/>
  <c r="MB182" i="16" s="1"/>
  <c r="MC182" i="16" s="1"/>
  <c r="MD182" i="16" s="1"/>
  <c r="ME182" i="16" s="1"/>
  <c r="MF182" i="16" s="1"/>
  <c r="MG182" i="16" s="1"/>
  <c r="MH182" i="16" s="1"/>
  <c r="O49" i="18" l="1"/>
  <c r="O83" i="18" s="1"/>
  <c r="P49" i="18"/>
  <c r="P83" i="18" s="1"/>
  <c r="S49" i="18"/>
  <c r="S83" i="18" s="1"/>
  <c r="R49" i="18"/>
  <c r="R83" i="18" s="1"/>
  <c r="Q49" i="18"/>
  <c r="Q83" i="18" s="1"/>
  <c r="L50" i="18"/>
  <c r="AD9" i="18"/>
  <c r="AC15" i="18"/>
  <c r="AD13" i="18"/>
  <c r="AE10" i="18"/>
  <c r="AD11" i="18"/>
  <c r="AD12" i="18"/>
  <c r="AE14" i="18"/>
  <c r="D9" i="16"/>
  <c r="E9" i="16" s="1"/>
  <c r="F9" i="16" s="1"/>
  <c r="G9" i="16" s="1"/>
  <c r="H9" i="16" s="1"/>
  <c r="I9" i="16" s="1"/>
  <c r="J9" i="16" s="1"/>
  <c r="K9" i="16" s="1"/>
  <c r="L9" i="16" s="1"/>
  <c r="M9" i="16" s="1"/>
  <c r="N9" i="16" s="1"/>
  <c r="O9" i="16" s="1"/>
  <c r="P9" i="16" s="1"/>
  <c r="Q9" i="16" s="1"/>
  <c r="R9" i="16" s="1"/>
  <c r="S9" i="16" s="1"/>
  <c r="T9" i="16" s="1"/>
  <c r="U9" i="16" s="1"/>
  <c r="V9" i="16" s="1"/>
  <c r="W9" i="16" s="1"/>
  <c r="X9" i="16" s="1"/>
  <c r="Y9" i="16" s="1"/>
  <c r="Z9" i="16" s="1"/>
  <c r="AA9" i="16" s="1"/>
  <c r="AB9" i="16" s="1"/>
  <c r="AC9" i="16" s="1"/>
  <c r="AD9" i="16" s="1"/>
  <c r="AE9" i="16" s="1"/>
  <c r="AF9" i="16" s="1"/>
  <c r="M185" i="16"/>
  <c r="O185" i="16"/>
  <c r="D14" i="16"/>
  <c r="N185" i="16"/>
  <c r="I185" i="16"/>
  <c r="H185" i="16"/>
  <c r="G185" i="16"/>
  <c r="E12" i="16"/>
  <c r="E27" i="16" s="1"/>
  <c r="C185" i="16"/>
  <c r="E185" i="16"/>
  <c r="D185" i="16"/>
  <c r="B326" i="11"/>
  <c r="D325" i="11"/>
  <c r="C325" i="11"/>
  <c r="B325" i="11"/>
  <c r="B324" i="11"/>
  <c r="D323" i="11"/>
  <c r="C323" i="11"/>
  <c r="B322" i="11"/>
  <c r="D321" i="11"/>
  <c r="C321" i="11"/>
  <c r="B321" i="11"/>
  <c r="P33" i="18"/>
  <c r="L119" i="11"/>
  <c r="L127" i="11"/>
  <c r="L121" i="11"/>
  <c r="L129" i="11"/>
  <c r="L123" i="11"/>
  <c r="M119" i="11"/>
  <c r="M127" i="11"/>
  <c r="M121" i="11"/>
  <c r="M122" i="11"/>
  <c r="M123" i="11"/>
  <c r="P126" i="11"/>
  <c r="P9" i="11"/>
  <c r="P121" i="11"/>
  <c r="P122" i="11"/>
  <c r="P130" i="11"/>
  <c r="Q126" i="11"/>
  <c r="Q120" i="11"/>
  <c r="Q128" i="11"/>
  <c r="Q122" i="11"/>
  <c r="Q130" i="11"/>
  <c r="R119" i="11"/>
  <c r="R127" i="11"/>
  <c r="R128" i="11"/>
  <c r="R11" i="11"/>
  <c r="R123" i="11"/>
  <c r="S119" i="11"/>
  <c r="S127" i="11"/>
  <c r="S121" i="11"/>
  <c r="S129" i="11"/>
  <c r="S123" i="11"/>
  <c r="L128" i="11"/>
  <c r="R126" i="11"/>
  <c r="P120" i="11"/>
  <c r="M120" i="11"/>
  <c r="R12" i="11"/>
  <c r="R8" i="11"/>
  <c r="A73" i="11"/>
  <c r="A13" i="18"/>
  <c r="AR50" i="18" l="1"/>
  <c r="AR64" i="18" s="1"/>
  <c r="AO50" i="18"/>
  <c r="P50" i="18"/>
  <c r="P84" i="18" s="1"/>
  <c r="R50" i="18"/>
  <c r="R84" i="18" s="1"/>
  <c r="AC50" i="18"/>
  <c r="AC84" i="18" s="1"/>
  <c r="AD50" i="18"/>
  <c r="AD84" i="18" s="1"/>
  <c r="Q50" i="18"/>
  <c r="Q84" i="18" s="1"/>
  <c r="AQ50" i="18"/>
  <c r="AL50" i="18"/>
  <c r="T50" i="18"/>
  <c r="T84" i="18" s="1"/>
  <c r="V50" i="18"/>
  <c r="V84" i="18" s="1"/>
  <c r="AG50" i="18"/>
  <c r="AG84" i="18" s="1"/>
  <c r="AH50" i="18"/>
  <c r="AH84" i="18" s="1"/>
  <c r="Y50" i="18"/>
  <c r="Y84" i="18" s="1"/>
  <c r="AJ50" i="18"/>
  <c r="AI50" i="18"/>
  <c r="AP50" i="18"/>
  <c r="X50" i="18"/>
  <c r="X84" i="18" s="1"/>
  <c r="Z50" i="18"/>
  <c r="Z84" i="18" s="1"/>
  <c r="AF50" i="18"/>
  <c r="AF84" i="18" s="1"/>
  <c r="O50" i="18"/>
  <c r="O84" i="18" s="1"/>
  <c r="AE50" i="18"/>
  <c r="AE84" i="18" s="1"/>
  <c r="AN50" i="18"/>
  <c r="AK50" i="18"/>
  <c r="AM50" i="18"/>
  <c r="AB50" i="18"/>
  <c r="AB84" i="18" s="1"/>
  <c r="U50" i="18"/>
  <c r="U84" i="18" s="1"/>
  <c r="W50" i="18"/>
  <c r="W84" i="18" s="1"/>
  <c r="AA50" i="18"/>
  <c r="AA84" i="18" s="1"/>
  <c r="S50" i="18"/>
  <c r="S84" i="18" s="1"/>
  <c r="Q33" i="18"/>
  <c r="L51" i="18"/>
  <c r="AF10" i="18"/>
  <c r="AE11" i="18"/>
  <c r="AE13" i="18"/>
  <c r="AE12" i="18"/>
  <c r="AF14" i="18"/>
  <c r="AE9" i="18"/>
  <c r="AD15" i="18"/>
  <c r="P127" i="11"/>
  <c r="S11" i="11"/>
  <c r="R120" i="11"/>
  <c r="L11" i="11"/>
  <c r="P119" i="11"/>
  <c r="P123" i="11"/>
  <c r="R130" i="11"/>
  <c r="L122" i="11"/>
  <c r="R9" i="11"/>
  <c r="P10" i="11"/>
  <c r="Q123" i="11"/>
  <c r="Q127" i="11"/>
  <c r="L9" i="11"/>
  <c r="L120" i="11"/>
  <c r="S120" i="11"/>
  <c r="L126" i="11"/>
  <c r="P11" i="11"/>
  <c r="M9" i="11"/>
  <c r="Q9" i="11"/>
  <c r="R122" i="11"/>
  <c r="P129" i="11"/>
  <c r="M12" i="11"/>
  <c r="L130" i="11"/>
  <c r="S122" i="11"/>
  <c r="M130" i="11"/>
  <c r="M11" i="11"/>
  <c r="S8" i="11"/>
  <c r="R121" i="11"/>
  <c r="S126" i="11"/>
  <c r="M129" i="11"/>
  <c r="L12" i="11"/>
  <c r="M8" i="11"/>
  <c r="R10" i="11"/>
  <c r="S12" i="11"/>
  <c r="M126" i="11"/>
  <c r="Q129" i="11"/>
  <c r="Q119" i="11"/>
  <c r="P128" i="11"/>
  <c r="L8" i="11"/>
  <c r="Q11" i="11"/>
  <c r="S130" i="11"/>
  <c r="Q10" i="11"/>
  <c r="Q121" i="11"/>
  <c r="M128" i="11"/>
  <c r="S128" i="11"/>
  <c r="L10" i="11"/>
  <c r="M10" i="11"/>
  <c r="P8" i="11"/>
  <c r="P12" i="11"/>
  <c r="S9" i="11"/>
  <c r="R129" i="11"/>
  <c r="Q8" i="11"/>
  <c r="Q12" i="11"/>
  <c r="S10" i="11"/>
  <c r="C36" i="16"/>
  <c r="A36" i="16" s="1"/>
  <c r="E14" i="16"/>
  <c r="F12" i="16"/>
  <c r="F27" i="16" s="1"/>
  <c r="BC50" i="10"/>
  <c r="BC49" i="10"/>
  <c r="BC41" i="10" s="1"/>
  <c r="BC48" i="10"/>
  <c r="AE28" i="10"/>
  <c r="AK64" i="18" l="1"/>
  <c r="AK84" i="18"/>
  <c r="AK98" i="18" s="1"/>
  <c r="AI64" i="18"/>
  <c r="AI84" i="18"/>
  <c r="AI98" i="18" s="1"/>
  <c r="AQ64" i="18"/>
  <c r="AQ84" i="18"/>
  <c r="AQ98" i="18" s="1"/>
  <c r="AN64" i="18"/>
  <c r="AN84" i="18"/>
  <c r="AN98" i="18" s="1"/>
  <c r="AJ64" i="18"/>
  <c r="AJ84" i="18"/>
  <c r="AJ98" i="18" s="1"/>
  <c r="AO64" i="18"/>
  <c r="AO84" i="18"/>
  <c r="AO98" i="18" s="1"/>
  <c r="AM64" i="18"/>
  <c r="AM84" i="18"/>
  <c r="AM98" i="18" s="1"/>
  <c r="AP64" i="18"/>
  <c r="AP84" i="18"/>
  <c r="AP98" i="18" s="1"/>
  <c r="AL64" i="18"/>
  <c r="AL84" i="18"/>
  <c r="AL98" i="18" s="1"/>
  <c r="R51" i="18"/>
  <c r="R85" i="18" s="1"/>
  <c r="AH51" i="18"/>
  <c r="AH85" i="18" s="1"/>
  <c r="W51" i="18"/>
  <c r="W85" i="18" s="1"/>
  <c r="P51" i="18"/>
  <c r="P85" i="18" s="1"/>
  <c r="AF51" i="18"/>
  <c r="AF85" i="18" s="1"/>
  <c r="Y51" i="18"/>
  <c r="Y85" i="18" s="1"/>
  <c r="AE51" i="18"/>
  <c r="AE85" i="18" s="1"/>
  <c r="AB51" i="18"/>
  <c r="AB85" i="18" s="1"/>
  <c r="V51" i="18"/>
  <c r="V85" i="18" s="1"/>
  <c r="AG51" i="18"/>
  <c r="AG85" i="18" s="1"/>
  <c r="U51" i="18"/>
  <c r="U85" i="18" s="1"/>
  <c r="O51" i="18"/>
  <c r="O85" i="18" s="1"/>
  <c r="Z51" i="18"/>
  <c r="Z85" i="18" s="1"/>
  <c r="S51" i="18"/>
  <c r="S85" i="18" s="1"/>
  <c r="T51" i="18"/>
  <c r="T85" i="18" s="1"/>
  <c r="Q51" i="18"/>
  <c r="Q85" i="18" s="1"/>
  <c r="AD51" i="18"/>
  <c r="AD85" i="18" s="1"/>
  <c r="AA51" i="18"/>
  <c r="AA85" i="18" s="1"/>
  <c r="X51" i="18"/>
  <c r="X85" i="18" s="1"/>
  <c r="AC51" i="18"/>
  <c r="AC85" i="18" s="1"/>
  <c r="L52" i="18"/>
  <c r="R33" i="18"/>
  <c r="AF9" i="18"/>
  <c r="AE15" i="18"/>
  <c r="AF12" i="18"/>
  <c r="AF11" i="18"/>
  <c r="AG14" i="18"/>
  <c r="AF13" i="18"/>
  <c r="AG10" i="18"/>
  <c r="F14" i="16"/>
  <c r="G12" i="16"/>
  <c r="G27" i="16" s="1"/>
  <c r="L15" i="11"/>
  <c r="K120" i="11"/>
  <c r="K121" i="11"/>
  <c r="K122" i="11"/>
  <c r="K123" i="11"/>
  <c r="K119" i="11"/>
  <c r="S124" i="11"/>
  <c r="L141" i="11" s="1"/>
  <c r="R124" i="11"/>
  <c r="L140" i="11" s="1"/>
  <c r="Q124" i="11"/>
  <c r="L139" i="11" s="1"/>
  <c r="P124" i="11"/>
  <c r="L138" i="11" s="1"/>
  <c r="O124" i="11"/>
  <c r="L137" i="11" s="1"/>
  <c r="N124" i="11"/>
  <c r="L136" i="11" s="1"/>
  <c r="M124" i="11"/>
  <c r="L135" i="11" s="1"/>
  <c r="L124" i="11"/>
  <c r="L134" i="11" s="1"/>
  <c r="AA52" i="18" l="1"/>
  <c r="AA86" i="18" s="1"/>
  <c r="T52" i="18"/>
  <c r="T86" i="18" s="1"/>
  <c r="R52" i="18"/>
  <c r="R86" i="18" s="1"/>
  <c r="Y52" i="18"/>
  <c r="Y86" i="18" s="1"/>
  <c r="AD52" i="18"/>
  <c r="AD86" i="18" s="1"/>
  <c r="AE52" i="18"/>
  <c r="AE86" i="18" s="1"/>
  <c r="X52" i="18"/>
  <c r="X86" i="18" s="1"/>
  <c r="Z52" i="18"/>
  <c r="Z86" i="18" s="1"/>
  <c r="AC52" i="18"/>
  <c r="AC86" i="18" s="1"/>
  <c r="O52" i="18"/>
  <c r="O86" i="18" s="1"/>
  <c r="S52" i="18"/>
  <c r="S86" i="18" s="1"/>
  <c r="AH52" i="18"/>
  <c r="AH86" i="18" s="1"/>
  <c r="AB52" i="18"/>
  <c r="AB86" i="18" s="1"/>
  <c r="Q52" i="18"/>
  <c r="Q86" i="18" s="1"/>
  <c r="AG52" i="18"/>
  <c r="AG86" i="18" s="1"/>
  <c r="W52" i="18"/>
  <c r="W86" i="18" s="1"/>
  <c r="P52" i="18"/>
  <c r="P86" i="18" s="1"/>
  <c r="AF52" i="18"/>
  <c r="AF86" i="18" s="1"/>
  <c r="U52" i="18"/>
  <c r="U86" i="18" s="1"/>
  <c r="V52" i="18"/>
  <c r="V86" i="18" s="1"/>
  <c r="S33" i="18"/>
  <c r="L53" i="18"/>
  <c r="M15" i="11"/>
  <c r="L26" i="11"/>
  <c r="AG12" i="18"/>
  <c r="AH10" i="18"/>
  <c r="AG13" i="18"/>
  <c r="AG11" i="18"/>
  <c r="AH14" i="18"/>
  <c r="AG9" i="18"/>
  <c r="AF15" i="18"/>
  <c r="G14" i="16"/>
  <c r="H12" i="16"/>
  <c r="H27" i="16" s="1"/>
  <c r="P53" i="18" l="1"/>
  <c r="P87" i="18" s="1"/>
  <c r="AF53" i="18"/>
  <c r="AF87" i="18" s="1"/>
  <c r="U53" i="18"/>
  <c r="U87" i="18" s="1"/>
  <c r="S53" i="18"/>
  <c r="S87" i="18" s="1"/>
  <c r="AD53" i="18"/>
  <c r="AD87" i="18" s="1"/>
  <c r="T53" i="18"/>
  <c r="T87" i="18" s="1"/>
  <c r="O53" i="18"/>
  <c r="O87" i="18" s="1"/>
  <c r="Y53" i="18"/>
  <c r="Y87" i="18" s="1"/>
  <c r="R53" i="18"/>
  <c r="R87" i="18" s="1"/>
  <c r="AH53" i="18"/>
  <c r="AH87" i="18" s="1"/>
  <c r="X53" i="18"/>
  <c r="X87" i="18" s="1"/>
  <c r="AA53" i="18"/>
  <c r="AA87" i="18" s="1"/>
  <c r="AC53" i="18"/>
  <c r="AC87" i="18" s="1"/>
  <c r="V53" i="18"/>
  <c r="V87" i="18" s="1"/>
  <c r="W53" i="18"/>
  <c r="W87" i="18" s="1"/>
  <c r="AB53" i="18"/>
  <c r="AB87" i="18" s="1"/>
  <c r="Q53" i="18"/>
  <c r="Q87" i="18" s="1"/>
  <c r="AG53" i="18"/>
  <c r="AG87" i="18" s="1"/>
  <c r="Z53" i="18"/>
  <c r="Z87" i="18" s="1"/>
  <c r="AE53" i="18"/>
  <c r="AE87" i="18" s="1"/>
  <c r="L54" i="18"/>
  <c r="T33" i="18"/>
  <c r="N15" i="11"/>
  <c r="M26" i="11"/>
  <c r="AI10" i="18"/>
  <c r="AH11" i="18"/>
  <c r="AI14" i="18"/>
  <c r="AH9" i="18"/>
  <c r="AG15" i="18"/>
  <c r="AH13" i="18"/>
  <c r="AH12" i="18"/>
  <c r="C88" i="16"/>
  <c r="C86" i="16"/>
  <c r="H14" i="16"/>
  <c r="I12" i="16"/>
  <c r="I27" i="16" s="1"/>
  <c r="A194" i="11"/>
  <c r="O54" i="18" l="1"/>
  <c r="O88" i="18" s="1"/>
  <c r="R54" i="18"/>
  <c r="R88" i="18" s="1"/>
  <c r="AH54" i="18"/>
  <c r="AH88" i="18" s="1"/>
  <c r="AA54" i="18"/>
  <c r="AA88" i="18" s="1"/>
  <c r="X54" i="18"/>
  <c r="X88" i="18" s="1"/>
  <c r="U54" i="18"/>
  <c r="U88" i="18" s="1"/>
  <c r="Z54" i="18"/>
  <c r="Z88" i="18" s="1"/>
  <c r="S54" i="18"/>
  <c r="S88" i="18" s="1"/>
  <c r="P54" i="18"/>
  <c r="P88" i="18" s="1"/>
  <c r="AF54" i="18"/>
  <c r="AF88" i="18" s="1"/>
  <c r="AC54" i="18"/>
  <c r="AC88" i="18" s="1"/>
  <c r="W54" i="18"/>
  <c r="W88" i="18" s="1"/>
  <c r="AG54" i="18"/>
  <c r="AG88" i="18" s="1"/>
  <c r="V54" i="18"/>
  <c r="V88" i="18" s="1"/>
  <c r="AE54" i="18"/>
  <c r="AE88" i="18" s="1"/>
  <c r="Y54" i="18"/>
  <c r="Y88" i="18" s="1"/>
  <c r="AD54" i="18"/>
  <c r="AD88" i="18" s="1"/>
  <c r="T54" i="18"/>
  <c r="T88" i="18" s="1"/>
  <c r="Q54" i="18"/>
  <c r="Q88" i="18" s="1"/>
  <c r="AB54" i="18"/>
  <c r="AB88" i="18" s="1"/>
  <c r="U33" i="18"/>
  <c r="L55" i="18"/>
  <c r="O15" i="11"/>
  <c r="N26" i="11"/>
  <c r="AI9" i="18"/>
  <c r="AH15" i="18"/>
  <c r="AI11" i="18"/>
  <c r="AI13" i="18"/>
  <c r="AJ14" i="18"/>
  <c r="AI12" i="18"/>
  <c r="AJ10" i="18"/>
  <c r="D86" i="16"/>
  <c r="E86" i="16" s="1"/>
  <c r="F86" i="16" s="1"/>
  <c r="G86" i="16" s="1"/>
  <c r="H86" i="16" s="1"/>
  <c r="I86" i="16" s="1"/>
  <c r="J86" i="16" s="1"/>
  <c r="K86" i="16" s="1"/>
  <c r="L86" i="16" s="1"/>
  <c r="C79" i="16"/>
  <c r="D88" i="16"/>
  <c r="E88" i="16" s="1"/>
  <c r="F88" i="16" s="1"/>
  <c r="G88" i="16" s="1"/>
  <c r="H88" i="16" s="1"/>
  <c r="I88" i="16" s="1"/>
  <c r="J88" i="16" s="1"/>
  <c r="K88" i="16" s="1"/>
  <c r="L88" i="16" s="1"/>
  <c r="C81" i="16"/>
  <c r="I14" i="16"/>
  <c r="J12" i="16"/>
  <c r="J27" i="16" s="1"/>
  <c r="K221" i="11"/>
  <c r="K218" i="11"/>
  <c r="Q55" i="18" l="1"/>
  <c r="Q89" i="18" s="1"/>
  <c r="AG55" i="18"/>
  <c r="AG89" i="18" s="1"/>
  <c r="AD55" i="18"/>
  <c r="AD89" i="18" s="1"/>
  <c r="AA55" i="18"/>
  <c r="AA89" i="18" s="1"/>
  <c r="P55" i="18"/>
  <c r="P89" i="18" s="1"/>
  <c r="Y55" i="18"/>
  <c r="Y89" i="18" s="1"/>
  <c r="V55" i="18"/>
  <c r="V89" i="18" s="1"/>
  <c r="S55" i="18"/>
  <c r="S89" i="18" s="1"/>
  <c r="O55" i="18"/>
  <c r="O89" i="18" s="1"/>
  <c r="T55" i="18"/>
  <c r="T89" i="18" s="1"/>
  <c r="Z55" i="18"/>
  <c r="Z89" i="18" s="1"/>
  <c r="AB55" i="18"/>
  <c r="AB89" i="18" s="1"/>
  <c r="U55" i="18"/>
  <c r="U89" i="18" s="1"/>
  <c r="AH55" i="18"/>
  <c r="AH89" i="18" s="1"/>
  <c r="AF55" i="18"/>
  <c r="AF89" i="18" s="1"/>
  <c r="AC55" i="18"/>
  <c r="AC89" i="18" s="1"/>
  <c r="W55" i="18"/>
  <c r="W89" i="18" s="1"/>
  <c r="X55" i="18"/>
  <c r="X89" i="18" s="1"/>
  <c r="R55" i="18"/>
  <c r="R89" i="18" s="1"/>
  <c r="AE55" i="18"/>
  <c r="AE89" i="18" s="1"/>
  <c r="L56" i="18"/>
  <c r="V33" i="18"/>
  <c r="P15" i="11"/>
  <c r="O26" i="11"/>
  <c r="DH185" i="16"/>
  <c r="D79" i="16"/>
  <c r="E79" i="16" s="1"/>
  <c r="F79" i="16" s="1"/>
  <c r="G79" i="16" s="1"/>
  <c r="H79" i="16" s="1"/>
  <c r="I79" i="16" s="1"/>
  <c r="J79" i="16" s="1"/>
  <c r="K79" i="16" s="1"/>
  <c r="AK10" i="18"/>
  <c r="AJ12" i="18"/>
  <c r="AJ13" i="18"/>
  <c r="AJ9" i="18"/>
  <c r="AI15" i="18"/>
  <c r="AK14" i="18"/>
  <c r="AJ11" i="18"/>
  <c r="D81" i="16"/>
  <c r="E81" i="16" s="1"/>
  <c r="F81" i="16" s="1"/>
  <c r="G81" i="16" s="1"/>
  <c r="H81" i="16" s="1"/>
  <c r="I81" i="16" s="1"/>
  <c r="J81" i="16" s="1"/>
  <c r="K81" i="16" s="1"/>
  <c r="DP185" i="16"/>
  <c r="J14" i="16"/>
  <c r="K12" i="16"/>
  <c r="K27" i="16" s="1"/>
  <c r="G195" i="11"/>
  <c r="G196" i="11"/>
  <c r="G197" i="11"/>
  <c r="G198" i="11"/>
  <c r="G199" i="11"/>
  <c r="G194" i="11"/>
  <c r="F199" i="11"/>
  <c r="F235" i="11" s="1"/>
  <c r="F242" i="11" s="1"/>
  <c r="F198" i="11"/>
  <c r="F181" i="11"/>
  <c r="F188" i="11" s="1"/>
  <c r="F182" i="11"/>
  <c r="F189" i="11" s="1"/>
  <c r="F183" i="11"/>
  <c r="F190" i="11" s="1"/>
  <c r="F184" i="11"/>
  <c r="F191" i="11" s="1"/>
  <c r="F185" i="11"/>
  <c r="F192" i="11" s="1"/>
  <c r="F193" i="11"/>
  <c r="F194" i="11"/>
  <c r="F195" i="11"/>
  <c r="F196" i="11"/>
  <c r="F197" i="11"/>
  <c r="F180" i="11"/>
  <c r="F187" i="11" s="1"/>
  <c r="R56" i="18" l="1"/>
  <c r="R90" i="18" s="1"/>
  <c r="AH56" i="18"/>
  <c r="AH90" i="18" s="1"/>
  <c r="AE56" i="18"/>
  <c r="AE90" i="18" s="1"/>
  <c r="AB56" i="18"/>
  <c r="AB90" i="18" s="1"/>
  <c r="U56" i="18"/>
  <c r="U90" i="18" s="1"/>
  <c r="V56" i="18"/>
  <c r="V90" i="18" s="1"/>
  <c r="S56" i="18"/>
  <c r="S90" i="18" s="1"/>
  <c r="P56" i="18"/>
  <c r="P90" i="18" s="1"/>
  <c r="AF56" i="18"/>
  <c r="AF90" i="18" s="1"/>
  <c r="AC56" i="18"/>
  <c r="AC90" i="18" s="1"/>
  <c r="Z56" i="18"/>
  <c r="Z90" i="18" s="1"/>
  <c r="W56" i="18"/>
  <c r="W90" i="18" s="1"/>
  <c r="T56" i="18"/>
  <c r="T90" i="18" s="1"/>
  <c r="Y56" i="18"/>
  <c r="Y90" i="18" s="1"/>
  <c r="Q56" i="18"/>
  <c r="Q90" i="18" s="1"/>
  <c r="AD56" i="18"/>
  <c r="AD90" i="18" s="1"/>
  <c r="AA56" i="18"/>
  <c r="AA90" i="18" s="1"/>
  <c r="X56" i="18"/>
  <c r="X90" i="18" s="1"/>
  <c r="O56" i="18"/>
  <c r="O90" i="18" s="1"/>
  <c r="AG56" i="18"/>
  <c r="AG90" i="18" s="1"/>
  <c r="W33" i="18"/>
  <c r="L57" i="18"/>
  <c r="F216" i="11"/>
  <c r="F230" i="11"/>
  <c r="F237" i="11" s="1"/>
  <c r="F234" i="11"/>
  <c r="F241" i="11" s="1"/>
  <c r="F228" i="11"/>
  <c r="F219" i="11"/>
  <c r="F231" i="11"/>
  <c r="F238" i="11" s="1"/>
  <c r="F225" i="11"/>
  <c r="F233" i="11"/>
  <c r="F240" i="11" s="1"/>
  <c r="F222" i="11"/>
  <c r="F232" i="11"/>
  <c r="F239" i="11" s="1"/>
  <c r="Q15" i="11"/>
  <c r="P26" i="11"/>
  <c r="AK11" i="18"/>
  <c r="AK9" i="18"/>
  <c r="AJ15" i="18"/>
  <c r="AK12" i="18"/>
  <c r="AL14" i="18"/>
  <c r="AK13" i="18"/>
  <c r="AL10" i="18"/>
  <c r="K14" i="16"/>
  <c r="L12" i="16"/>
  <c r="L27" i="16" s="1"/>
  <c r="B110" i="11"/>
  <c r="B108" i="11"/>
  <c r="B106" i="11"/>
  <c r="AA57" i="18" l="1"/>
  <c r="AA91" i="18" s="1"/>
  <c r="T57" i="18"/>
  <c r="T91" i="18" s="1"/>
  <c r="Q57" i="18"/>
  <c r="Q91" i="18" s="1"/>
  <c r="AG57" i="18"/>
  <c r="AG91" i="18" s="1"/>
  <c r="AD57" i="18"/>
  <c r="AD91" i="18" s="1"/>
  <c r="AE57" i="18"/>
  <c r="AE91" i="18" s="1"/>
  <c r="X57" i="18"/>
  <c r="X91" i="18" s="1"/>
  <c r="U57" i="18"/>
  <c r="U91" i="18" s="1"/>
  <c r="V57" i="18"/>
  <c r="V91" i="18" s="1"/>
  <c r="AH57" i="18"/>
  <c r="AH91" i="18" s="1"/>
  <c r="S57" i="18"/>
  <c r="S91" i="18" s="1"/>
  <c r="O57" i="18"/>
  <c r="O91" i="18" s="1"/>
  <c r="AB57" i="18"/>
  <c r="AB91" i="18" s="1"/>
  <c r="Y57" i="18"/>
  <c r="Y91" i="18" s="1"/>
  <c r="Z57" i="18"/>
  <c r="Z91" i="18" s="1"/>
  <c r="W57" i="18"/>
  <c r="W91" i="18" s="1"/>
  <c r="P57" i="18"/>
  <c r="P91" i="18" s="1"/>
  <c r="AF57" i="18"/>
  <c r="AF91" i="18" s="1"/>
  <c r="AC57" i="18"/>
  <c r="AC91" i="18" s="1"/>
  <c r="R57" i="18"/>
  <c r="R91" i="18" s="1"/>
  <c r="L58" i="18"/>
  <c r="X33" i="18"/>
  <c r="R15" i="11"/>
  <c r="Q26" i="11"/>
  <c r="AL9" i="18"/>
  <c r="AK15" i="18"/>
  <c r="AL13" i="18"/>
  <c r="AL12" i="18"/>
  <c r="AM10" i="18"/>
  <c r="AM14" i="18"/>
  <c r="AL11" i="18"/>
  <c r="L14" i="16"/>
  <c r="M12" i="16"/>
  <c r="M27" i="16" s="1"/>
  <c r="K161" i="11"/>
  <c r="K168" i="11" s="1"/>
  <c r="A223" i="11"/>
  <c r="C214" i="11"/>
  <c r="B214" i="11"/>
  <c r="C219" i="11"/>
  <c r="K177" i="11"/>
  <c r="A197" i="11"/>
  <c r="A185" i="11"/>
  <c r="K9" i="11"/>
  <c r="K10" i="11"/>
  <c r="K11" i="11"/>
  <c r="K12" i="11"/>
  <c r="K8" i="11"/>
  <c r="K127" i="11"/>
  <c r="K128" i="11"/>
  <c r="K129" i="11"/>
  <c r="K130" i="11"/>
  <c r="K126" i="11"/>
  <c r="M131" i="11"/>
  <c r="L143" i="11" s="1"/>
  <c r="L166" i="11" s="1"/>
  <c r="N131" i="11"/>
  <c r="L144" i="11" s="1"/>
  <c r="O131" i="11"/>
  <c r="L145" i="11" s="1"/>
  <c r="P131" i="11"/>
  <c r="L146" i="11" s="1"/>
  <c r="Q131" i="11"/>
  <c r="L147" i="11" s="1"/>
  <c r="R131" i="11"/>
  <c r="L148" i="11" s="1"/>
  <c r="S131" i="11"/>
  <c r="L149" i="11" s="1"/>
  <c r="L131" i="11"/>
  <c r="L142" i="11" s="1"/>
  <c r="M142" i="11" s="1"/>
  <c r="A119" i="11"/>
  <c r="A118" i="11"/>
  <c r="K92" i="11"/>
  <c r="K116" i="11"/>
  <c r="C3" i="11"/>
  <c r="A29" i="13"/>
  <c r="A25" i="13"/>
  <c r="A26" i="13"/>
  <c r="A27" i="13"/>
  <c r="A28" i="13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" i="13"/>
  <c r="A1" i="13"/>
  <c r="C131" i="11"/>
  <c r="A132" i="11" s="1"/>
  <c r="T58" i="18" l="1"/>
  <c r="T92" i="18" s="1"/>
  <c r="O58" i="18"/>
  <c r="O92" i="18" s="1"/>
  <c r="AC58" i="18"/>
  <c r="AC92" i="18" s="1"/>
  <c r="Z58" i="18"/>
  <c r="Z92" i="18" s="1"/>
  <c r="AE58" i="18"/>
  <c r="AE92" i="18" s="1"/>
  <c r="X58" i="18"/>
  <c r="X92" i="18" s="1"/>
  <c r="Q58" i="18"/>
  <c r="Q92" i="18" s="1"/>
  <c r="AG58" i="18"/>
  <c r="AG92" i="18" s="1"/>
  <c r="AD58" i="18"/>
  <c r="AD92" i="18" s="1"/>
  <c r="W58" i="18"/>
  <c r="W92" i="18" s="1"/>
  <c r="AB58" i="18"/>
  <c r="AB92" i="18" s="1"/>
  <c r="U58" i="18"/>
  <c r="U92" i="18" s="1"/>
  <c r="R58" i="18"/>
  <c r="R92" i="18" s="1"/>
  <c r="AH58" i="18"/>
  <c r="AH92" i="18" s="1"/>
  <c r="AA58" i="18"/>
  <c r="AA92" i="18" s="1"/>
  <c r="P58" i="18"/>
  <c r="P92" i="18" s="1"/>
  <c r="AF58" i="18"/>
  <c r="AF92" i="18" s="1"/>
  <c r="Y58" i="18"/>
  <c r="Y92" i="18" s="1"/>
  <c r="V58" i="18"/>
  <c r="V92" i="18" s="1"/>
  <c r="S58" i="18"/>
  <c r="S92" i="18" s="1"/>
  <c r="Y33" i="18"/>
  <c r="L59" i="18"/>
  <c r="K100" i="11"/>
  <c r="N5" i="18"/>
  <c r="K202" i="11"/>
  <c r="K204" i="11" s="1"/>
  <c r="K186" i="11"/>
  <c r="S15" i="11"/>
  <c r="R26" i="11"/>
  <c r="AN10" i="18"/>
  <c r="AM11" i="18"/>
  <c r="AM13" i="18"/>
  <c r="AM12" i="18"/>
  <c r="AN14" i="18"/>
  <c r="AM9" i="18"/>
  <c r="AL15" i="18"/>
  <c r="M14" i="16"/>
  <c r="N12" i="16"/>
  <c r="N27" i="16" s="1"/>
  <c r="K179" i="11"/>
  <c r="K193" i="11" s="1"/>
  <c r="K215" i="11"/>
  <c r="K229" i="11" s="1"/>
  <c r="K236" i="11" s="1"/>
  <c r="K93" i="11"/>
  <c r="K97" i="11"/>
  <c r="K94" i="11"/>
  <c r="K98" i="11"/>
  <c r="K95" i="11"/>
  <c r="K99" i="11"/>
  <c r="K96" i="11"/>
  <c r="K167" i="11"/>
  <c r="M146" i="11"/>
  <c r="N146" i="11" s="1"/>
  <c r="N142" i="11"/>
  <c r="M145" i="11"/>
  <c r="M148" i="11"/>
  <c r="M144" i="11"/>
  <c r="M149" i="11"/>
  <c r="M147" i="11"/>
  <c r="M143" i="11"/>
  <c r="M166" i="11" s="1"/>
  <c r="AA59" i="18" l="1"/>
  <c r="AA93" i="18" s="1"/>
  <c r="X59" i="18"/>
  <c r="X93" i="18" s="1"/>
  <c r="Y59" i="18"/>
  <c r="Y93" i="18" s="1"/>
  <c r="AH59" i="18"/>
  <c r="AH93" i="18" s="1"/>
  <c r="AD59" i="18"/>
  <c r="AD93" i="18" s="1"/>
  <c r="AE59" i="18"/>
  <c r="AE93" i="18" s="1"/>
  <c r="AB59" i="18"/>
  <c r="AB93" i="18" s="1"/>
  <c r="AC59" i="18"/>
  <c r="AC93" i="18" s="1"/>
  <c r="V59" i="18"/>
  <c r="V93" i="18" s="1"/>
  <c r="S59" i="18"/>
  <c r="S93" i="18" s="1"/>
  <c r="P59" i="18"/>
  <c r="P93" i="18" s="1"/>
  <c r="AF59" i="18"/>
  <c r="AF93" i="18" s="1"/>
  <c r="AG59" i="18"/>
  <c r="AG93" i="18" s="1"/>
  <c r="Q59" i="18"/>
  <c r="Q93" i="18" s="1"/>
  <c r="W59" i="18"/>
  <c r="W93" i="18" s="1"/>
  <c r="T59" i="18"/>
  <c r="T93" i="18" s="1"/>
  <c r="U59" i="18"/>
  <c r="U93" i="18" s="1"/>
  <c r="R59" i="18"/>
  <c r="R93" i="18" s="1"/>
  <c r="Z59" i="18"/>
  <c r="Z93" i="18" s="1"/>
  <c r="O59" i="18"/>
  <c r="O93" i="18" s="1"/>
  <c r="L60" i="18"/>
  <c r="Z33" i="18"/>
  <c r="T15" i="11"/>
  <c r="S26" i="11"/>
  <c r="AN12" i="18"/>
  <c r="AN11" i="18"/>
  <c r="AO14" i="18"/>
  <c r="AN9" i="18"/>
  <c r="AM15" i="18"/>
  <c r="AN13" i="18"/>
  <c r="AO10" i="18"/>
  <c r="N14" i="16"/>
  <c r="O12" i="16"/>
  <c r="O27" i="16" s="1"/>
  <c r="K101" i="11"/>
  <c r="N147" i="11"/>
  <c r="N144" i="11"/>
  <c r="O146" i="11"/>
  <c r="N145" i="11"/>
  <c r="N143" i="11"/>
  <c r="N166" i="11" s="1"/>
  <c r="N149" i="11"/>
  <c r="N148" i="11"/>
  <c r="O142" i="11"/>
  <c r="C1" i="10"/>
  <c r="D1" i="10" s="1"/>
  <c r="E1" i="10" s="1"/>
  <c r="F1" i="10" s="1"/>
  <c r="G1" i="10" s="1"/>
  <c r="H1" i="10" s="1"/>
  <c r="I1" i="10" s="1"/>
  <c r="J1" i="10" s="1"/>
  <c r="K1" i="10" s="1"/>
  <c r="L1" i="10" s="1"/>
  <c r="M1" i="10" s="1"/>
  <c r="N1" i="10" s="1"/>
  <c r="O1" i="10" s="1"/>
  <c r="P1" i="10" s="1"/>
  <c r="Q1" i="10" s="1"/>
  <c r="R1" i="10" s="1"/>
  <c r="S1" i="10" s="1"/>
  <c r="T1" i="10" s="1"/>
  <c r="U1" i="10" s="1"/>
  <c r="V1" i="10" s="1"/>
  <c r="W1" i="10" s="1"/>
  <c r="X1" i="10" s="1"/>
  <c r="Y1" i="10" s="1"/>
  <c r="Z1" i="10" s="1"/>
  <c r="AA1" i="10" s="1"/>
  <c r="AB1" i="10" s="1"/>
  <c r="AC1" i="10" s="1"/>
  <c r="AD1" i="10" s="1"/>
  <c r="AE1" i="10" s="1"/>
  <c r="AF1" i="10" s="1"/>
  <c r="AG1" i="10" s="1"/>
  <c r="AH1" i="10" s="1"/>
  <c r="AI1" i="10" s="1"/>
  <c r="AJ1" i="10" s="1"/>
  <c r="AK1" i="10" s="1"/>
  <c r="AL1" i="10" s="1"/>
  <c r="AM1" i="10" s="1"/>
  <c r="AN1" i="10" s="1"/>
  <c r="AO1" i="10" s="1"/>
  <c r="AP1" i="10" s="1"/>
  <c r="AQ1" i="10" s="1"/>
  <c r="AR1" i="10" s="1"/>
  <c r="AS1" i="10" s="1"/>
  <c r="AT1" i="10" s="1"/>
  <c r="AU1" i="10" s="1"/>
  <c r="AV1" i="10" s="1"/>
  <c r="AW1" i="10" s="1"/>
  <c r="AX1" i="10" s="1"/>
  <c r="AY1" i="10" s="1"/>
  <c r="AZ1" i="10" s="1"/>
  <c r="BA1" i="10" s="1"/>
  <c r="BB1" i="10" s="1"/>
  <c r="BC1" i="10" s="1"/>
  <c r="BD1" i="10" s="1"/>
  <c r="BE1" i="10" s="1"/>
  <c r="BF1" i="10" s="1"/>
  <c r="BG1" i="10" s="1"/>
  <c r="BH1" i="10" s="1"/>
  <c r="BI1" i="10" s="1"/>
  <c r="BJ1" i="10" s="1"/>
  <c r="BK1" i="10" s="1"/>
  <c r="BL1" i="10" s="1"/>
  <c r="BM1" i="10" s="1"/>
  <c r="BN1" i="10" s="1"/>
  <c r="BO1" i="10" s="1"/>
  <c r="BP1" i="10" s="1"/>
  <c r="BQ1" i="10" s="1"/>
  <c r="BR1" i="10" s="1"/>
  <c r="BS1" i="10" s="1"/>
  <c r="BT1" i="10" s="1"/>
  <c r="BU1" i="10" s="1"/>
  <c r="BV1" i="10" s="1"/>
  <c r="BW1" i="10" s="1"/>
  <c r="BX1" i="10" s="1"/>
  <c r="BY1" i="10" s="1"/>
  <c r="BZ1" i="10" s="1"/>
  <c r="CA1" i="10" s="1"/>
  <c r="CB1" i="10" s="1"/>
  <c r="CC1" i="10" s="1"/>
  <c r="CD1" i="10" s="1"/>
  <c r="CE1" i="10" s="1"/>
  <c r="CF1" i="10" s="1"/>
  <c r="CG1" i="10" s="1"/>
  <c r="CH1" i="10" s="1"/>
  <c r="CI1" i="10" s="1"/>
  <c r="CJ1" i="10" s="1"/>
  <c r="CK1" i="10" s="1"/>
  <c r="CL1" i="10" s="1"/>
  <c r="CM1" i="10" s="1"/>
  <c r="CN1" i="10" s="1"/>
  <c r="CO1" i="10" s="1"/>
  <c r="CP1" i="10" s="1"/>
  <c r="CQ1" i="10" s="1"/>
  <c r="CR1" i="10" s="1"/>
  <c r="CS1" i="10" s="1"/>
  <c r="CT1" i="10" s="1"/>
  <c r="CU1" i="10" s="1"/>
  <c r="CV1" i="10" s="1"/>
  <c r="CW1" i="10" s="1"/>
  <c r="CX1" i="10" s="1"/>
  <c r="CY1" i="10" s="1"/>
  <c r="CZ1" i="10" s="1"/>
  <c r="DA1" i="10" s="1"/>
  <c r="DB1" i="10" s="1"/>
  <c r="DC1" i="10" s="1"/>
  <c r="DD1" i="10" s="1"/>
  <c r="DE1" i="10" s="1"/>
  <c r="DF1" i="10" s="1"/>
  <c r="DG1" i="10" s="1"/>
  <c r="DH1" i="10" s="1"/>
  <c r="DI1" i="10" s="1"/>
  <c r="DJ1" i="10" s="1"/>
  <c r="DK1" i="10" s="1"/>
  <c r="DL1" i="10" s="1"/>
  <c r="DM1" i="10" s="1"/>
  <c r="DN1" i="10" s="1"/>
  <c r="DO1" i="10" s="1"/>
  <c r="DP1" i="10" s="1"/>
  <c r="DQ1" i="10" s="1"/>
  <c r="DR1" i="10" s="1"/>
  <c r="DS1" i="10" s="1"/>
  <c r="DT1" i="10" s="1"/>
  <c r="DU1" i="10" s="1"/>
  <c r="DV1" i="10" s="1"/>
  <c r="DW1" i="10" s="1"/>
  <c r="DX1" i="10" s="1"/>
  <c r="DY1" i="10" s="1"/>
  <c r="L112" i="11"/>
  <c r="Y60" i="18" l="1"/>
  <c r="Y94" i="18" s="1"/>
  <c r="V60" i="18"/>
  <c r="V94" i="18" s="1"/>
  <c r="S60" i="18"/>
  <c r="S94" i="18" s="1"/>
  <c r="P60" i="18"/>
  <c r="P94" i="18" s="1"/>
  <c r="AB60" i="18"/>
  <c r="AB94" i="18" s="1"/>
  <c r="AC60" i="18"/>
  <c r="AC94" i="18" s="1"/>
  <c r="Z60" i="18"/>
  <c r="Z94" i="18" s="1"/>
  <c r="W60" i="18"/>
  <c r="W94" i="18" s="1"/>
  <c r="AF60" i="18"/>
  <c r="AF94" i="18" s="1"/>
  <c r="X60" i="18"/>
  <c r="X94" i="18" s="1"/>
  <c r="Q60" i="18"/>
  <c r="Q94" i="18" s="1"/>
  <c r="AG60" i="18"/>
  <c r="AG94" i="18" s="1"/>
  <c r="AD60" i="18"/>
  <c r="AD94" i="18" s="1"/>
  <c r="AA60" i="18"/>
  <c r="AA94" i="18" s="1"/>
  <c r="O60" i="18"/>
  <c r="O94" i="18" s="1"/>
  <c r="U60" i="18"/>
  <c r="U94" i="18" s="1"/>
  <c r="R60" i="18"/>
  <c r="R94" i="18" s="1"/>
  <c r="AH60" i="18"/>
  <c r="AH94" i="18" s="1"/>
  <c r="AE60" i="18"/>
  <c r="AE94" i="18" s="1"/>
  <c r="T60" i="18"/>
  <c r="T94" i="18" s="1"/>
  <c r="AA33" i="18"/>
  <c r="L61" i="18"/>
  <c r="U15" i="11"/>
  <c r="T26" i="11"/>
  <c r="DZ1" i="10"/>
  <c r="EA1" i="10" s="1"/>
  <c r="EB1" i="10" s="1"/>
  <c r="EC1" i="10" s="1"/>
  <c r="ED1" i="10" s="1"/>
  <c r="EE1" i="10" s="1"/>
  <c r="EF1" i="10" s="1"/>
  <c r="EG1" i="10" s="1"/>
  <c r="EH1" i="10" s="1"/>
  <c r="EI1" i="10" s="1"/>
  <c r="EJ1" i="10" s="1"/>
  <c r="EK1" i="10" s="1"/>
  <c r="EL1" i="10" s="1"/>
  <c r="EM1" i="10" s="1"/>
  <c r="EN1" i="10" s="1"/>
  <c r="EO1" i="10" s="1"/>
  <c r="EP1" i="10" s="1"/>
  <c r="EQ1" i="10" s="1"/>
  <c r="ER1" i="10" s="1"/>
  <c r="ES1" i="10" s="1"/>
  <c r="ET1" i="10" s="1"/>
  <c r="EU1" i="10" s="1"/>
  <c r="EV1" i="10" s="1"/>
  <c r="EW1" i="10" s="1"/>
  <c r="EX1" i="10" s="1"/>
  <c r="EY1" i="10" s="1"/>
  <c r="EZ1" i="10" s="1"/>
  <c r="FA1" i="10" s="1"/>
  <c r="FB1" i="10" s="1"/>
  <c r="FC1" i="10" s="1"/>
  <c r="FD1" i="10" s="1"/>
  <c r="FE1" i="10" s="1"/>
  <c r="FF1" i="10" s="1"/>
  <c r="FG1" i="10" s="1"/>
  <c r="FH1" i="10" s="1"/>
  <c r="FI1" i="10" s="1"/>
  <c r="FJ1" i="10" s="1"/>
  <c r="FK1" i="10" s="1"/>
  <c r="FL1" i="10" s="1"/>
  <c r="FM1" i="10" s="1"/>
  <c r="FN1" i="10" s="1"/>
  <c r="FO1" i="10" s="1"/>
  <c r="FP1" i="10" s="1"/>
  <c r="FQ1" i="10" s="1"/>
  <c r="FR1" i="10" s="1"/>
  <c r="FS1" i="10" s="1"/>
  <c r="FT1" i="10" s="1"/>
  <c r="FU1" i="10" s="1"/>
  <c r="FV1" i="10" s="1"/>
  <c r="FW1" i="10" s="1"/>
  <c r="FX1" i="10" s="1"/>
  <c r="FY1" i="10" s="1"/>
  <c r="FZ1" i="10" s="1"/>
  <c r="GA1" i="10" s="1"/>
  <c r="GB1" i="10" s="1"/>
  <c r="GC1" i="10" s="1"/>
  <c r="GD1" i="10" s="1"/>
  <c r="GE1" i="10" s="1"/>
  <c r="GF1" i="10" s="1"/>
  <c r="GG1" i="10" s="1"/>
  <c r="GH1" i="10" s="1"/>
  <c r="GI1" i="10" s="1"/>
  <c r="GJ1" i="10" s="1"/>
  <c r="GK1" i="10" s="1"/>
  <c r="GL1" i="10" s="1"/>
  <c r="GM1" i="10" s="1"/>
  <c r="GN1" i="10" s="1"/>
  <c r="GO1" i="10" s="1"/>
  <c r="GP1" i="10" s="1"/>
  <c r="GQ1" i="10" s="1"/>
  <c r="GR1" i="10" s="1"/>
  <c r="GS1" i="10" s="1"/>
  <c r="GT1" i="10" s="1"/>
  <c r="GU1" i="10" s="1"/>
  <c r="GV1" i="10" s="1"/>
  <c r="GW1" i="10" s="1"/>
  <c r="GX1" i="10" s="1"/>
  <c r="GY1" i="10" s="1"/>
  <c r="GZ1" i="10" s="1"/>
  <c r="HA1" i="10" s="1"/>
  <c r="HB1" i="10" s="1"/>
  <c r="HC1" i="10" s="1"/>
  <c r="HD1" i="10" s="1"/>
  <c r="HE1" i="10" s="1"/>
  <c r="HF1" i="10" s="1"/>
  <c r="HG1" i="10" s="1"/>
  <c r="HH1" i="10" s="1"/>
  <c r="HI1" i="10" s="1"/>
  <c r="HJ1" i="10" s="1"/>
  <c r="HK1" i="10" s="1"/>
  <c r="HL1" i="10" s="1"/>
  <c r="HM1" i="10" s="1"/>
  <c r="HN1" i="10" s="1"/>
  <c r="HO1" i="10" s="1"/>
  <c r="HP1" i="10" s="1"/>
  <c r="HQ1" i="10" s="1"/>
  <c r="HR1" i="10" s="1"/>
  <c r="HS1" i="10" s="1"/>
  <c r="HT1" i="10" s="1"/>
  <c r="HU1" i="10" s="1"/>
  <c r="HV1" i="10" s="1"/>
  <c r="HW1" i="10" s="1"/>
  <c r="HX1" i="10" s="1"/>
  <c r="HY1" i="10" s="1"/>
  <c r="HZ1" i="10" s="1"/>
  <c r="IA1" i="10" s="1"/>
  <c r="IB1" i="10" s="1"/>
  <c r="IC1" i="10" s="1"/>
  <c r="ID1" i="10" s="1"/>
  <c r="IE1" i="10" s="1"/>
  <c r="IF1" i="10" s="1"/>
  <c r="IG1" i="10" s="1"/>
  <c r="IH1" i="10" s="1"/>
  <c r="II1" i="10" s="1"/>
  <c r="IJ1" i="10" s="1"/>
  <c r="IK1" i="10" s="1"/>
  <c r="IL1" i="10" s="1"/>
  <c r="IM1" i="10" s="1"/>
  <c r="IN1" i="10" s="1"/>
  <c r="IO1" i="10" s="1"/>
  <c r="IP1" i="10" s="1"/>
  <c r="IQ1" i="10" s="1"/>
  <c r="IR1" i="10" s="1"/>
  <c r="IS1" i="10" s="1"/>
  <c r="IT1" i="10" s="1"/>
  <c r="IU1" i="10" s="1"/>
  <c r="IV1" i="10" s="1"/>
  <c r="IW1" i="10" s="1"/>
  <c r="IX1" i="10" s="1"/>
  <c r="IY1" i="10" s="1"/>
  <c r="IZ1" i="10" s="1"/>
  <c r="JA1" i="10" s="1"/>
  <c r="JB1" i="10" s="1"/>
  <c r="JC1" i="10" s="1"/>
  <c r="JD1" i="10" s="1"/>
  <c r="JE1" i="10" s="1"/>
  <c r="JF1" i="10" s="1"/>
  <c r="JG1" i="10" s="1"/>
  <c r="JH1" i="10" s="1"/>
  <c r="JI1" i="10" s="1"/>
  <c r="JJ1" i="10" s="1"/>
  <c r="JK1" i="10" s="1"/>
  <c r="JL1" i="10" s="1"/>
  <c r="JM1" i="10" s="1"/>
  <c r="JN1" i="10" s="1"/>
  <c r="JO1" i="10" s="1"/>
  <c r="JP1" i="10" s="1"/>
  <c r="JQ1" i="10" s="1"/>
  <c r="JR1" i="10" s="1"/>
  <c r="JS1" i="10" s="1"/>
  <c r="JT1" i="10" s="1"/>
  <c r="JU1" i="10" s="1"/>
  <c r="JV1" i="10" s="1"/>
  <c r="JW1" i="10" s="1"/>
  <c r="JX1" i="10" s="1"/>
  <c r="JY1" i="10" s="1"/>
  <c r="JZ1" i="10" s="1"/>
  <c r="KA1" i="10" s="1"/>
  <c r="KB1" i="10" s="1"/>
  <c r="KC1" i="10" s="1"/>
  <c r="KD1" i="10" s="1"/>
  <c r="KE1" i="10" s="1"/>
  <c r="KF1" i="10" s="1"/>
  <c r="KG1" i="10" s="1"/>
  <c r="KH1" i="10" s="1"/>
  <c r="KI1" i="10" s="1"/>
  <c r="KJ1" i="10" s="1"/>
  <c r="KK1" i="10" s="1"/>
  <c r="KL1" i="10" s="1"/>
  <c r="KM1" i="10" s="1"/>
  <c r="KN1" i="10" s="1"/>
  <c r="KO1" i="10" s="1"/>
  <c r="KP1" i="10" s="1"/>
  <c r="KQ1" i="10" s="1"/>
  <c r="KR1" i="10" s="1"/>
  <c r="KS1" i="10" s="1"/>
  <c r="KT1" i="10" s="1"/>
  <c r="KU1" i="10" s="1"/>
  <c r="KV1" i="10" s="1"/>
  <c r="KW1" i="10" s="1"/>
  <c r="KX1" i="10" s="1"/>
  <c r="KY1" i="10" s="1"/>
  <c r="KZ1" i="10" s="1"/>
  <c r="LA1" i="10" s="1"/>
  <c r="LB1" i="10" s="1"/>
  <c r="LC1" i="10" s="1"/>
  <c r="LD1" i="10" s="1"/>
  <c r="LE1" i="10" s="1"/>
  <c r="LF1" i="10" s="1"/>
  <c r="LG1" i="10" s="1"/>
  <c r="LH1" i="10" s="1"/>
  <c r="LI1" i="10" s="1"/>
  <c r="LJ1" i="10" s="1"/>
  <c r="LK1" i="10" s="1"/>
  <c r="LL1" i="10" s="1"/>
  <c r="LM1" i="10" s="1"/>
  <c r="LN1" i="10" s="1"/>
  <c r="LO1" i="10" s="1"/>
  <c r="LP1" i="10" s="1"/>
  <c r="LQ1" i="10" s="1"/>
  <c r="LR1" i="10" s="1"/>
  <c r="LS1" i="10" s="1"/>
  <c r="LT1" i="10" s="1"/>
  <c r="LU1" i="10" s="1"/>
  <c r="LV1" i="10" s="1"/>
  <c r="LW1" i="10" s="1"/>
  <c r="LX1" i="10" s="1"/>
  <c r="LY1" i="10" s="1"/>
  <c r="LZ1" i="10" s="1"/>
  <c r="MA1" i="10" s="1"/>
  <c r="MB1" i="10" s="1"/>
  <c r="MC1" i="10" s="1"/>
  <c r="MD1" i="10" s="1"/>
  <c r="ME1" i="10" s="1"/>
  <c r="MF1" i="10" s="1"/>
  <c r="MG1" i="10" s="1"/>
  <c r="MH1" i="10" s="1"/>
  <c r="MI1" i="10" s="1"/>
  <c r="MJ1" i="10" s="1"/>
  <c r="MK1" i="10" s="1"/>
  <c r="ML1" i="10" s="1"/>
  <c r="MM1" i="10" s="1"/>
  <c r="AO13" i="18"/>
  <c r="AO9" i="18"/>
  <c r="AN15" i="18"/>
  <c r="AO11" i="18"/>
  <c r="AP10" i="18"/>
  <c r="AP14" i="18"/>
  <c r="AO12" i="18"/>
  <c r="O14" i="16"/>
  <c r="P12" i="16"/>
  <c r="P27" i="16" s="1"/>
  <c r="L177" i="11"/>
  <c r="L133" i="11"/>
  <c r="L161" i="11" s="1"/>
  <c r="L168" i="11" s="1"/>
  <c r="L114" i="11"/>
  <c r="L115" i="11"/>
  <c r="P142" i="11"/>
  <c r="O148" i="11"/>
  <c r="O147" i="11"/>
  <c r="O149" i="11"/>
  <c r="O145" i="11"/>
  <c r="O144" i="11"/>
  <c r="O143" i="11"/>
  <c r="O166" i="11" s="1"/>
  <c r="P146" i="11"/>
  <c r="M112" i="11"/>
  <c r="L92" i="11"/>
  <c r="L13" i="11"/>
  <c r="K16" i="11" s="1"/>
  <c r="L16" i="11" s="1"/>
  <c r="M13" i="11"/>
  <c r="K17" i="11" s="1"/>
  <c r="L17" i="11" s="1"/>
  <c r="M17" i="11" s="1"/>
  <c r="N17" i="11" s="1"/>
  <c r="O17" i="11" s="1"/>
  <c r="P17" i="11" s="1"/>
  <c r="Q17" i="11" s="1"/>
  <c r="R17" i="11" s="1"/>
  <c r="S17" i="11" s="1"/>
  <c r="T17" i="11" s="1"/>
  <c r="U17" i="11" s="1"/>
  <c r="V17" i="11" s="1"/>
  <c r="W17" i="11" s="1"/>
  <c r="X17" i="11" s="1"/>
  <c r="Y17" i="11" s="1"/>
  <c r="Z17" i="11" s="1"/>
  <c r="AA17" i="11" s="1"/>
  <c r="AB17" i="11" s="1"/>
  <c r="AC17" i="11" s="1"/>
  <c r="AD17" i="11" s="1"/>
  <c r="AE17" i="11" s="1"/>
  <c r="AF17" i="11" s="1"/>
  <c r="AG17" i="11" s="1"/>
  <c r="AH17" i="11" s="1"/>
  <c r="AI17" i="11" s="1"/>
  <c r="AJ17" i="11" s="1"/>
  <c r="AK17" i="11" s="1"/>
  <c r="AL17" i="11" s="1"/>
  <c r="AM17" i="11" s="1"/>
  <c r="AN17" i="11" s="1"/>
  <c r="P13" i="11"/>
  <c r="K20" i="11" s="1"/>
  <c r="L20" i="11" s="1"/>
  <c r="M20" i="11" s="1"/>
  <c r="N20" i="11" s="1"/>
  <c r="O20" i="11" s="1"/>
  <c r="P20" i="11" s="1"/>
  <c r="Q20" i="11" s="1"/>
  <c r="R20" i="11" s="1"/>
  <c r="S20" i="11" s="1"/>
  <c r="T20" i="11" s="1"/>
  <c r="U20" i="11" s="1"/>
  <c r="V20" i="11" s="1"/>
  <c r="W20" i="11" s="1"/>
  <c r="X20" i="11" s="1"/>
  <c r="Y20" i="11" s="1"/>
  <c r="Z20" i="11" s="1"/>
  <c r="AA20" i="11" s="1"/>
  <c r="AB20" i="11" s="1"/>
  <c r="AC20" i="11" s="1"/>
  <c r="AD20" i="11" s="1"/>
  <c r="AE20" i="11" s="1"/>
  <c r="AF20" i="11" s="1"/>
  <c r="AG20" i="11" s="1"/>
  <c r="AH20" i="11" s="1"/>
  <c r="AI20" i="11" s="1"/>
  <c r="AJ20" i="11" s="1"/>
  <c r="AK20" i="11" s="1"/>
  <c r="AL20" i="11" s="1"/>
  <c r="AM20" i="11" s="1"/>
  <c r="AN20" i="11" s="1"/>
  <c r="O13" i="11"/>
  <c r="R13" i="11"/>
  <c r="K22" i="11" s="1"/>
  <c r="L22" i="11" s="1"/>
  <c r="M22" i="11" s="1"/>
  <c r="N22" i="11" s="1"/>
  <c r="O22" i="11" s="1"/>
  <c r="P22" i="11" s="1"/>
  <c r="Q22" i="11" s="1"/>
  <c r="R22" i="11" s="1"/>
  <c r="S22" i="11" s="1"/>
  <c r="T22" i="11" s="1"/>
  <c r="U22" i="11" s="1"/>
  <c r="V22" i="11" s="1"/>
  <c r="W22" i="11" s="1"/>
  <c r="X22" i="11" s="1"/>
  <c r="Y22" i="11" s="1"/>
  <c r="Z22" i="11" s="1"/>
  <c r="AA22" i="11" s="1"/>
  <c r="AB22" i="11" s="1"/>
  <c r="AC22" i="11" s="1"/>
  <c r="AD22" i="11" s="1"/>
  <c r="AE22" i="11" s="1"/>
  <c r="AF22" i="11" s="1"/>
  <c r="AG22" i="11" s="1"/>
  <c r="AH22" i="11" s="1"/>
  <c r="AI22" i="11" s="1"/>
  <c r="AJ22" i="11" s="1"/>
  <c r="AK22" i="11" s="1"/>
  <c r="AL22" i="11" s="1"/>
  <c r="AM22" i="11" s="1"/>
  <c r="AN22" i="11" s="1"/>
  <c r="N13" i="11"/>
  <c r="S13" i="11"/>
  <c r="K23" i="11" s="1"/>
  <c r="L23" i="11" s="1"/>
  <c r="M23" i="11" s="1"/>
  <c r="N23" i="11" s="1"/>
  <c r="O23" i="11" s="1"/>
  <c r="P23" i="11" s="1"/>
  <c r="Q23" i="11" s="1"/>
  <c r="R23" i="11" s="1"/>
  <c r="S23" i="11" s="1"/>
  <c r="T23" i="11" s="1"/>
  <c r="U23" i="11" s="1"/>
  <c r="V23" i="11" s="1"/>
  <c r="W23" i="11" s="1"/>
  <c r="X23" i="11" s="1"/>
  <c r="Y23" i="11" s="1"/>
  <c r="Z23" i="11" s="1"/>
  <c r="AA23" i="11" s="1"/>
  <c r="AB23" i="11" s="1"/>
  <c r="AC23" i="11" s="1"/>
  <c r="AD23" i="11" s="1"/>
  <c r="AE23" i="11" s="1"/>
  <c r="AF23" i="11" s="1"/>
  <c r="AG23" i="11" s="1"/>
  <c r="AH23" i="11" s="1"/>
  <c r="AI23" i="11" s="1"/>
  <c r="AJ23" i="11" s="1"/>
  <c r="AK23" i="11" s="1"/>
  <c r="AL23" i="11" s="1"/>
  <c r="AM23" i="11" s="1"/>
  <c r="AN23" i="11" s="1"/>
  <c r="Q13" i="11"/>
  <c r="K21" i="11" s="1"/>
  <c r="L21" i="11" s="1"/>
  <c r="M21" i="11" s="1"/>
  <c r="N21" i="11" s="1"/>
  <c r="O21" i="11" s="1"/>
  <c r="P21" i="11" s="1"/>
  <c r="Q21" i="11" s="1"/>
  <c r="R21" i="11" s="1"/>
  <c r="S21" i="11" s="1"/>
  <c r="T21" i="11" s="1"/>
  <c r="U21" i="11" s="1"/>
  <c r="V21" i="11" s="1"/>
  <c r="W21" i="11" s="1"/>
  <c r="X21" i="11" s="1"/>
  <c r="Y21" i="11" s="1"/>
  <c r="Z21" i="11" s="1"/>
  <c r="AA21" i="11" s="1"/>
  <c r="AB21" i="11" s="1"/>
  <c r="AC21" i="11" s="1"/>
  <c r="AD21" i="11" s="1"/>
  <c r="AE21" i="11" s="1"/>
  <c r="AF21" i="11" s="1"/>
  <c r="AG21" i="11" s="1"/>
  <c r="AH21" i="11" s="1"/>
  <c r="AI21" i="11" s="1"/>
  <c r="AJ21" i="11" s="1"/>
  <c r="AK21" i="11" s="1"/>
  <c r="AL21" i="11" s="1"/>
  <c r="AM21" i="11" s="1"/>
  <c r="AN21" i="11" s="1"/>
  <c r="R61" i="18" l="1"/>
  <c r="R95" i="18" s="1"/>
  <c r="AH61" i="18"/>
  <c r="AH95" i="18" s="1"/>
  <c r="AA61" i="18"/>
  <c r="AA95" i="18" s="1"/>
  <c r="X61" i="18"/>
  <c r="X95" i="18" s="1"/>
  <c r="Q61" i="18"/>
  <c r="Q95" i="18" s="1"/>
  <c r="V61" i="18"/>
  <c r="V95" i="18" s="1"/>
  <c r="O61" i="18"/>
  <c r="O95" i="18" s="1"/>
  <c r="AE61" i="18"/>
  <c r="AE95" i="18" s="1"/>
  <c r="AB61" i="18"/>
  <c r="AB95" i="18" s="1"/>
  <c r="AG61" i="18"/>
  <c r="AG95" i="18" s="1"/>
  <c r="Z61" i="18"/>
  <c r="Z95" i="18" s="1"/>
  <c r="S61" i="18"/>
  <c r="S95" i="18" s="1"/>
  <c r="P61" i="18"/>
  <c r="P95" i="18" s="1"/>
  <c r="AF61" i="18"/>
  <c r="AF95" i="18" s="1"/>
  <c r="U61" i="18"/>
  <c r="U95" i="18" s="1"/>
  <c r="AD61" i="18"/>
  <c r="AD95" i="18" s="1"/>
  <c r="W61" i="18"/>
  <c r="W95" i="18" s="1"/>
  <c r="T61" i="18"/>
  <c r="T95" i="18" s="1"/>
  <c r="AC61" i="18"/>
  <c r="AC95" i="18" s="1"/>
  <c r="Y61" i="18"/>
  <c r="Y95" i="18" s="1"/>
  <c r="M16" i="11"/>
  <c r="L93" i="11"/>
  <c r="B76" i="11" s="1"/>
  <c r="L62" i="18"/>
  <c r="AB33" i="18"/>
  <c r="L202" i="11"/>
  <c r="L186" i="11"/>
  <c r="V15" i="11"/>
  <c r="U26" i="11"/>
  <c r="AP12" i="18"/>
  <c r="AQ10" i="18"/>
  <c r="AP13" i="18"/>
  <c r="AP9" i="18"/>
  <c r="AO15" i="18"/>
  <c r="AQ14" i="18"/>
  <c r="AP11" i="18"/>
  <c r="P14" i="16"/>
  <c r="Q12" i="16"/>
  <c r="Q27" i="16" s="1"/>
  <c r="L179" i="11"/>
  <c r="L193" i="11" s="1"/>
  <c r="L215" i="11"/>
  <c r="M133" i="11"/>
  <c r="M161" i="11" s="1"/>
  <c r="M168" i="11" s="1"/>
  <c r="M177" i="11"/>
  <c r="M115" i="11"/>
  <c r="M114" i="11"/>
  <c r="L116" i="11"/>
  <c r="L178" i="11"/>
  <c r="P149" i="11"/>
  <c r="Q146" i="11"/>
  <c r="P144" i="11"/>
  <c r="P148" i="11"/>
  <c r="P143" i="11"/>
  <c r="P166" i="11" s="1"/>
  <c r="P145" i="11"/>
  <c r="P147" i="11"/>
  <c r="Q142" i="11"/>
  <c r="M139" i="11"/>
  <c r="N139" i="11" s="1"/>
  <c r="O139" i="11" s="1"/>
  <c r="P139" i="11" s="1"/>
  <c r="Q139" i="11" s="1"/>
  <c r="R139" i="11" s="1"/>
  <c r="S139" i="11" s="1"/>
  <c r="T139" i="11" s="1"/>
  <c r="U139" i="11" s="1"/>
  <c r="V139" i="11" s="1"/>
  <c r="W139" i="11" s="1"/>
  <c r="X139" i="11" s="1"/>
  <c r="Y139" i="11" s="1"/>
  <c r="Z139" i="11" s="1"/>
  <c r="AA139" i="11" s="1"/>
  <c r="AB139" i="11" s="1"/>
  <c r="AC139" i="11" s="1"/>
  <c r="AD139" i="11" s="1"/>
  <c r="AE139" i="11" s="1"/>
  <c r="AF139" i="11" s="1"/>
  <c r="AG139" i="11" s="1"/>
  <c r="AH139" i="11" s="1"/>
  <c r="AI139" i="11" s="1"/>
  <c r="AJ139" i="11" s="1"/>
  <c r="AK139" i="11" s="1"/>
  <c r="AL139" i="11" s="1"/>
  <c r="AM139" i="11" s="1"/>
  <c r="AN139" i="11" s="1"/>
  <c r="M137" i="11"/>
  <c r="N137" i="11" s="1"/>
  <c r="O137" i="11" s="1"/>
  <c r="P137" i="11" s="1"/>
  <c r="Q137" i="11" s="1"/>
  <c r="R137" i="11" s="1"/>
  <c r="S137" i="11" s="1"/>
  <c r="T137" i="11" s="1"/>
  <c r="U137" i="11" s="1"/>
  <c r="V137" i="11" s="1"/>
  <c r="W137" i="11" s="1"/>
  <c r="X137" i="11" s="1"/>
  <c r="Y137" i="11" s="1"/>
  <c r="Z137" i="11" s="1"/>
  <c r="AA137" i="11" s="1"/>
  <c r="AB137" i="11" s="1"/>
  <c r="AC137" i="11" s="1"/>
  <c r="AD137" i="11" s="1"/>
  <c r="AE137" i="11" s="1"/>
  <c r="AF137" i="11" s="1"/>
  <c r="AG137" i="11" s="1"/>
  <c r="AH137" i="11" s="1"/>
  <c r="AI137" i="11" s="1"/>
  <c r="AJ137" i="11" s="1"/>
  <c r="AK137" i="11" s="1"/>
  <c r="AL137" i="11" s="1"/>
  <c r="AM137" i="11" s="1"/>
  <c r="AN137" i="11" s="1"/>
  <c r="M141" i="11"/>
  <c r="N141" i="11" s="1"/>
  <c r="O141" i="11" s="1"/>
  <c r="P141" i="11" s="1"/>
  <c r="Q141" i="11" s="1"/>
  <c r="R141" i="11" s="1"/>
  <c r="S141" i="11" s="1"/>
  <c r="T141" i="11" s="1"/>
  <c r="U141" i="11" s="1"/>
  <c r="V141" i="11" s="1"/>
  <c r="W141" i="11" s="1"/>
  <c r="X141" i="11" s="1"/>
  <c r="Y141" i="11" s="1"/>
  <c r="Z141" i="11" s="1"/>
  <c r="AA141" i="11" s="1"/>
  <c r="AB141" i="11" s="1"/>
  <c r="AC141" i="11" s="1"/>
  <c r="AD141" i="11" s="1"/>
  <c r="AE141" i="11" s="1"/>
  <c r="AF141" i="11" s="1"/>
  <c r="AG141" i="11" s="1"/>
  <c r="AH141" i="11" s="1"/>
  <c r="AI141" i="11" s="1"/>
  <c r="AJ141" i="11" s="1"/>
  <c r="AK141" i="11" s="1"/>
  <c r="AL141" i="11" s="1"/>
  <c r="AM141" i="11" s="1"/>
  <c r="AN141" i="11" s="1"/>
  <c r="M138" i="11"/>
  <c r="N138" i="11" s="1"/>
  <c r="O138" i="11" s="1"/>
  <c r="P138" i="11" s="1"/>
  <c r="Q138" i="11" s="1"/>
  <c r="R138" i="11" s="1"/>
  <c r="S138" i="11" s="1"/>
  <c r="T138" i="11" s="1"/>
  <c r="U138" i="11" s="1"/>
  <c r="V138" i="11" s="1"/>
  <c r="W138" i="11" s="1"/>
  <c r="X138" i="11" s="1"/>
  <c r="Y138" i="11" s="1"/>
  <c r="Z138" i="11" s="1"/>
  <c r="AA138" i="11" s="1"/>
  <c r="AB138" i="11" s="1"/>
  <c r="AC138" i="11" s="1"/>
  <c r="AD138" i="11" s="1"/>
  <c r="AE138" i="11" s="1"/>
  <c r="AF138" i="11" s="1"/>
  <c r="AG138" i="11" s="1"/>
  <c r="AH138" i="11" s="1"/>
  <c r="AI138" i="11" s="1"/>
  <c r="AJ138" i="11" s="1"/>
  <c r="AK138" i="11" s="1"/>
  <c r="AL138" i="11" s="1"/>
  <c r="AM138" i="11" s="1"/>
  <c r="AN138" i="11" s="1"/>
  <c r="M136" i="11"/>
  <c r="N136" i="11" s="1"/>
  <c r="O136" i="11" s="1"/>
  <c r="P136" i="11" s="1"/>
  <c r="Q136" i="11" s="1"/>
  <c r="R136" i="11" s="1"/>
  <c r="S136" i="11" s="1"/>
  <c r="T136" i="11" s="1"/>
  <c r="U136" i="11" s="1"/>
  <c r="V136" i="11" s="1"/>
  <c r="W136" i="11" s="1"/>
  <c r="X136" i="11" s="1"/>
  <c r="Y136" i="11" s="1"/>
  <c r="Z136" i="11" s="1"/>
  <c r="AA136" i="11" s="1"/>
  <c r="AB136" i="11" s="1"/>
  <c r="AC136" i="11" s="1"/>
  <c r="AD136" i="11" s="1"/>
  <c r="AE136" i="11" s="1"/>
  <c r="AF136" i="11" s="1"/>
  <c r="AG136" i="11" s="1"/>
  <c r="AH136" i="11" s="1"/>
  <c r="AI136" i="11" s="1"/>
  <c r="AJ136" i="11" s="1"/>
  <c r="AK136" i="11" s="1"/>
  <c r="AL136" i="11" s="1"/>
  <c r="AM136" i="11" s="1"/>
  <c r="AN136" i="11" s="1"/>
  <c r="M135" i="11"/>
  <c r="N135" i="11" s="1"/>
  <c r="O135" i="11" s="1"/>
  <c r="P135" i="11" s="1"/>
  <c r="Q135" i="11" s="1"/>
  <c r="R135" i="11" s="1"/>
  <c r="S135" i="11" s="1"/>
  <c r="T135" i="11" s="1"/>
  <c r="U135" i="11" s="1"/>
  <c r="V135" i="11" s="1"/>
  <c r="W135" i="11" s="1"/>
  <c r="X135" i="11" s="1"/>
  <c r="Y135" i="11" s="1"/>
  <c r="Z135" i="11" s="1"/>
  <c r="AA135" i="11" s="1"/>
  <c r="AB135" i="11" s="1"/>
  <c r="AC135" i="11" s="1"/>
  <c r="AD135" i="11" s="1"/>
  <c r="AE135" i="11" s="1"/>
  <c r="AF135" i="11" s="1"/>
  <c r="AG135" i="11" s="1"/>
  <c r="AH135" i="11" s="1"/>
  <c r="AI135" i="11" s="1"/>
  <c r="AJ135" i="11" s="1"/>
  <c r="AK135" i="11" s="1"/>
  <c r="AL135" i="11" s="1"/>
  <c r="AM135" i="11" s="1"/>
  <c r="AN135" i="11" s="1"/>
  <c r="M140" i="11"/>
  <c r="N140" i="11" s="1"/>
  <c r="O140" i="11" s="1"/>
  <c r="P140" i="11" s="1"/>
  <c r="Q140" i="11" s="1"/>
  <c r="R140" i="11" s="1"/>
  <c r="S140" i="11" s="1"/>
  <c r="T140" i="11" s="1"/>
  <c r="U140" i="11" s="1"/>
  <c r="V140" i="11" s="1"/>
  <c r="W140" i="11" s="1"/>
  <c r="X140" i="11" s="1"/>
  <c r="Y140" i="11" s="1"/>
  <c r="Z140" i="11" s="1"/>
  <c r="AA140" i="11" s="1"/>
  <c r="AB140" i="11" s="1"/>
  <c r="AC140" i="11" s="1"/>
  <c r="AD140" i="11" s="1"/>
  <c r="AE140" i="11" s="1"/>
  <c r="AF140" i="11" s="1"/>
  <c r="AG140" i="11" s="1"/>
  <c r="AH140" i="11" s="1"/>
  <c r="AI140" i="11" s="1"/>
  <c r="AJ140" i="11" s="1"/>
  <c r="AK140" i="11" s="1"/>
  <c r="AL140" i="11" s="1"/>
  <c r="AM140" i="11" s="1"/>
  <c r="AN140" i="11" s="1"/>
  <c r="M134" i="11"/>
  <c r="N134" i="11" s="1"/>
  <c r="O134" i="11" s="1"/>
  <c r="P134" i="11" s="1"/>
  <c r="Q134" i="11" s="1"/>
  <c r="R134" i="11" s="1"/>
  <c r="S134" i="11" s="1"/>
  <c r="T134" i="11" s="1"/>
  <c r="U134" i="11" s="1"/>
  <c r="V134" i="11" s="1"/>
  <c r="W134" i="11" s="1"/>
  <c r="X134" i="11" s="1"/>
  <c r="Y134" i="11" s="1"/>
  <c r="Z134" i="11" s="1"/>
  <c r="AA134" i="11" s="1"/>
  <c r="AB134" i="11" s="1"/>
  <c r="AC134" i="11" s="1"/>
  <c r="AD134" i="11" s="1"/>
  <c r="AE134" i="11" s="1"/>
  <c r="AF134" i="11" s="1"/>
  <c r="AG134" i="11" s="1"/>
  <c r="AH134" i="11" s="1"/>
  <c r="AI134" i="11" s="1"/>
  <c r="AJ134" i="11" s="1"/>
  <c r="AK134" i="11" s="1"/>
  <c r="AL134" i="11" s="1"/>
  <c r="AM134" i="11" s="1"/>
  <c r="AN134" i="11" s="1"/>
  <c r="N112" i="11"/>
  <c r="M92" i="11"/>
  <c r="BC40" i="10"/>
  <c r="BC39" i="10"/>
  <c r="BC38" i="10"/>
  <c r="BC37" i="10"/>
  <c r="BC36" i="10"/>
  <c r="BC35" i="10"/>
  <c r="BC34" i="10"/>
  <c r="BC33" i="10"/>
  <c r="BC32" i="10"/>
  <c r="BC31" i="10"/>
  <c r="BC30" i="10"/>
  <c r="BC29" i="10"/>
  <c r="BC28" i="10"/>
  <c r="BC27" i="10"/>
  <c r="BC26" i="10"/>
  <c r="BC25" i="10"/>
  <c r="BC24" i="10"/>
  <c r="BC23" i="10"/>
  <c r="BC22" i="10"/>
  <c r="BC21" i="10"/>
  <c r="BC20" i="10"/>
  <c r="BC19" i="10"/>
  <c r="BC18" i="10"/>
  <c r="BC17" i="10"/>
  <c r="BC16" i="10"/>
  <c r="BC15" i="10"/>
  <c r="BC14" i="10"/>
  <c r="BC13" i="10"/>
  <c r="BC12" i="10"/>
  <c r="BC11" i="10"/>
  <c r="BC10" i="10"/>
  <c r="BC9" i="10"/>
  <c r="AA62" i="18" l="1"/>
  <c r="AA96" i="18" s="1"/>
  <c r="X62" i="18"/>
  <c r="X96" i="18" s="1"/>
  <c r="Q62" i="18"/>
  <c r="Q96" i="18" s="1"/>
  <c r="AG62" i="18"/>
  <c r="AG96" i="18" s="1"/>
  <c r="R62" i="18"/>
  <c r="R96" i="18" s="1"/>
  <c r="AE62" i="18"/>
  <c r="AE96" i="18" s="1"/>
  <c r="AB62" i="18"/>
  <c r="AB96" i="18" s="1"/>
  <c r="U62" i="18"/>
  <c r="U96" i="18" s="1"/>
  <c r="Z62" i="18"/>
  <c r="Z96" i="18" s="1"/>
  <c r="AH62" i="18"/>
  <c r="AH96" i="18" s="1"/>
  <c r="S62" i="18"/>
  <c r="S96" i="18" s="1"/>
  <c r="P62" i="18"/>
  <c r="P96" i="18" s="1"/>
  <c r="AF62" i="18"/>
  <c r="AF96" i="18" s="1"/>
  <c r="Y62" i="18"/>
  <c r="Y96" i="18" s="1"/>
  <c r="AD62" i="18"/>
  <c r="AD96" i="18" s="1"/>
  <c r="W62" i="18"/>
  <c r="W96" i="18" s="1"/>
  <c r="T62" i="18"/>
  <c r="T96" i="18" s="1"/>
  <c r="O62" i="18"/>
  <c r="O96" i="18" s="1"/>
  <c r="AC62" i="18"/>
  <c r="AC96" i="18" s="1"/>
  <c r="V62" i="18"/>
  <c r="V96" i="18" s="1"/>
  <c r="N16" i="11"/>
  <c r="M93" i="11"/>
  <c r="AC33" i="18"/>
  <c r="L63" i="18"/>
  <c r="L226" i="11"/>
  <c r="M226" i="11" s="1"/>
  <c r="L229" i="11"/>
  <c r="L236" i="11" s="1"/>
  <c r="L220" i="11"/>
  <c r="W15" i="11"/>
  <c r="V26" i="11"/>
  <c r="M202" i="11"/>
  <c r="M204" i="11" s="1"/>
  <c r="M186" i="11"/>
  <c r="L203" i="11"/>
  <c r="M203" i="11" s="1"/>
  <c r="L204" i="11"/>
  <c r="AQ11" i="18"/>
  <c r="AQ12" i="18"/>
  <c r="AQ9" i="18"/>
  <c r="AP15" i="18"/>
  <c r="AQ13" i="18"/>
  <c r="L150" i="11"/>
  <c r="L162" i="11" s="1"/>
  <c r="L180" i="11" s="1"/>
  <c r="L187" i="11" s="1"/>
  <c r="O5" i="18"/>
  <c r="Q14" i="16"/>
  <c r="R12" i="16"/>
  <c r="R27" i="16" s="1"/>
  <c r="M179" i="11"/>
  <c r="M193" i="11" s="1"/>
  <c r="M215" i="11"/>
  <c r="M229" i="11" s="1"/>
  <c r="M236" i="11" s="1"/>
  <c r="L223" i="11"/>
  <c r="L217" i="11"/>
  <c r="L184" i="11"/>
  <c r="L191" i="11" s="1"/>
  <c r="M116" i="11"/>
  <c r="M178" i="11"/>
  <c r="L151" i="11"/>
  <c r="L155" i="11"/>
  <c r="N115" i="11"/>
  <c r="N133" i="11"/>
  <c r="N161" i="11" s="1"/>
  <c r="N168" i="11" s="1"/>
  <c r="N177" i="11"/>
  <c r="N114" i="11"/>
  <c r="L152" i="11"/>
  <c r="L163" i="11" s="1"/>
  <c r="L181" i="11" s="1"/>
  <c r="L188" i="11" s="1"/>
  <c r="L154" i="11"/>
  <c r="L165" i="11" s="1"/>
  <c r="L156" i="11"/>
  <c r="L153" i="11"/>
  <c r="L164" i="11" s="1"/>
  <c r="L182" i="11" s="1"/>
  <c r="L189" i="11" s="1"/>
  <c r="L157" i="11"/>
  <c r="R142" i="11"/>
  <c r="Q148" i="11"/>
  <c r="Q145" i="11"/>
  <c r="R146" i="11"/>
  <c r="Q147" i="11"/>
  <c r="Q143" i="11"/>
  <c r="Q166" i="11" s="1"/>
  <c r="Q144" i="11"/>
  <c r="Q149" i="11"/>
  <c r="O112" i="11"/>
  <c r="N92" i="11"/>
  <c r="C10" i="11"/>
  <c r="A10" i="11" s="1"/>
  <c r="Z26" i="10"/>
  <c r="X63" i="18" l="1"/>
  <c r="AC63" i="18"/>
  <c r="R63" i="18"/>
  <c r="AH63" i="18"/>
  <c r="AE63" i="18"/>
  <c r="AB63" i="18"/>
  <c r="Q63" i="18"/>
  <c r="V63" i="18"/>
  <c r="O63" i="18"/>
  <c r="S63" i="18"/>
  <c r="P63" i="18"/>
  <c r="AF63" i="18"/>
  <c r="Y63" i="18"/>
  <c r="Z63" i="18"/>
  <c r="W63" i="18"/>
  <c r="T63" i="18"/>
  <c r="U63" i="18"/>
  <c r="AG63" i="18"/>
  <c r="AD63" i="18"/>
  <c r="AA63" i="18"/>
  <c r="O16" i="11"/>
  <c r="N93" i="11"/>
  <c r="AD33" i="18"/>
  <c r="X15" i="11"/>
  <c r="W26" i="11"/>
  <c r="N215" i="11"/>
  <c r="N229" i="11" s="1"/>
  <c r="N236" i="11" s="1"/>
  <c r="N202" i="11"/>
  <c r="N204" i="11" s="1"/>
  <c r="N186" i="11"/>
  <c r="O24" i="18"/>
  <c r="O22" i="18"/>
  <c r="O19" i="18"/>
  <c r="O21" i="18"/>
  <c r="O23" i="18"/>
  <c r="O20" i="18"/>
  <c r="AQ15" i="18"/>
  <c r="M153" i="11"/>
  <c r="M164" i="11" s="1"/>
  <c r="M182" i="11" s="1"/>
  <c r="M189" i="11" s="1"/>
  <c r="P5" i="18"/>
  <c r="R14" i="16"/>
  <c r="S12" i="16"/>
  <c r="S27" i="16" s="1"/>
  <c r="N116" i="11"/>
  <c r="M150" i="11"/>
  <c r="M162" i="11" s="1"/>
  <c r="M180" i="11" s="1"/>
  <c r="M187" i="11" s="1"/>
  <c r="M154" i="11"/>
  <c r="M165" i="11" s="1"/>
  <c r="M183" i="11" s="1"/>
  <c r="M190" i="11" s="1"/>
  <c r="M155" i="11"/>
  <c r="M151" i="11"/>
  <c r="M152" i="11"/>
  <c r="M163" i="11" s="1"/>
  <c r="M181" i="11" s="1"/>
  <c r="M188" i="11" s="1"/>
  <c r="M157" i="11"/>
  <c r="M156" i="11"/>
  <c r="M220" i="11"/>
  <c r="N220" i="11" s="1"/>
  <c r="M223" i="11"/>
  <c r="N223" i="11" s="1"/>
  <c r="M217" i="11"/>
  <c r="N217" i="11" s="1"/>
  <c r="N178" i="11"/>
  <c r="N179" i="11"/>
  <c r="N193" i="11" s="1"/>
  <c r="M184" i="11"/>
  <c r="M191" i="11" s="1"/>
  <c r="L167" i="11"/>
  <c r="L169" i="11" s="1"/>
  <c r="L183" i="11"/>
  <c r="L190" i="11" s="1"/>
  <c r="L192" i="11" s="1"/>
  <c r="O177" i="11"/>
  <c r="O133" i="11"/>
  <c r="O161" i="11" s="1"/>
  <c r="O168" i="11" s="1"/>
  <c r="O114" i="11"/>
  <c r="O115" i="11"/>
  <c r="R149" i="11"/>
  <c r="R143" i="11"/>
  <c r="R166" i="11" s="1"/>
  <c r="S146" i="11"/>
  <c r="R148" i="11"/>
  <c r="R144" i="11"/>
  <c r="R147" i="11"/>
  <c r="R145" i="11"/>
  <c r="S142" i="11"/>
  <c r="L96" i="11"/>
  <c r="P112" i="11"/>
  <c r="O92" i="11"/>
  <c r="B79" i="11"/>
  <c r="AF64" i="18" l="1"/>
  <c r="AF97" i="18"/>
  <c r="AF98" i="18" s="1"/>
  <c r="AD64" i="18"/>
  <c r="AD97" i="18"/>
  <c r="AD98" i="18" s="1"/>
  <c r="W64" i="18"/>
  <c r="W97" i="18"/>
  <c r="W98" i="18" s="1"/>
  <c r="P64" i="18"/>
  <c r="P97" i="18"/>
  <c r="P98" i="18" s="1"/>
  <c r="Q64" i="18"/>
  <c r="Q97" i="18"/>
  <c r="Q98" i="18" s="1"/>
  <c r="R64" i="18"/>
  <c r="R97" i="18"/>
  <c r="R98" i="18" s="1"/>
  <c r="AA64" i="18"/>
  <c r="AA97" i="18"/>
  <c r="AA98" i="18" s="1"/>
  <c r="AH97" i="18"/>
  <c r="AH98" i="18" s="1"/>
  <c r="AH64" i="18"/>
  <c r="AG64" i="18"/>
  <c r="AG97" i="18"/>
  <c r="AG98" i="18" s="1"/>
  <c r="Z64" i="18"/>
  <c r="Z97" i="18"/>
  <c r="Z98" i="18" s="1"/>
  <c r="S64" i="18"/>
  <c r="S97" i="18"/>
  <c r="S98" i="18" s="1"/>
  <c r="AB64" i="18"/>
  <c r="AB97" i="18"/>
  <c r="AB98" i="18" s="1"/>
  <c r="AC64" i="18"/>
  <c r="AC97" i="18"/>
  <c r="AC98" i="18" s="1"/>
  <c r="T64" i="18"/>
  <c r="T97" i="18"/>
  <c r="T98" i="18" s="1"/>
  <c r="V64" i="18"/>
  <c r="V97" i="18"/>
  <c r="V98" i="18" s="1"/>
  <c r="U64" i="18"/>
  <c r="U97" i="18"/>
  <c r="U98" i="18" s="1"/>
  <c r="Y64" i="18"/>
  <c r="Y97" i="18"/>
  <c r="Y98" i="18" s="1"/>
  <c r="O64" i="18"/>
  <c r="O97" i="18"/>
  <c r="O98" i="18" s="1"/>
  <c r="AE64" i="18"/>
  <c r="AE97" i="18"/>
  <c r="AE98" i="18" s="1"/>
  <c r="X64" i="18"/>
  <c r="X97" i="18"/>
  <c r="X98" i="18" s="1"/>
  <c r="P16" i="11"/>
  <c r="O93" i="11"/>
  <c r="AE33" i="18"/>
  <c r="Y15" i="11"/>
  <c r="X26" i="11"/>
  <c r="N203" i="11"/>
  <c r="O203" i="11" s="1"/>
  <c r="O215" i="11"/>
  <c r="O229" i="11" s="1"/>
  <c r="O236" i="11" s="1"/>
  <c r="O202" i="11"/>
  <c r="O204" i="11" s="1"/>
  <c r="O186" i="11"/>
  <c r="N226" i="11"/>
  <c r="P24" i="18"/>
  <c r="P20" i="18"/>
  <c r="P21" i="18"/>
  <c r="P19" i="18"/>
  <c r="P23" i="18"/>
  <c r="P22" i="18"/>
  <c r="N152" i="11"/>
  <c r="N163" i="11" s="1"/>
  <c r="N181" i="11" s="1"/>
  <c r="N188" i="11" s="1"/>
  <c r="Q5" i="18"/>
  <c r="O15" i="18"/>
  <c r="S14" i="16"/>
  <c r="T12" i="16"/>
  <c r="T27" i="16" s="1"/>
  <c r="N157" i="11"/>
  <c r="N156" i="11"/>
  <c r="N151" i="11"/>
  <c r="N154" i="11"/>
  <c r="N165" i="11" s="1"/>
  <c r="N183" i="11" s="1"/>
  <c r="N190" i="11" s="1"/>
  <c r="N153" i="11"/>
  <c r="N164" i="11" s="1"/>
  <c r="N182" i="11" s="1"/>
  <c r="N189" i="11" s="1"/>
  <c r="N155" i="11"/>
  <c r="N150" i="11"/>
  <c r="N162" i="11" s="1"/>
  <c r="N180" i="11" s="1"/>
  <c r="N187" i="11" s="1"/>
  <c r="L171" i="11"/>
  <c r="L172" i="11"/>
  <c r="L170" i="11"/>
  <c r="L195" i="11"/>
  <c r="L196" i="11"/>
  <c r="L198" i="11"/>
  <c r="L194" i="11"/>
  <c r="M192" i="11"/>
  <c r="M198" i="11" s="1"/>
  <c r="L197" i="11"/>
  <c r="L225" i="11" s="1"/>
  <c r="L227" i="11" s="1"/>
  <c r="L233" i="11" s="1"/>
  <c r="L240" i="11" s="1"/>
  <c r="L173" i="11"/>
  <c r="L185" i="11"/>
  <c r="M185" i="11"/>
  <c r="O178" i="11"/>
  <c r="P178" i="11" s="1"/>
  <c r="O179" i="11"/>
  <c r="O193" i="11" s="1"/>
  <c r="N184" i="11"/>
  <c r="N191" i="11" s="1"/>
  <c r="O116" i="11"/>
  <c r="P177" i="11"/>
  <c r="P133" i="11"/>
  <c r="P161" i="11" s="1"/>
  <c r="P168" i="11" s="1"/>
  <c r="P114" i="11"/>
  <c r="P115" i="11"/>
  <c r="M167" i="11"/>
  <c r="M169" i="11" s="1"/>
  <c r="S143" i="11"/>
  <c r="S166" i="11" s="1"/>
  <c r="S147" i="11"/>
  <c r="T142" i="11"/>
  <c r="S148" i="11"/>
  <c r="S145" i="11"/>
  <c r="S144" i="11"/>
  <c r="T146" i="11"/>
  <c r="S149" i="11"/>
  <c r="Q112" i="11"/>
  <c r="P92" i="11"/>
  <c r="M96" i="11"/>
  <c r="L95" i="11"/>
  <c r="B78" i="11"/>
  <c r="Q16" i="11" l="1"/>
  <c r="P93" i="11"/>
  <c r="AF33" i="18"/>
  <c r="O226" i="11"/>
  <c r="P202" i="11"/>
  <c r="P204" i="11" s="1"/>
  <c r="P186" i="11"/>
  <c r="Z15" i="11"/>
  <c r="Y26" i="11"/>
  <c r="Q20" i="18"/>
  <c r="Q24" i="18"/>
  <c r="Q22" i="18"/>
  <c r="Q19" i="18"/>
  <c r="Q21" i="18"/>
  <c r="Q23" i="18"/>
  <c r="P25" i="18"/>
  <c r="O155" i="11"/>
  <c r="R5" i="18"/>
  <c r="P15" i="18"/>
  <c r="T14" i="16"/>
  <c r="U12" i="16"/>
  <c r="U27" i="16" s="1"/>
  <c r="N167" i="11"/>
  <c r="N169" i="11" s="1"/>
  <c r="L174" i="11"/>
  <c r="M194" i="11"/>
  <c r="M216" i="11" s="1"/>
  <c r="M196" i="11"/>
  <c r="M222" i="11" s="1"/>
  <c r="M195" i="11"/>
  <c r="M219" i="11" s="1"/>
  <c r="M197" i="11"/>
  <c r="M225" i="11" s="1"/>
  <c r="M227" i="11" s="1"/>
  <c r="M233" i="11" s="1"/>
  <c r="M240" i="11" s="1"/>
  <c r="N192" i="11"/>
  <c r="N198" i="11" s="1"/>
  <c r="O152" i="11"/>
  <c r="O163" i="11" s="1"/>
  <c r="O181" i="11" s="1"/>
  <c r="O188" i="11" s="1"/>
  <c r="P179" i="11"/>
  <c r="P193" i="11" s="1"/>
  <c r="P215" i="11"/>
  <c r="P229" i="11" s="1"/>
  <c r="P236" i="11" s="1"/>
  <c r="O153" i="11"/>
  <c r="O164" i="11" s="1"/>
  <c r="O182" i="11" s="1"/>
  <c r="O189" i="11" s="1"/>
  <c r="O150" i="11"/>
  <c r="O162" i="11" s="1"/>
  <c r="O180" i="11" s="1"/>
  <c r="O187" i="11" s="1"/>
  <c r="L222" i="11"/>
  <c r="L224" i="11" s="1"/>
  <c r="L219" i="11"/>
  <c r="L221" i="11" s="1"/>
  <c r="L231" i="11" s="1"/>
  <c r="L238" i="11" s="1"/>
  <c r="L216" i="11"/>
  <c r="L218" i="11" s="1"/>
  <c r="L230" i="11" s="1"/>
  <c r="N185" i="11"/>
  <c r="Q115" i="11"/>
  <c r="O184" i="11"/>
  <c r="O191" i="11" s="1"/>
  <c r="P184" i="11"/>
  <c r="P191" i="11" s="1"/>
  <c r="O156" i="11"/>
  <c r="O151" i="11"/>
  <c r="O154" i="11"/>
  <c r="O165" i="11" s="1"/>
  <c r="O157" i="11"/>
  <c r="P116" i="11"/>
  <c r="Q133" i="11"/>
  <c r="Q161" i="11" s="1"/>
  <c r="Q168" i="11" s="1"/>
  <c r="Q177" i="11"/>
  <c r="Q114" i="11"/>
  <c r="M173" i="11"/>
  <c r="M170" i="11"/>
  <c r="M171" i="11"/>
  <c r="M172" i="11"/>
  <c r="T149" i="11"/>
  <c r="T148" i="11"/>
  <c r="T144" i="11"/>
  <c r="T147" i="11"/>
  <c r="U146" i="11"/>
  <c r="T145" i="11"/>
  <c r="U142" i="11"/>
  <c r="T143" i="11"/>
  <c r="T166" i="11" s="1"/>
  <c r="N96" i="11"/>
  <c r="M95" i="11"/>
  <c r="R112" i="11"/>
  <c r="Q92" i="11"/>
  <c r="B80" i="11"/>
  <c r="B83" i="11"/>
  <c r="B81" i="11"/>
  <c r="B82" i="11"/>
  <c r="B77" i="11"/>
  <c r="R16" i="11" l="1"/>
  <c r="Q93" i="11"/>
  <c r="AG33" i="18"/>
  <c r="P203" i="11"/>
  <c r="Q215" i="11"/>
  <c r="Q229" i="11" s="1"/>
  <c r="Q236" i="11" s="1"/>
  <c r="Q202" i="11"/>
  <c r="Q204" i="11" s="1"/>
  <c r="Q186" i="11"/>
  <c r="AA15" i="11"/>
  <c r="Z26" i="11"/>
  <c r="P226" i="11"/>
  <c r="L237" i="11"/>
  <c r="L228" i="11"/>
  <c r="L234" i="11" s="1"/>
  <c r="L241" i="11" s="1"/>
  <c r="M224" i="11"/>
  <c r="L232" i="11"/>
  <c r="L239" i="11" s="1"/>
  <c r="Q25" i="18"/>
  <c r="R20" i="18"/>
  <c r="B17" i="18" s="1"/>
  <c r="R24" i="18"/>
  <c r="B21" i="18" s="1"/>
  <c r="R22" i="18"/>
  <c r="B19" i="18" s="1"/>
  <c r="R21" i="18"/>
  <c r="B18" i="18" s="1"/>
  <c r="R23" i="18"/>
  <c r="B20" i="18" s="1"/>
  <c r="R19" i="18"/>
  <c r="B16" i="18" s="1"/>
  <c r="O25" i="18"/>
  <c r="P155" i="11"/>
  <c r="S5" i="18"/>
  <c r="U14" i="16"/>
  <c r="V12" i="16"/>
  <c r="V27" i="16" s="1"/>
  <c r="N171" i="11"/>
  <c r="N170" i="11"/>
  <c r="N173" i="11"/>
  <c r="N172" i="11"/>
  <c r="N197" i="11"/>
  <c r="N225" i="11" s="1"/>
  <c r="N227" i="11" s="1"/>
  <c r="N233" i="11" s="1"/>
  <c r="N240" i="11" s="1"/>
  <c r="P150" i="11"/>
  <c r="P162" i="11" s="1"/>
  <c r="P180" i="11" s="1"/>
  <c r="P187" i="11" s="1"/>
  <c r="N195" i="11"/>
  <c r="N219" i="11" s="1"/>
  <c r="O220" i="11" s="1"/>
  <c r="P220" i="11" s="1"/>
  <c r="Q220" i="11" s="1"/>
  <c r="N194" i="11"/>
  <c r="N216" i="11" s="1"/>
  <c r="O217" i="11" s="1"/>
  <c r="P217" i="11" s="1"/>
  <c r="Q217" i="11" s="1"/>
  <c r="N196" i="11"/>
  <c r="N222" i="11" s="1"/>
  <c r="O223" i="11" s="1"/>
  <c r="P223" i="11" s="1"/>
  <c r="Q223" i="11" s="1"/>
  <c r="M218" i="11"/>
  <c r="M221" i="11"/>
  <c r="M231" i="11" s="1"/>
  <c r="M238" i="11" s="1"/>
  <c r="Q116" i="11"/>
  <c r="L199" i="11"/>
  <c r="M199" i="11"/>
  <c r="P156" i="11"/>
  <c r="P157" i="11"/>
  <c r="O183" i="11"/>
  <c r="O190" i="11" s="1"/>
  <c r="O167" i="11"/>
  <c r="O171" i="11" s="1"/>
  <c r="Q178" i="11"/>
  <c r="Q179" i="11"/>
  <c r="Q193" i="11" s="1"/>
  <c r="R133" i="11"/>
  <c r="R161" i="11" s="1"/>
  <c r="R168" i="11" s="1"/>
  <c r="R177" i="11"/>
  <c r="R114" i="11"/>
  <c r="M174" i="11"/>
  <c r="R115" i="11"/>
  <c r="P152" i="11"/>
  <c r="P163" i="11" s="1"/>
  <c r="P154" i="11"/>
  <c r="P165" i="11" s="1"/>
  <c r="P183" i="11" s="1"/>
  <c r="P190" i="11" s="1"/>
  <c r="P151" i="11"/>
  <c r="P153" i="11"/>
  <c r="P164" i="11" s="1"/>
  <c r="P182" i="11" s="1"/>
  <c r="P189" i="11" s="1"/>
  <c r="U147" i="11"/>
  <c r="V142" i="11"/>
  <c r="V146" i="11"/>
  <c r="U145" i="11"/>
  <c r="U143" i="11"/>
  <c r="U166" i="11" s="1"/>
  <c r="U148" i="11"/>
  <c r="U144" i="11"/>
  <c r="U149" i="11"/>
  <c r="L98" i="11"/>
  <c r="L97" i="11"/>
  <c r="N95" i="11"/>
  <c r="L94" i="11"/>
  <c r="S112" i="11"/>
  <c r="R92" i="11"/>
  <c r="L99" i="11"/>
  <c r="L100" i="11"/>
  <c r="O96" i="11"/>
  <c r="B84" i="11"/>
  <c r="B22" i="18" l="1"/>
  <c r="S16" i="11"/>
  <c r="R93" i="11"/>
  <c r="AH33" i="18"/>
  <c r="R202" i="11"/>
  <c r="R204" i="11" s="1"/>
  <c r="R186" i="11"/>
  <c r="AB15" i="11"/>
  <c r="AA26" i="11"/>
  <c r="Q203" i="11"/>
  <c r="R203" i="11" s="1"/>
  <c r="L242" i="11"/>
  <c r="M230" i="11"/>
  <c r="M228" i="11"/>
  <c r="M234" i="11" s="1"/>
  <c r="M241" i="11" s="1"/>
  <c r="N224" i="11"/>
  <c r="M232" i="11"/>
  <c r="M239" i="11" s="1"/>
  <c r="L235" i="11"/>
  <c r="R25" i="18"/>
  <c r="S24" i="18"/>
  <c r="S20" i="18"/>
  <c r="S21" i="18"/>
  <c r="S23" i="18"/>
  <c r="S22" i="18"/>
  <c r="S19" i="18"/>
  <c r="Q152" i="11"/>
  <c r="Q163" i="11" s="1"/>
  <c r="Q181" i="11" s="1"/>
  <c r="Q188" i="11" s="1"/>
  <c r="T5" i="18"/>
  <c r="V14" i="16"/>
  <c r="W12" i="16"/>
  <c r="W27" i="16" s="1"/>
  <c r="N174" i="11"/>
  <c r="Q150" i="11"/>
  <c r="Q162" i="11" s="1"/>
  <c r="Q180" i="11" s="1"/>
  <c r="Q187" i="11" s="1"/>
  <c r="Q153" i="11"/>
  <c r="Q164" i="11" s="1"/>
  <c r="Q182" i="11" s="1"/>
  <c r="Q189" i="11" s="1"/>
  <c r="Q156" i="11"/>
  <c r="O173" i="11"/>
  <c r="Q151" i="11"/>
  <c r="Q155" i="11"/>
  <c r="Q157" i="11"/>
  <c r="Q154" i="11"/>
  <c r="Q165" i="11" s="1"/>
  <c r="Q183" i="11" s="1"/>
  <c r="Q190" i="11" s="1"/>
  <c r="Q226" i="11"/>
  <c r="O169" i="11"/>
  <c r="N221" i="11"/>
  <c r="N231" i="11" s="1"/>
  <c r="N238" i="11" s="1"/>
  <c r="O192" i="11"/>
  <c r="R179" i="11"/>
  <c r="R193" i="11" s="1"/>
  <c r="R215" i="11"/>
  <c r="R229" i="11" s="1"/>
  <c r="R236" i="11" s="1"/>
  <c r="N218" i="11"/>
  <c r="R220" i="11"/>
  <c r="O170" i="11"/>
  <c r="R223" i="11"/>
  <c r="N199" i="11"/>
  <c r="O185" i="11"/>
  <c r="Q184" i="11"/>
  <c r="Q191" i="11" s="1"/>
  <c r="P167" i="11"/>
  <c r="P172" i="11" s="1"/>
  <c r="P181" i="11"/>
  <c r="P188" i="11" s="1"/>
  <c r="O172" i="11"/>
  <c r="R178" i="11"/>
  <c r="S177" i="11"/>
  <c r="S133" i="11"/>
  <c r="S161" i="11" s="1"/>
  <c r="S168" i="11" s="1"/>
  <c r="S114" i="11"/>
  <c r="S115" i="11"/>
  <c r="R116" i="11"/>
  <c r="U5" i="18" s="1"/>
  <c r="V148" i="11"/>
  <c r="W142" i="11"/>
  <c r="V149" i="11"/>
  <c r="V145" i="11"/>
  <c r="V144" i="11"/>
  <c r="V143" i="11"/>
  <c r="V166" i="11" s="1"/>
  <c r="W146" i="11"/>
  <c r="V147" i="11"/>
  <c r="L101" i="11"/>
  <c r="M97" i="11"/>
  <c r="P96" i="11"/>
  <c r="M94" i="11"/>
  <c r="M100" i="11"/>
  <c r="M98" i="11"/>
  <c r="M99" i="11"/>
  <c r="T112" i="11"/>
  <c r="S92" i="11"/>
  <c r="O95" i="11"/>
  <c r="T16" i="11" l="1"/>
  <c r="S93" i="11"/>
  <c r="AI33" i="18"/>
  <c r="AC15" i="11"/>
  <c r="AB26" i="11"/>
  <c r="S202" i="11"/>
  <c r="S204" i="11" s="1"/>
  <c r="S186" i="11"/>
  <c r="R226" i="11"/>
  <c r="S226" i="11" s="1"/>
  <c r="S203" i="11"/>
  <c r="N230" i="11"/>
  <c r="N228" i="11"/>
  <c r="N234" i="11" s="1"/>
  <c r="N241" i="11" s="1"/>
  <c r="N232" i="11"/>
  <c r="N239" i="11" s="1"/>
  <c r="M235" i="11"/>
  <c r="M237" i="11"/>
  <c r="M242" i="11" s="1"/>
  <c r="T24" i="18"/>
  <c r="T20" i="18"/>
  <c r="T22" i="18"/>
  <c r="T21" i="18"/>
  <c r="T23" i="18"/>
  <c r="T19" i="18"/>
  <c r="S25" i="18"/>
  <c r="U20" i="18"/>
  <c r="U24" i="18"/>
  <c r="U21" i="18"/>
  <c r="U22" i="18"/>
  <c r="U19" i="18"/>
  <c r="U23" i="18"/>
  <c r="W14" i="16"/>
  <c r="X12" i="16"/>
  <c r="X27" i="16" s="1"/>
  <c r="Q167" i="11"/>
  <c r="Q169" i="11" s="1"/>
  <c r="P173" i="11"/>
  <c r="P169" i="11"/>
  <c r="O174" i="11"/>
  <c r="Q192" i="11"/>
  <c r="Q195" i="11" s="1"/>
  <c r="O195" i="11"/>
  <c r="O219" i="11" s="1"/>
  <c r="O221" i="11" s="1"/>
  <c r="O231" i="11" s="1"/>
  <c r="O238" i="11" s="1"/>
  <c r="O198" i="11"/>
  <c r="O196" i="11"/>
  <c r="O222" i="11" s="1"/>
  <c r="O224" i="11" s="1"/>
  <c r="O194" i="11"/>
  <c r="O216" i="11" s="1"/>
  <c r="O218" i="11" s="1"/>
  <c r="P192" i="11"/>
  <c r="O197" i="11"/>
  <c r="O225" i="11" s="1"/>
  <c r="O227" i="11" s="1"/>
  <c r="O233" i="11" s="1"/>
  <c r="O240" i="11" s="1"/>
  <c r="S179" i="11"/>
  <c r="S193" i="11" s="1"/>
  <c r="S215" i="11"/>
  <c r="S229" i="11" s="1"/>
  <c r="S236" i="11" s="1"/>
  <c r="P170" i="11"/>
  <c r="R217" i="11"/>
  <c r="P171" i="11"/>
  <c r="P185" i="11"/>
  <c r="Q185" i="11"/>
  <c r="R184" i="11"/>
  <c r="R191" i="11" s="1"/>
  <c r="T115" i="11"/>
  <c r="T177" i="11"/>
  <c r="T133" i="11"/>
  <c r="T161" i="11" s="1"/>
  <c r="T168" i="11" s="1"/>
  <c r="T114" i="11"/>
  <c r="R151" i="11"/>
  <c r="R155" i="11"/>
  <c r="R150" i="11"/>
  <c r="R162" i="11" s="1"/>
  <c r="R180" i="11" s="1"/>
  <c r="R187" i="11" s="1"/>
  <c r="R157" i="11"/>
  <c r="R153" i="11"/>
  <c r="R164" i="11" s="1"/>
  <c r="R182" i="11" s="1"/>
  <c r="R189" i="11" s="1"/>
  <c r="R156" i="11"/>
  <c r="R154" i="11"/>
  <c r="R165" i="11" s="1"/>
  <c r="R183" i="11" s="1"/>
  <c r="R190" i="11" s="1"/>
  <c r="R152" i="11"/>
  <c r="R163" i="11" s="1"/>
  <c r="R181" i="11" s="1"/>
  <c r="R188" i="11" s="1"/>
  <c r="S116" i="11"/>
  <c r="V5" i="18" s="1"/>
  <c r="S178" i="11"/>
  <c r="W147" i="11"/>
  <c r="W145" i="11"/>
  <c r="W143" i="11"/>
  <c r="W166" i="11" s="1"/>
  <c r="X142" i="11"/>
  <c r="X146" i="11"/>
  <c r="W144" i="11"/>
  <c r="W149" i="11"/>
  <c r="W148" i="11"/>
  <c r="M101" i="11"/>
  <c r="N99" i="11"/>
  <c r="Q96" i="11"/>
  <c r="N100" i="11"/>
  <c r="N98" i="11"/>
  <c r="N97" i="11"/>
  <c r="P95" i="11"/>
  <c r="N94" i="11"/>
  <c r="U112" i="11"/>
  <c r="T92" i="11"/>
  <c r="U16" i="11" l="1"/>
  <c r="T93" i="11"/>
  <c r="AJ33" i="18"/>
  <c r="T202" i="11"/>
  <c r="T204" i="11" s="1"/>
  <c r="T186" i="11"/>
  <c r="S223" i="11"/>
  <c r="S220" i="11"/>
  <c r="AD15" i="11"/>
  <c r="AC26" i="11"/>
  <c r="O232" i="11"/>
  <c r="O239" i="11" s="1"/>
  <c r="N235" i="11"/>
  <c r="N237" i="11"/>
  <c r="N242" i="11" s="1"/>
  <c r="O230" i="11"/>
  <c r="O228" i="11"/>
  <c r="O234" i="11" s="1"/>
  <c r="O241" i="11" s="1"/>
  <c r="U25" i="18"/>
  <c r="V20" i="18"/>
  <c r="V24" i="18"/>
  <c r="V19" i="18"/>
  <c r="V22" i="18"/>
  <c r="V23" i="18"/>
  <c r="V21" i="18"/>
  <c r="T25" i="18"/>
  <c r="X14" i="16"/>
  <c r="Y12" i="16"/>
  <c r="Y27" i="16" s="1"/>
  <c r="Q172" i="11"/>
  <c r="Q171" i="11"/>
  <c r="Q170" i="11"/>
  <c r="Q173" i="11"/>
  <c r="R192" i="11"/>
  <c r="R197" i="11" s="1"/>
  <c r="P198" i="11"/>
  <c r="P194" i="11"/>
  <c r="P196" i="11"/>
  <c r="P222" i="11" s="1"/>
  <c r="P224" i="11" s="1"/>
  <c r="P232" i="11" s="1"/>
  <c r="P239" i="11" s="1"/>
  <c r="P197" i="11"/>
  <c r="P225" i="11" s="1"/>
  <c r="P227" i="11" s="1"/>
  <c r="P233" i="11" s="1"/>
  <c r="P240" i="11" s="1"/>
  <c r="P195" i="11"/>
  <c r="P219" i="11" s="1"/>
  <c r="P221" i="11" s="1"/>
  <c r="P231" i="11" s="1"/>
  <c r="P238" i="11" s="1"/>
  <c r="Q194" i="11"/>
  <c r="Q216" i="11" s="1"/>
  <c r="Q198" i="11"/>
  <c r="Q219" i="11"/>
  <c r="Q196" i="11"/>
  <c r="Q222" i="11" s="1"/>
  <c r="Q197" i="11"/>
  <c r="Q225" i="11" s="1"/>
  <c r="Q227" i="11" s="1"/>
  <c r="Q233" i="11" s="1"/>
  <c r="Q240" i="11" s="1"/>
  <c r="P174" i="11"/>
  <c r="S217" i="11"/>
  <c r="T179" i="11"/>
  <c r="T193" i="11" s="1"/>
  <c r="T215" i="11"/>
  <c r="T229" i="11" s="1"/>
  <c r="T236" i="11" s="1"/>
  <c r="O199" i="11"/>
  <c r="R185" i="11"/>
  <c r="T178" i="11"/>
  <c r="S184" i="11"/>
  <c r="S191" i="11" s="1"/>
  <c r="T116" i="11"/>
  <c r="W5" i="18" s="1"/>
  <c r="R167" i="11"/>
  <c r="R172" i="11" s="1"/>
  <c r="S154" i="11"/>
  <c r="S165" i="11" s="1"/>
  <c r="S183" i="11" s="1"/>
  <c r="S190" i="11" s="1"/>
  <c r="S151" i="11"/>
  <c r="S157" i="11"/>
  <c r="S152" i="11"/>
  <c r="S163" i="11" s="1"/>
  <c r="S181" i="11" s="1"/>
  <c r="S188" i="11" s="1"/>
  <c r="S155" i="11"/>
  <c r="S150" i="11"/>
  <c r="S162" i="11" s="1"/>
  <c r="S180" i="11" s="1"/>
  <c r="S187" i="11" s="1"/>
  <c r="S153" i="11"/>
  <c r="S164" i="11" s="1"/>
  <c r="S182" i="11" s="1"/>
  <c r="S189" i="11" s="1"/>
  <c r="S156" i="11"/>
  <c r="U177" i="11"/>
  <c r="U133" i="11"/>
  <c r="U161" i="11" s="1"/>
  <c r="U168" i="11" s="1"/>
  <c r="U114" i="11"/>
  <c r="U115" i="11"/>
  <c r="Y142" i="11"/>
  <c r="X148" i="11"/>
  <c r="X144" i="11"/>
  <c r="X145" i="11"/>
  <c r="X149" i="11"/>
  <c r="Y146" i="11"/>
  <c r="X143" i="11"/>
  <c r="X166" i="11" s="1"/>
  <c r="X147" i="11"/>
  <c r="N101" i="11"/>
  <c r="O100" i="11"/>
  <c r="V112" i="11"/>
  <c r="U92" i="11"/>
  <c r="O97" i="11"/>
  <c r="Q95" i="11"/>
  <c r="R96" i="11"/>
  <c r="O94" i="11"/>
  <c r="O98" i="11"/>
  <c r="O99" i="11"/>
  <c r="V16" i="11" l="1"/>
  <c r="U93" i="11"/>
  <c r="AK33" i="18"/>
  <c r="T203" i="11"/>
  <c r="U203" i="11" s="1"/>
  <c r="U202" i="11"/>
  <c r="U204" i="11" s="1"/>
  <c r="U186" i="11"/>
  <c r="AE15" i="11"/>
  <c r="AD26" i="11"/>
  <c r="O235" i="11"/>
  <c r="O237" i="11"/>
  <c r="O242" i="11" s="1"/>
  <c r="W24" i="18"/>
  <c r="W20" i="18"/>
  <c r="W21" i="18"/>
  <c r="W22" i="18"/>
  <c r="W23" i="18"/>
  <c r="W19" i="18"/>
  <c r="V25" i="18"/>
  <c r="Y14" i="16"/>
  <c r="Z12" i="16"/>
  <c r="Z27" i="16" s="1"/>
  <c r="Q174" i="11"/>
  <c r="R198" i="11"/>
  <c r="R196" i="11"/>
  <c r="R222" i="11" s="1"/>
  <c r="R195" i="11"/>
  <c r="R219" i="11" s="1"/>
  <c r="Q221" i="11"/>
  <c r="Q231" i="11" s="1"/>
  <c r="Q238" i="11" s="1"/>
  <c r="Q224" i="11"/>
  <c r="Q232" i="11" s="1"/>
  <c r="Q239" i="11" s="1"/>
  <c r="R194" i="11"/>
  <c r="R216" i="11" s="1"/>
  <c r="S192" i="11"/>
  <c r="S197" i="11" s="1"/>
  <c r="P199" i="11"/>
  <c r="P216" i="11"/>
  <c r="P218" i="11" s="1"/>
  <c r="U179" i="11"/>
  <c r="U193" i="11" s="1"/>
  <c r="U215" i="11"/>
  <c r="U229" i="11" s="1"/>
  <c r="U236" i="11" s="1"/>
  <c r="R225" i="11"/>
  <c r="R227" i="11" s="1"/>
  <c r="R233" i="11" s="1"/>
  <c r="R240" i="11" s="1"/>
  <c r="Q199" i="11"/>
  <c r="R171" i="11"/>
  <c r="S185" i="11"/>
  <c r="U178" i="11"/>
  <c r="T184" i="11"/>
  <c r="T191" i="11" s="1"/>
  <c r="T155" i="11"/>
  <c r="T153" i="11"/>
  <c r="T164" i="11" s="1"/>
  <c r="T182" i="11" s="1"/>
  <c r="T189" i="11" s="1"/>
  <c r="T151" i="11"/>
  <c r="T157" i="11"/>
  <c r="T154" i="11"/>
  <c r="T165" i="11" s="1"/>
  <c r="T183" i="11" s="1"/>
  <c r="T190" i="11" s="1"/>
  <c r="T152" i="11"/>
  <c r="T163" i="11" s="1"/>
  <c r="T181" i="11" s="1"/>
  <c r="T188" i="11" s="1"/>
  <c r="T150" i="11"/>
  <c r="T162" i="11" s="1"/>
  <c r="T180" i="11" s="1"/>
  <c r="T187" i="11" s="1"/>
  <c r="T156" i="11"/>
  <c r="V115" i="11"/>
  <c r="R170" i="11"/>
  <c r="R169" i="11"/>
  <c r="S167" i="11"/>
  <c r="S169" i="11" s="1"/>
  <c r="R173" i="11"/>
  <c r="V133" i="11"/>
  <c r="V161" i="11" s="1"/>
  <c r="V168" i="11" s="1"/>
  <c r="V177" i="11"/>
  <c r="V114" i="11"/>
  <c r="U116" i="11"/>
  <c r="X5" i="18" s="1"/>
  <c r="Y143" i="11"/>
  <c r="Y166" i="11" s="1"/>
  <c r="Y144" i="11"/>
  <c r="Y145" i="11"/>
  <c r="Y147" i="11"/>
  <c r="Z146" i="11"/>
  <c r="Y148" i="11"/>
  <c r="Z142" i="11"/>
  <c r="Y149" i="11"/>
  <c r="O101" i="11"/>
  <c r="P99" i="11"/>
  <c r="W112" i="11"/>
  <c r="V92" i="11"/>
  <c r="S96" i="11"/>
  <c r="R95" i="11"/>
  <c r="P97" i="11"/>
  <c r="P94" i="11"/>
  <c r="P98" i="11"/>
  <c r="P100" i="11"/>
  <c r="W16" i="11" l="1"/>
  <c r="V93" i="11"/>
  <c r="AL33" i="18"/>
  <c r="V215" i="11"/>
  <c r="V229" i="11" s="1"/>
  <c r="V236" i="11" s="1"/>
  <c r="V202" i="11"/>
  <c r="V204" i="11" s="1"/>
  <c r="V186" i="11"/>
  <c r="AF15" i="11"/>
  <c r="AE26" i="11"/>
  <c r="W115" i="11"/>
  <c r="V203" i="11"/>
  <c r="P230" i="11"/>
  <c r="P228" i="11"/>
  <c r="P234" i="11" s="1"/>
  <c r="P241" i="11" s="1"/>
  <c r="X20" i="18"/>
  <c r="X24" i="18"/>
  <c r="X23" i="18"/>
  <c r="X22" i="18"/>
  <c r="X21" i="18"/>
  <c r="X19" i="18"/>
  <c r="W25" i="18"/>
  <c r="Z14" i="16"/>
  <c r="AA12" i="16"/>
  <c r="AA27" i="16" s="1"/>
  <c r="V116" i="11"/>
  <c r="R224" i="11"/>
  <c r="R232" i="11" s="1"/>
  <c r="R239" i="11" s="1"/>
  <c r="S196" i="11"/>
  <c r="R221" i="11"/>
  <c r="R231" i="11" s="1"/>
  <c r="R238" i="11" s="1"/>
  <c r="T167" i="11"/>
  <c r="T169" i="11" s="1"/>
  <c r="S198" i="11"/>
  <c r="S195" i="11"/>
  <c r="S219" i="11" s="1"/>
  <c r="T192" i="11"/>
  <c r="T196" i="11" s="1"/>
  <c r="S194" i="11"/>
  <c r="S216" i="11" s="1"/>
  <c r="T217" i="11" s="1"/>
  <c r="U217" i="11" s="1"/>
  <c r="V217" i="11" s="1"/>
  <c r="Q218" i="11"/>
  <c r="Q230" i="11" s="1"/>
  <c r="S225" i="11"/>
  <c r="R199" i="11"/>
  <c r="T185" i="11"/>
  <c r="V178" i="11"/>
  <c r="V179" i="11"/>
  <c r="V193" i="11" s="1"/>
  <c r="U184" i="11"/>
  <c r="U191" i="11" s="1"/>
  <c r="R174" i="11"/>
  <c r="S173" i="11"/>
  <c r="S172" i="11"/>
  <c r="S171" i="11"/>
  <c r="S170" i="11"/>
  <c r="W177" i="11"/>
  <c r="W133" i="11"/>
  <c r="W161" i="11" s="1"/>
  <c r="W168" i="11" s="1"/>
  <c r="W114" i="11"/>
  <c r="W116" i="11" s="1"/>
  <c r="Z5" i="18" s="1"/>
  <c r="U154" i="11"/>
  <c r="U165" i="11" s="1"/>
  <c r="U183" i="11" s="1"/>
  <c r="U190" i="11" s="1"/>
  <c r="U156" i="11"/>
  <c r="U150" i="11"/>
  <c r="U162" i="11" s="1"/>
  <c r="U180" i="11" s="1"/>
  <c r="U187" i="11" s="1"/>
  <c r="U157" i="11"/>
  <c r="U152" i="11"/>
  <c r="U163" i="11" s="1"/>
  <c r="U181" i="11" s="1"/>
  <c r="U188" i="11" s="1"/>
  <c r="U153" i="11"/>
  <c r="U164" i="11" s="1"/>
  <c r="U182" i="11" s="1"/>
  <c r="U189" i="11" s="1"/>
  <c r="U155" i="11"/>
  <c r="U151" i="11"/>
  <c r="Z147" i="11"/>
  <c r="Z149" i="11"/>
  <c r="Z148" i="11"/>
  <c r="Z144" i="11"/>
  <c r="AA142" i="11"/>
  <c r="AA146" i="11"/>
  <c r="Z145" i="11"/>
  <c r="Z143" i="11"/>
  <c r="Z166" i="11" s="1"/>
  <c r="P101" i="11"/>
  <c r="Q100" i="11"/>
  <c r="Q94" i="11"/>
  <c r="S95" i="11"/>
  <c r="X112" i="11"/>
  <c r="W92" i="11"/>
  <c r="Q98" i="11"/>
  <c r="Q99" i="11"/>
  <c r="Q97" i="11"/>
  <c r="T96" i="11"/>
  <c r="X16" i="11" l="1"/>
  <c r="W93" i="11"/>
  <c r="AM33" i="18"/>
  <c r="AN33" i="18" s="1"/>
  <c r="AO33" i="18" s="1"/>
  <c r="AP33" i="18" s="1"/>
  <c r="AQ33" i="18" s="1"/>
  <c r="AR33" i="18" s="1"/>
  <c r="AG15" i="11"/>
  <c r="AF26" i="11"/>
  <c r="W215" i="11"/>
  <c r="W229" i="11" s="1"/>
  <c r="W236" i="11" s="1"/>
  <c r="W202" i="11"/>
  <c r="W204" i="11" s="1"/>
  <c r="W186" i="11"/>
  <c r="P235" i="11"/>
  <c r="P237" i="11"/>
  <c r="P242" i="11" s="1"/>
  <c r="X25" i="18"/>
  <c r="Z20" i="18"/>
  <c r="Z24" i="18"/>
  <c r="Z19" i="18"/>
  <c r="Z21" i="18"/>
  <c r="Z23" i="18"/>
  <c r="Z22" i="18"/>
  <c r="V156" i="11"/>
  <c r="Y5" i="18"/>
  <c r="AA14" i="16"/>
  <c r="AB12" i="16"/>
  <c r="AB27" i="16" s="1"/>
  <c r="V152" i="11"/>
  <c r="V163" i="11" s="1"/>
  <c r="V181" i="11" s="1"/>
  <c r="V188" i="11" s="1"/>
  <c r="V153" i="11"/>
  <c r="V164" i="11" s="1"/>
  <c r="V182" i="11" s="1"/>
  <c r="V189" i="11" s="1"/>
  <c r="V150" i="11"/>
  <c r="V162" i="11" s="1"/>
  <c r="V151" i="11"/>
  <c r="V154" i="11"/>
  <c r="V165" i="11" s="1"/>
  <c r="V183" i="11" s="1"/>
  <c r="V190" i="11" s="1"/>
  <c r="V157" i="11"/>
  <c r="V155" i="11"/>
  <c r="T170" i="11"/>
  <c r="T173" i="11"/>
  <c r="W155" i="11"/>
  <c r="T171" i="11"/>
  <c r="W151" i="11"/>
  <c r="T172" i="11"/>
  <c r="Q237" i="11"/>
  <c r="T197" i="11"/>
  <c r="T198" i="11"/>
  <c r="T195" i="11"/>
  <c r="T194" i="11"/>
  <c r="T216" i="11" s="1"/>
  <c r="T220" i="11"/>
  <c r="U220" i="11" s="1"/>
  <c r="V220" i="11" s="1"/>
  <c r="W220" i="11" s="1"/>
  <c r="S221" i="11"/>
  <c r="U192" i="11"/>
  <c r="U197" i="11" s="1"/>
  <c r="S174" i="11"/>
  <c r="S199" i="11"/>
  <c r="S222" i="11"/>
  <c r="R218" i="11"/>
  <c r="R230" i="11" s="1"/>
  <c r="Q228" i="11"/>
  <c r="Q234" i="11" s="1"/>
  <c r="Q241" i="11" s="1"/>
  <c r="W217" i="11"/>
  <c r="S227" i="11"/>
  <c r="S233" i="11" s="1"/>
  <c r="S240" i="11" s="1"/>
  <c r="T226" i="11"/>
  <c r="U226" i="11" s="1"/>
  <c r="V226" i="11" s="1"/>
  <c r="U185" i="11"/>
  <c r="W150" i="11"/>
  <c r="W162" i="11" s="1"/>
  <c r="W178" i="11"/>
  <c r="W179" i="11"/>
  <c r="W193" i="11" s="1"/>
  <c r="W153" i="11"/>
  <c r="W164" i="11" s="1"/>
  <c r="V180" i="11"/>
  <c r="V187" i="11" s="1"/>
  <c r="V184" i="11"/>
  <c r="V191" i="11" s="1"/>
  <c r="W157" i="11"/>
  <c r="W154" i="11"/>
  <c r="W165" i="11" s="1"/>
  <c r="W156" i="11"/>
  <c r="W152" i="11"/>
  <c r="W163" i="11" s="1"/>
  <c r="U167" i="11"/>
  <c r="U170" i="11" s="1"/>
  <c r="X177" i="11"/>
  <c r="X133" i="11"/>
  <c r="X161" i="11" s="1"/>
  <c r="X168" i="11" s="1"/>
  <c r="X114" i="11"/>
  <c r="X115" i="11"/>
  <c r="AA144" i="11"/>
  <c r="AA143" i="11"/>
  <c r="AA166" i="11" s="1"/>
  <c r="AB146" i="11"/>
  <c r="AA149" i="11"/>
  <c r="AA145" i="11"/>
  <c r="AB142" i="11"/>
  <c r="AA148" i="11"/>
  <c r="AA147" i="11"/>
  <c r="Q101" i="11"/>
  <c r="Y112" i="11"/>
  <c r="X92" i="11"/>
  <c r="U96" i="11"/>
  <c r="R94" i="11"/>
  <c r="T95" i="11"/>
  <c r="R99" i="11"/>
  <c r="R97" i="11"/>
  <c r="R98" i="11"/>
  <c r="R100" i="11"/>
  <c r="Y16" i="11" l="1"/>
  <c r="X93" i="11"/>
  <c r="X215" i="11"/>
  <c r="X229" i="11" s="1"/>
  <c r="X236" i="11" s="1"/>
  <c r="X202" i="11"/>
  <c r="X204" i="11" s="1"/>
  <c r="X186" i="11"/>
  <c r="W203" i="11"/>
  <c r="X203" i="11" s="1"/>
  <c r="W226" i="11"/>
  <c r="X226" i="11" s="1"/>
  <c r="AH15" i="11"/>
  <c r="AG26" i="11"/>
  <c r="Z25" i="18"/>
  <c r="Y24" i="18"/>
  <c r="Y20" i="18"/>
  <c r="Y21" i="18"/>
  <c r="Y23" i="18"/>
  <c r="Y22" i="18"/>
  <c r="Y19" i="18"/>
  <c r="AB14" i="16"/>
  <c r="AC12" i="16"/>
  <c r="AC27" i="16" s="1"/>
  <c r="Q235" i="11"/>
  <c r="Q242" i="11"/>
  <c r="V167" i="11"/>
  <c r="V170" i="11" s="1"/>
  <c r="T174" i="11"/>
  <c r="W167" i="11"/>
  <c r="W170" i="11" s="1"/>
  <c r="T219" i="11"/>
  <c r="T221" i="11" s="1"/>
  <c r="T231" i="11" s="1"/>
  <c r="T238" i="11" s="1"/>
  <c r="T225" i="11"/>
  <c r="T227" i="11" s="1"/>
  <c r="T233" i="11" s="1"/>
  <c r="T240" i="11" s="1"/>
  <c r="U198" i="11"/>
  <c r="R237" i="11"/>
  <c r="S231" i="11"/>
  <c r="S238" i="11" s="1"/>
  <c r="U195" i="11"/>
  <c r="U219" i="11" s="1"/>
  <c r="V192" i="11"/>
  <c r="V198" i="11" s="1"/>
  <c r="U194" i="11"/>
  <c r="U216" i="11" s="1"/>
  <c r="U196" i="11"/>
  <c r="U222" i="11" s="1"/>
  <c r="S224" i="11"/>
  <c r="S232" i="11" s="1"/>
  <c r="S239" i="11" s="1"/>
  <c r="T223" i="11"/>
  <c r="U223" i="11" s="1"/>
  <c r="V223" i="11" s="1"/>
  <c r="W223" i="11" s="1"/>
  <c r="X223" i="11" s="1"/>
  <c r="X220" i="11"/>
  <c r="X217" i="11"/>
  <c r="T199" i="11"/>
  <c r="T222" i="11"/>
  <c r="S218" i="11"/>
  <c r="S230" i="11" s="1"/>
  <c r="R228" i="11"/>
  <c r="R234" i="11" s="1"/>
  <c r="R241" i="11" s="1"/>
  <c r="X178" i="11"/>
  <c r="X179" i="11"/>
  <c r="X193" i="11" s="1"/>
  <c r="W181" i="11"/>
  <c r="W188" i="11" s="1"/>
  <c r="W180" i="11"/>
  <c r="W187" i="11" s="1"/>
  <c r="W184" i="11"/>
  <c r="W191" i="11" s="1"/>
  <c r="W182" i="11"/>
  <c r="W189" i="11" s="1"/>
  <c r="W183" i="11"/>
  <c r="W190" i="11" s="1"/>
  <c r="V185" i="11"/>
  <c r="U172" i="11"/>
  <c r="U173" i="11"/>
  <c r="X116" i="11"/>
  <c r="AA5" i="18" s="1"/>
  <c r="Y133" i="11"/>
  <c r="Y161" i="11" s="1"/>
  <c r="Y168" i="11" s="1"/>
  <c r="Y177" i="11"/>
  <c r="Y114" i="11"/>
  <c r="U171" i="11"/>
  <c r="U169" i="11"/>
  <c r="Y115" i="11"/>
  <c r="AC142" i="11"/>
  <c r="AB147" i="11"/>
  <c r="AB149" i="11"/>
  <c r="AB143" i="11"/>
  <c r="AB166" i="11" s="1"/>
  <c r="AB148" i="11"/>
  <c r="AB145" i="11"/>
  <c r="AC146" i="11"/>
  <c r="AB144" i="11"/>
  <c r="R101" i="11"/>
  <c r="D107" i="11"/>
  <c r="C105" i="11"/>
  <c r="D105" i="11"/>
  <c r="C109" i="11"/>
  <c r="D109" i="11"/>
  <c r="C107" i="11"/>
  <c r="B109" i="11"/>
  <c r="B105" i="11"/>
  <c r="U95" i="11"/>
  <c r="V96" i="11"/>
  <c r="S100" i="11"/>
  <c r="S99" i="11"/>
  <c r="S97" i="11"/>
  <c r="S98" i="11"/>
  <c r="S94" i="11"/>
  <c r="Z112" i="11"/>
  <c r="Y92" i="11"/>
  <c r="Z16" i="11" l="1"/>
  <c r="Y93" i="11"/>
  <c r="Y215" i="11"/>
  <c r="Y229" i="11" s="1"/>
  <c r="Y236" i="11" s="1"/>
  <c r="Y202" i="11"/>
  <c r="Y204" i="11" s="1"/>
  <c r="Y186" i="11"/>
  <c r="AI15" i="11"/>
  <c r="AH26" i="11"/>
  <c r="Y25" i="18"/>
  <c r="AA20" i="18"/>
  <c r="AA24" i="18"/>
  <c r="AA23" i="18"/>
  <c r="AA21" i="18"/>
  <c r="AA19" i="18"/>
  <c r="AA22" i="18"/>
  <c r="AC14" i="16"/>
  <c r="AD12" i="16"/>
  <c r="AD27" i="16" s="1"/>
  <c r="V171" i="11"/>
  <c r="V173" i="11"/>
  <c r="R242" i="11"/>
  <c r="R235" i="11"/>
  <c r="V169" i="11"/>
  <c r="V172" i="11"/>
  <c r="W172" i="11"/>
  <c r="W171" i="11"/>
  <c r="W169" i="11"/>
  <c r="W173" i="11"/>
  <c r="S237" i="11"/>
  <c r="U221" i="11"/>
  <c r="V195" i="11"/>
  <c r="W192" i="11"/>
  <c r="W197" i="11" s="1"/>
  <c r="V197" i="11"/>
  <c r="V194" i="11"/>
  <c r="V196" i="11"/>
  <c r="V222" i="11" s="1"/>
  <c r="T224" i="11"/>
  <c r="S228" i="11"/>
  <c r="S234" i="11" s="1"/>
  <c r="S241" i="11" s="1"/>
  <c r="T218" i="11"/>
  <c r="T230" i="11" s="1"/>
  <c r="Y220" i="11"/>
  <c r="Y226" i="11"/>
  <c r="Y217" i="11"/>
  <c r="U199" i="11"/>
  <c r="U225" i="11"/>
  <c r="U227" i="11" s="1"/>
  <c r="U233" i="11" s="1"/>
  <c r="U240" i="11" s="1"/>
  <c r="Y223" i="11"/>
  <c r="V225" i="11"/>
  <c r="V227" i="11" s="1"/>
  <c r="V233" i="11" s="1"/>
  <c r="V240" i="11" s="1"/>
  <c r="V216" i="11"/>
  <c r="V219" i="11"/>
  <c r="W185" i="11"/>
  <c r="Y178" i="11"/>
  <c r="Y179" i="11"/>
  <c r="Y193" i="11" s="1"/>
  <c r="X184" i="11"/>
  <c r="X191" i="11" s="1"/>
  <c r="U174" i="11"/>
  <c r="Z115" i="11"/>
  <c r="Y116" i="11"/>
  <c r="Y153" i="11" s="1"/>
  <c r="Y164" i="11" s="1"/>
  <c r="X152" i="11"/>
  <c r="X163" i="11" s="1"/>
  <c r="X181" i="11" s="1"/>
  <c r="X188" i="11" s="1"/>
  <c r="X155" i="11"/>
  <c r="X156" i="11"/>
  <c r="X157" i="11"/>
  <c r="X154" i="11"/>
  <c r="X165" i="11" s="1"/>
  <c r="X183" i="11" s="1"/>
  <c r="X190" i="11" s="1"/>
  <c r="X153" i="11"/>
  <c r="X164" i="11" s="1"/>
  <c r="X182" i="11" s="1"/>
  <c r="X189" i="11" s="1"/>
  <c r="X150" i="11"/>
  <c r="X162" i="11" s="1"/>
  <c r="X180" i="11" s="1"/>
  <c r="X187" i="11" s="1"/>
  <c r="X151" i="11"/>
  <c r="Z133" i="11"/>
  <c r="Z161" i="11" s="1"/>
  <c r="Z168" i="11" s="1"/>
  <c r="Z177" i="11"/>
  <c r="Z114" i="11"/>
  <c r="AC145" i="11"/>
  <c r="AC144" i="11"/>
  <c r="AC143" i="11"/>
  <c r="AC166" i="11" s="1"/>
  <c r="AC147" i="11"/>
  <c r="AD146" i="11"/>
  <c r="AC148" i="11"/>
  <c r="AC149" i="11"/>
  <c r="AD142" i="11"/>
  <c r="S101" i="11"/>
  <c r="T100" i="11"/>
  <c r="V95" i="11"/>
  <c r="AA112" i="11"/>
  <c r="Z92" i="11"/>
  <c r="T99" i="11"/>
  <c r="T97" i="11"/>
  <c r="T94" i="11"/>
  <c r="T98" i="11"/>
  <c r="W96" i="11"/>
  <c r="AA16" i="11" l="1"/>
  <c r="Z93" i="11"/>
  <c r="Z215" i="11"/>
  <c r="Z229" i="11" s="1"/>
  <c r="Z236" i="11" s="1"/>
  <c r="Z202" i="11"/>
  <c r="Z204" i="11" s="1"/>
  <c r="Z186" i="11"/>
  <c r="AJ15" i="11"/>
  <c r="AI26" i="11"/>
  <c r="Y203" i="11"/>
  <c r="Z203" i="11" s="1"/>
  <c r="AA25" i="18"/>
  <c r="Y154" i="11"/>
  <c r="Y165" i="11" s="1"/>
  <c r="Y183" i="11" s="1"/>
  <c r="Y190" i="11" s="1"/>
  <c r="AB5" i="18"/>
  <c r="AD14" i="16"/>
  <c r="AE12" i="16"/>
  <c r="AE27" i="16" s="1"/>
  <c r="V174" i="11"/>
  <c r="S242" i="11"/>
  <c r="S235" i="11"/>
  <c r="Z116" i="11"/>
  <c r="W174" i="11"/>
  <c r="T237" i="11"/>
  <c r="V221" i="11"/>
  <c r="U231" i="11"/>
  <c r="U238" i="11" s="1"/>
  <c r="U224" i="11"/>
  <c r="T232" i="11"/>
  <c r="T239" i="11" s="1"/>
  <c r="W194" i="11"/>
  <c r="W216" i="11" s="1"/>
  <c r="X192" i="11"/>
  <c r="X197" i="11" s="1"/>
  <c r="W198" i="11"/>
  <c r="W195" i="11"/>
  <c r="W219" i="11" s="1"/>
  <c r="W196" i="11"/>
  <c r="W222" i="11" s="1"/>
  <c r="T228" i="11"/>
  <c r="T234" i="11" s="1"/>
  <c r="T241" i="11" s="1"/>
  <c r="U218" i="11"/>
  <c r="U230" i="11" s="1"/>
  <c r="W225" i="11"/>
  <c r="W227" i="11" s="1"/>
  <c r="W233" i="11" s="1"/>
  <c r="W240" i="11" s="1"/>
  <c r="X185" i="11"/>
  <c r="V199" i="11"/>
  <c r="Y182" i="11"/>
  <c r="Y189" i="11" s="1"/>
  <c r="Y184" i="11"/>
  <c r="Y191" i="11" s="1"/>
  <c r="Z178" i="11"/>
  <c r="Z179" i="11"/>
  <c r="Z193" i="11" s="1"/>
  <c r="Y156" i="11"/>
  <c r="Y151" i="11"/>
  <c r="Y150" i="11"/>
  <c r="Y162" i="11" s="1"/>
  <c r="Y180" i="11" s="1"/>
  <c r="Y187" i="11" s="1"/>
  <c r="Y152" i="11"/>
  <c r="Y163" i="11" s="1"/>
  <c r="Y181" i="11" s="1"/>
  <c r="Y188" i="11" s="1"/>
  <c r="Y155" i="11"/>
  <c r="Y157" i="11"/>
  <c r="AA133" i="11"/>
  <c r="AA161" i="11" s="1"/>
  <c r="AA168" i="11" s="1"/>
  <c r="AA177" i="11"/>
  <c r="AA114" i="11"/>
  <c r="X167" i="11"/>
  <c r="X173" i="11" s="1"/>
  <c r="AA115" i="11"/>
  <c r="AD148" i="11"/>
  <c r="AD147" i="11"/>
  <c r="AD144" i="11"/>
  <c r="AE142" i="11"/>
  <c r="AD149" i="11"/>
  <c r="AE146" i="11"/>
  <c r="AD143" i="11"/>
  <c r="AD166" i="11" s="1"/>
  <c r="AD145" i="11"/>
  <c r="T101" i="11"/>
  <c r="U99" i="11"/>
  <c r="U94" i="11"/>
  <c r="W95" i="11"/>
  <c r="X96" i="11"/>
  <c r="U98" i="11"/>
  <c r="U97" i="11"/>
  <c r="AB112" i="11"/>
  <c r="AA92" i="11"/>
  <c r="U100" i="11"/>
  <c r="AB16" i="11" l="1"/>
  <c r="AA93" i="11"/>
  <c r="AK15" i="11"/>
  <c r="AJ26" i="11"/>
  <c r="AA215" i="11"/>
  <c r="AA229" i="11" s="1"/>
  <c r="AA236" i="11" s="1"/>
  <c r="AA202" i="11"/>
  <c r="AA204" i="11" s="1"/>
  <c r="AA186" i="11"/>
  <c r="AB24" i="18"/>
  <c r="AB20" i="18"/>
  <c r="AB23" i="18"/>
  <c r="AB19" i="18"/>
  <c r="AB22" i="18"/>
  <c r="AB21" i="18"/>
  <c r="Z152" i="11"/>
  <c r="Z163" i="11" s="1"/>
  <c r="Z181" i="11" s="1"/>
  <c r="Z188" i="11" s="1"/>
  <c r="AC5" i="18"/>
  <c r="AE14" i="16"/>
  <c r="AF12" i="16"/>
  <c r="AF27" i="16" s="1"/>
  <c r="T242" i="11"/>
  <c r="T235" i="11"/>
  <c r="Z151" i="11"/>
  <c r="Z156" i="11"/>
  <c r="Z157" i="11"/>
  <c r="Z155" i="11"/>
  <c r="Z150" i="11"/>
  <c r="Z162" i="11" s="1"/>
  <c r="Z180" i="11" s="1"/>
  <c r="Z187" i="11" s="1"/>
  <c r="Z154" i="11"/>
  <c r="Z165" i="11" s="1"/>
  <c r="Z183" i="11" s="1"/>
  <c r="Z190" i="11" s="1"/>
  <c r="Z153" i="11"/>
  <c r="Z164" i="11" s="1"/>
  <c r="Z182" i="11" s="1"/>
  <c r="Z189" i="11" s="1"/>
  <c r="X170" i="11"/>
  <c r="W221" i="11"/>
  <c r="V231" i="11"/>
  <c r="V238" i="11" s="1"/>
  <c r="U237" i="11"/>
  <c r="V224" i="11"/>
  <c r="U232" i="11"/>
  <c r="U239" i="11" s="1"/>
  <c r="X196" i="11"/>
  <c r="X222" i="11" s="1"/>
  <c r="X198" i="11"/>
  <c r="X194" i="11"/>
  <c r="X195" i="11"/>
  <c r="X219" i="11" s="1"/>
  <c r="Y192" i="11"/>
  <c r="Y196" i="11" s="1"/>
  <c r="X225" i="11"/>
  <c r="X227" i="11" s="1"/>
  <c r="X233" i="11" s="1"/>
  <c r="X240" i="11" s="1"/>
  <c r="U228" i="11"/>
  <c r="U234" i="11" s="1"/>
  <c r="U241" i="11" s="1"/>
  <c r="V218" i="11"/>
  <c r="V230" i="11" s="1"/>
  <c r="W199" i="11"/>
  <c r="Y185" i="11"/>
  <c r="X171" i="11"/>
  <c r="Z184" i="11"/>
  <c r="Z191" i="11" s="1"/>
  <c r="AA178" i="11"/>
  <c r="AA179" i="11"/>
  <c r="AA193" i="11" s="1"/>
  <c r="AB115" i="11"/>
  <c r="X172" i="11"/>
  <c r="AA116" i="11"/>
  <c r="AB177" i="11"/>
  <c r="AB133" i="11"/>
  <c r="AB161" i="11" s="1"/>
  <c r="AB168" i="11" s="1"/>
  <c r="AB114" i="11"/>
  <c r="X169" i="11"/>
  <c r="AF142" i="11"/>
  <c r="AE145" i="11"/>
  <c r="AF146" i="11"/>
  <c r="AE147" i="11"/>
  <c r="AE143" i="11"/>
  <c r="AE166" i="11" s="1"/>
  <c r="AE149" i="11"/>
  <c r="AE144" i="11"/>
  <c r="AE148" i="11"/>
  <c r="U101" i="11"/>
  <c r="Y96" i="11"/>
  <c r="V97" i="11"/>
  <c r="V94" i="11"/>
  <c r="X95" i="11"/>
  <c r="V99" i="11"/>
  <c r="V100" i="11"/>
  <c r="V98" i="11"/>
  <c r="AC112" i="11"/>
  <c r="AB92" i="11"/>
  <c r="AC16" i="11" l="1"/>
  <c r="AB93" i="11"/>
  <c r="AB215" i="11"/>
  <c r="AB229" i="11" s="1"/>
  <c r="AB236" i="11" s="1"/>
  <c r="AB202" i="11"/>
  <c r="AB204" i="11" s="1"/>
  <c r="AB186" i="11"/>
  <c r="AA203" i="11"/>
  <c r="AB203" i="11" s="1"/>
  <c r="AL15" i="11"/>
  <c r="AK26" i="11"/>
  <c r="AB25" i="18"/>
  <c r="AC24" i="18"/>
  <c r="AC20" i="18"/>
  <c r="AC23" i="18"/>
  <c r="AC21" i="18"/>
  <c r="AC19" i="18"/>
  <c r="AC22" i="18"/>
  <c r="AA157" i="11"/>
  <c r="AD5" i="18"/>
  <c r="AF14" i="16"/>
  <c r="U242" i="11"/>
  <c r="U235" i="11"/>
  <c r="Z167" i="11"/>
  <c r="Z169" i="11" s="1"/>
  <c r="AA155" i="11"/>
  <c r="AC115" i="11"/>
  <c r="Y195" i="11"/>
  <c r="V237" i="11"/>
  <c r="W224" i="11"/>
  <c r="V232" i="11"/>
  <c r="V239" i="11" s="1"/>
  <c r="W231" i="11"/>
  <c r="W238" i="11" s="1"/>
  <c r="X221" i="11"/>
  <c r="Y197" i="11"/>
  <c r="Y225" i="11" s="1"/>
  <c r="Y194" i="11"/>
  <c r="Y198" i="11"/>
  <c r="Z192" i="11"/>
  <c r="Z198" i="11" s="1"/>
  <c r="X199" i="11"/>
  <c r="X216" i="11"/>
  <c r="V228" i="11"/>
  <c r="V234" i="11" s="1"/>
  <c r="V241" i="11" s="1"/>
  <c r="W218" i="11"/>
  <c r="W230" i="11" s="1"/>
  <c r="Y222" i="11"/>
  <c r="Z223" i="11" s="1"/>
  <c r="AA223" i="11" s="1"/>
  <c r="AB223" i="11" s="1"/>
  <c r="AA184" i="11"/>
  <c r="AA191" i="11" s="1"/>
  <c r="Z185" i="11"/>
  <c r="AB178" i="11"/>
  <c r="AB179" i="11"/>
  <c r="AB193" i="11" s="1"/>
  <c r="AA152" i="11"/>
  <c r="AA163" i="11" s="1"/>
  <c r="AA181" i="11" s="1"/>
  <c r="AA188" i="11" s="1"/>
  <c r="AA156" i="11"/>
  <c r="AB116" i="11"/>
  <c r="X174" i="11"/>
  <c r="Y167" i="11"/>
  <c r="Y169" i="11" s="1"/>
  <c r="AA150" i="11"/>
  <c r="AA162" i="11" s="1"/>
  <c r="AA180" i="11" s="1"/>
  <c r="AA187" i="11" s="1"/>
  <c r="AA153" i="11"/>
  <c r="AA164" i="11" s="1"/>
  <c r="AA182" i="11" s="1"/>
  <c r="AA189" i="11" s="1"/>
  <c r="AA151" i="11"/>
  <c r="AC177" i="11"/>
  <c r="AC133" i="11"/>
  <c r="AC161" i="11" s="1"/>
  <c r="AC168" i="11" s="1"/>
  <c r="AC114" i="11"/>
  <c r="AA154" i="11"/>
  <c r="AA165" i="11" s="1"/>
  <c r="AA183" i="11" s="1"/>
  <c r="AA190" i="11" s="1"/>
  <c r="AF148" i="11"/>
  <c r="AF147" i="11"/>
  <c r="AF149" i="11"/>
  <c r="AF145" i="11"/>
  <c r="AF144" i="11"/>
  <c r="AF143" i="11"/>
  <c r="AF166" i="11" s="1"/>
  <c r="AG146" i="11"/>
  <c r="AG142" i="11"/>
  <c r="V101" i="11"/>
  <c r="AD112" i="11"/>
  <c r="AC92" i="11"/>
  <c r="W100" i="11"/>
  <c r="Y95" i="11"/>
  <c r="W99" i="11"/>
  <c r="W97" i="11"/>
  <c r="W98" i="11"/>
  <c r="W94" i="11"/>
  <c r="Z96" i="11"/>
  <c r="AD16" i="11" l="1"/>
  <c r="AC93" i="11"/>
  <c r="AC215" i="11"/>
  <c r="AC229" i="11" s="1"/>
  <c r="AC236" i="11" s="1"/>
  <c r="AC202" i="11"/>
  <c r="AC204" i="11" s="1"/>
  <c r="AC186" i="11"/>
  <c r="AM15" i="11"/>
  <c r="AL26" i="11"/>
  <c r="AD24" i="18"/>
  <c r="AD20" i="18"/>
  <c r="AD21" i="18"/>
  <c r="AD22" i="18"/>
  <c r="AD19" i="18"/>
  <c r="AD23" i="18"/>
  <c r="AC25" i="18"/>
  <c r="AB152" i="11"/>
  <c r="AB163" i="11" s="1"/>
  <c r="AB181" i="11" s="1"/>
  <c r="AB188" i="11" s="1"/>
  <c r="AE5" i="18"/>
  <c r="Z173" i="11"/>
  <c r="Z171" i="11"/>
  <c r="AC116" i="11"/>
  <c r="AC156" i="11" s="1"/>
  <c r="V235" i="11"/>
  <c r="V242" i="11"/>
  <c r="Y227" i="11"/>
  <c r="Y233" i="11" s="1"/>
  <c r="Y240" i="11" s="1"/>
  <c r="Z226" i="11"/>
  <c r="AA226" i="11" s="1"/>
  <c r="AB226" i="11" s="1"/>
  <c r="AC226" i="11" s="1"/>
  <c r="Z170" i="11"/>
  <c r="Z172" i="11"/>
  <c r="X224" i="11"/>
  <c r="W232" i="11"/>
  <c r="W239" i="11" s="1"/>
  <c r="X231" i="11"/>
  <c r="X238" i="11" s="1"/>
  <c r="W237" i="11"/>
  <c r="Z197" i="11"/>
  <c r="Z225" i="11" s="1"/>
  <c r="AA192" i="11"/>
  <c r="AA197" i="11" s="1"/>
  <c r="Z195" i="11"/>
  <c r="Z194" i="11"/>
  <c r="Z216" i="11" s="1"/>
  <c r="Z196" i="11"/>
  <c r="Z222" i="11" s="1"/>
  <c r="Y216" i="11"/>
  <c r="Z217" i="11" s="1"/>
  <c r="AA217" i="11" s="1"/>
  <c r="AB217" i="11" s="1"/>
  <c r="AC217" i="11" s="1"/>
  <c r="X218" i="11"/>
  <c r="X230" i="11" s="1"/>
  <c r="W228" i="11"/>
  <c r="W234" i="11" s="1"/>
  <c r="W241" i="11" s="1"/>
  <c r="AC223" i="11"/>
  <c r="Y199" i="11"/>
  <c r="Y219" i="11"/>
  <c r="AA185" i="11"/>
  <c r="AB154" i="11"/>
  <c r="AB165" i="11" s="1"/>
  <c r="AB183" i="11" s="1"/>
  <c r="AB190" i="11" s="1"/>
  <c r="AB184" i="11"/>
  <c r="AB191" i="11" s="1"/>
  <c r="AC178" i="11"/>
  <c r="AC179" i="11"/>
  <c r="AC193" i="11" s="1"/>
  <c r="AB157" i="11"/>
  <c r="AB153" i="11"/>
  <c r="AB164" i="11" s="1"/>
  <c r="AB182" i="11" s="1"/>
  <c r="AB189" i="11" s="1"/>
  <c r="AB156" i="11"/>
  <c r="AB150" i="11"/>
  <c r="AB162" i="11" s="1"/>
  <c r="AB151" i="11"/>
  <c r="AB155" i="11"/>
  <c r="AA167" i="11"/>
  <c r="AA169" i="11" s="1"/>
  <c r="AD133" i="11"/>
  <c r="AD161" i="11" s="1"/>
  <c r="AD168" i="11" s="1"/>
  <c r="AD177" i="11"/>
  <c r="AD114" i="11"/>
  <c r="Y173" i="11"/>
  <c r="Y172" i="11"/>
  <c r="Y171" i="11"/>
  <c r="Y170" i="11"/>
  <c r="AD115" i="11"/>
  <c r="AG143" i="11"/>
  <c r="AG166" i="11" s="1"/>
  <c r="AH142" i="11"/>
  <c r="AG145" i="11"/>
  <c r="AG147" i="11"/>
  <c r="AH146" i="11"/>
  <c r="AG144" i="11"/>
  <c r="AG149" i="11"/>
  <c r="AG148" i="11"/>
  <c r="W101" i="11"/>
  <c r="X94" i="11"/>
  <c r="AA96" i="11"/>
  <c r="X99" i="11"/>
  <c r="X100" i="11"/>
  <c r="X97" i="11"/>
  <c r="X98" i="11"/>
  <c r="Z95" i="11"/>
  <c r="AE112" i="11"/>
  <c r="AD92" i="11"/>
  <c r="AE16" i="11" l="1"/>
  <c r="AD93" i="11"/>
  <c r="AD215" i="11"/>
  <c r="AD229" i="11" s="1"/>
  <c r="AD236" i="11" s="1"/>
  <c r="AD202" i="11"/>
  <c r="AD204" i="11" s="1"/>
  <c r="AD186" i="11"/>
  <c r="AN15" i="11"/>
  <c r="AN26" i="11" s="1"/>
  <c r="AM26" i="11"/>
  <c r="AC203" i="11"/>
  <c r="AD203" i="11" s="1"/>
  <c r="AD25" i="18"/>
  <c r="AE20" i="18"/>
  <c r="AE24" i="18"/>
  <c r="AE22" i="18"/>
  <c r="AE19" i="18"/>
  <c r="AE21" i="18"/>
  <c r="AE23" i="18"/>
  <c r="AC153" i="11"/>
  <c r="AC164" i="11" s="1"/>
  <c r="AC182" i="11" s="1"/>
  <c r="AC189" i="11" s="1"/>
  <c r="AF5" i="18"/>
  <c r="AC152" i="11"/>
  <c r="AC163" i="11" s="1"/>
  <c r="AC181" i="11" s="1"/>
  <c r="AC188" i="11" s="1"/>
  <c r="AC155" i="11"/>
  <c r="AC154" i="11"/>
  <c r="AC165" i="11" s="1"/>
  <c r="AC183" i="11" s="1"/>
  <c r="AC190" i="11" s="1"/>
  <c r="AC150" i="11"/>
  <c r="AC162" i="11" s="1"/>
  <c r="AC157" i="11"/>
  <c r="AC151" i="11"/>
  <c r="Z227" i="11"/>
  <c r="Z233" i="11" s="1"/>
  <c r="Z240" i="11" s="1"/>
  <c r="W235" i="11"/>
  <c r="W242" i="11"/>
  <c r="Z174" i="11"/>
  <c r="Y221" i="11"/>
  <c r="Y231" i="11" s="1"/>
  <c r="Y238" i="11" s="1"/>
  <c r="Z220" i="11"/>
  <c r="AA220" i="11" s="1"/>
  <c r="AB220" i="11" s="1"/>
  <c r="AC220" i="11" s="1"/>
  <c r="AD220" i="11" s="1"/>
  <c r="AA195" i="11"/>
  <c r="AA219" i="11" s="1"/>
  <c r="AB167" i="11"/>
  <c r="AB169" i="11" s="1"/>
  <c r="X237" i="11"/>
  <c r="X232" i="11"/>
  <c r="X239" i="11" s="1"/>
  <c r="Y224" i="11"/>
  <c r="Y232" i="11" s="1"/>
  <c r="Y239" i="11" s="1"/>
  <c r="AA194" i="11"/>
  <c r="AA216" i="11" s="1"/>
  <c r="AA196" i="11"/>
  <c r="AA222" i="11" s="1"/>
  <c r="AA198" i="11"/>
  <c r="AD223" i="11"/>
  <c r="Z199" i="11"/>
  <c r="Z219" i="11"/>
  <c r="AD226" i="11"/>
  <c r="AD217" i="11"/>
  <c r="X228" i="11"/>
  <c r="X234" i="11" s="1"/>
  <c r="X241" i="11" s="1"/>
  <c r="Y218" i="11"/>
  <c r="Y230" i="11" s="1"/>
  <c r="AA225" i="11"/>
  <c r="AA227" i="11" s="1"/>
  <c r="AA233" i="11" s="1"/>
  <c r="AA240" i="11" s="1"/>
  <c r="AD116" i="11"/>
  <c r="AC184" i="11"/>
  <c r="AC191" i="11" s="1"/>
  <c r="AB180" i="11"/>
  <c r="AB187" i="11" s="1"/>
  <c r="AD178" i="11"/>
  <c r="AD179" i="11"/>
  <c r="AD193" i="11" s="1"/>
  <c r="AA172" i="11"/>
  <c r="AA170" i="11"/>
  <c r="Y174" i="11"/>
  <c r="AA171" i="11"/>
  <c r="AA173" i="11"/>
  <c r="AE177" i="11"/>
  <c r="AE133" i="11"/>
  <c r="AE161" i="11" s="1"/>
  <c r="AE168" i="11" s="1"/>
  <c r="AE114" i="11"/>
  <c r="AE115" i="11"/>
  <c r="AH147" i="11"/>
  <c r="AH148" i="11"/>
  <c r="AH144" i="11"/>
  <c r="AI142" i="11"/>
  <c r="AH149" i="11"/>
  <c r="AI146" i="11"/>
  <c r="AH145" i="11"/>
  <c r="AH143" i="11"/>
  <c r="AH166" i="11" s="1"/>
  <c r="X101" i="11"/>
  <c r="AB96" i="11"/>
  <c r="Y98" i="11"/>
  <c r="Y100" i="11"/>
  <c r="Y99" i="11"/>
  <c r="AF112" i="11"/>
  <c r="AE92" i="11"/>
  <c r="AA95" i="11"/>
  <c r="Y97" i="11"/>
  <c r="Y94" i="11"/>
  <c r="AF16" i="11" l="1"/>
  <c r="AE93" i="11"/>
  <c r="AE215" i="11"/>
  <c r="AE229" i="11" s="1"/>
  <c r="AE236" i="11" s="1"/>
  <c r="AE202" i="11"/>
  <c r="AE204" i="11" s="1"/>
  <c r="AE186" i="11"/>
  <c r="AE25" i="18"/>
  <c r="AF24" i="18"/>
  <c r="AF20" i="18"/>
  <c r="AF22" i="18"/>
  <c r="AF23" i="18"/>
  <c r="AF21" i="18"/>
  <c r="AF19" i="18"/>
  <c r="AD150" i="11"/>
  <c r="AD162" i="11" s="1"/>
  <c r="AD180" i="11" s="1"/>
  <c r="AD187" i="11" s="1"/>
  <c r="AG5" i="18"/>
  <c r="AC167" i="11"/>
  <c r="AC169" i="11" s="1"/>
  <c r="AC180" i="11"/>
  <c r="AC187" i="11" s="1"/>
  <c r="AC192" i="11" s="1"/>
  <c r="AC197" i="11" s="1"/>
  <c r="X235" i="11"/>
  <c r="X242" i="11"/>
  <c r="Z221" i="11"/>
  <c r="Z231" i="11" s="1"/>
  <c r="Z238" i="11" s="1"/>
  <c r="AB172" i="11"/>
  <c r="AD154" i="11"/>
  <c r="AD165" i="11" s="1"/>
  <c r="AD183" i="11" s="1"/>
  <c r="AD190" i="11" s="1"/>
  <c r="AB173" i="11"/>
  <c r="AB171" i="11"/>
  <c r="AD157" i="11"/>
  <c r="AD152" i="11"/>
  <c r="AD163" i="11" s="1"/>
  <c r="AD181" i="11" s="1"/>
  <c r="AD188" i="11" s="1"/>
  <c r="AB170" i="11"/>
  <c r="Y237" i="11"/>
  <c r="Z224" i="11"/>
  <c r="Z232" i="11" s="1"/>
  <c r="Z239" i="11" s="1"/>
  <c r="AB192" i="11"/>
  <c r="AB194" i="11" s="1"/>
  <c r="B215" i="11" s="1"/>
  <c r="AD155" i="11"/>
  <c r="AD156" i="11"/>
  <c r="AA199" i="11"/>
  <c r="Z218" i="11"/>
  <c r="Z230" i="11" s="1"/>
  <c r="Y228" i="11"/>
  <c r="Y234" i="11" s="1"/>
  <c r="Y241" i="11" s="1"/>
  <c r="AE223" i="11"/>
  <c r="AD151" i="11"/>
  <c r="AE217" i="11"/>
  <c r="AD153" i="11"/>
  <c r="AD164" i="11" s="1"/>
  <c r="AD182" i="11" s="1"/>
  <c r="AD189" i="11" s="1"/>
  <c r="AE226" i="11"/>
  <c r="AB185" i="11"/>
  <c r="AE116" i="11"/>
  <c r="AD184" i="11"/>
  <c r="AD191" i="11" s="1"/>
  <c r="AE178" i="11"/>
  <c r="AE179" i="11"/>
  <c r="AE193" i="11" s="1"/>
  <c r="AA174" i="11"/>
  <c r="AF177" i="11"/>
  <c r="AF133" i="11"/>
  <c r="AF161" i="11" s="1"/>
  <c r="AF168" i="11" s="1"/>
  <c r="AF114" i="11"/>
  <c r="AF115" i="11"/>
  <c r="AG115" i="11" s="1"/>
  <c r="AI143" i="11"/>
  <c r="AI166" i="11" s="1"/>
  <c r="AJ142" i="11"/>
  <c r="AJ146" i="11"/>
  <c r="AI148" i="11"/>
  <c r="AI145" i="11"/>
  <c r="AI149" i="11"/>
  <c r="AI144" i="11"/>
  <c r="AI147" i="11"/>
  <c r="Y101" i="11"/>
  <c r="AG112" i="11"/>
  <c r="AF92" i="11"/>
  <c r="Z100" i="11"/>
  <c r="Z97" i="11"/>
  <c r="Z98" i="11"/>
  <c r="Z99" i="11"/>
  <c r="Z94" i="11"/>
  <c r="AB95" i="11"/>
  <c r="AC96" i="11"/>
  <c r="AG16" i="11" l="1"/>
  <c r="AF93" i="11"/>
  <c r="AF215" i="11"/>
  <c r="AF229" i="11" s="1"/>
  <c r="AF236" i="11" s="1"/>
  <c r="AF202" i="11"/>
  <c r="AF204" i="11" s="1"/>
  <c r="AF186" i="11"/>
  <c r="AE220" i="11"/>
  <c r="AF220" i="11" s="1"/>
  <c r="AE203" i="11"/>
  <c r="AF203" i="11" s="1"/>
  <c r="AF25" i="18"/>
  <c r="AG24" i="18"/>
  <c r="AG20" i="18"/>
  <c r="AG23" i="18"/>
  <c r="AG21" i="18"/>
  <c r="AG19" i="18"/>
  <c r="AG22" i="18"/>
  <c r="AE150" i="11"/>
  <c r="AE162" i="11" s="1"/>
  <c r="AE180" i="11" s="1"/>
  <c r="AE187" i="11" s="1"/>
  <c r="AH5" i="18"/>
  <c r="AC171" i="11"/>
  <c r="AC173" i="11"/>
  <c r="AC170" i="11"/>
  <c r="AC172" i="11"/>
  <c r="AC185" i="11"/>
  <c r="AA221" i="11"/>
  <c r="AA231" i="11" s="1"/>
  <c r="AA238" i="11" s="1"/>
  <c r="Y235" i="11"/>
  <c r="Y242" i="11"/>
  <c r="AB174" i="11"/>
  <c r="AE155" i="11"/>
  <c r="AE156" i="11"/>
  <c r="AE157" i="11"/>
  <c r="AE153" i="11"/>
  <c r="AE164" i="11" s="1"/>
  <c r="AE182" i="11" s="1"/>
  <c r="AE189" i="11" s="1"/>
  <c r="AD167" i="11"/>
  <c r="AD169" i="11" s="1"/>
  <c r="Z237" i="11"/>
  <c r="AA224" i="11"/>
  <c r="AA232" i="11" s="1"/>
  <c r="AA239" i="11" s="1"/>
  <c r="AC194" i="11"/>
  <c r="AC216" i="11" s="1"/>
  <c r="AB197" i="11"/>
  <c r="AB198" i="11"/>
  <c r="B219" i="11" s="1"/>
  <c r="AB196" i="11"/>
  <c r="AB195" i="11"/>
  <c r="AC198" i="11"/>
  <c r="AC196" i="11"/>
  <c r="AC222" i="11" s="1"/>
  <c r="AD192" i="11"/>
  <c r="AD197" i="11" s="1"/>
  <c r="AC195" i="11"/>
  <c r="AC219" i="11" s="1"/>
  <c r="AA218" i="11"/>
  <c r="AA230" i="11" s="1"/>
  <c r="Z228" i="11"/>
  <c r="Z234" i="11" s="1"/>
  <c r="Z241" i="11" s="1"/>
  <c r="AF217" i="11"/>
  <c r="AF226" i="11"/>
  <c r="AF223" i="11"/>
  <c r="AC225" i="11"/>
  <c r="AC227" i="11" s="1"/>
  <c r="AC233" i="11" s="1"/>
  <c r="AC240" i="11" s="1"/>
  <c r="AB216" i="11"/>
  <c r="AF178" i="11"/>
  <c r="AF179" i="11"/>
  <c r="AF193" i="11" s="1"/>
  <c r="AE184" i="11"/>
  <c r="AE191" i="11" s="1"/>
  <c r="AD185" i="11"/>
  <c r="AE154" i="11"/>
  <c r="AE165" i="11" s="1"/>
  <c r="AE183" i="11" s="1"/>
  <c r="AE190" i="11" s="1"/>
  <c r="AE152" i="11"/>
  <c r="AE163" i="11" s="1"/>
  <c r="AE181" i="11" s="1"/>
  <c r="AE188" i="11" s="1"/>
  <c r="AE151" i="11"/>
  <c r="AF116" i="11"/>
  <c r="AG133" i="11"/>
  <c r="AG161" i="11" s="1"/>
  <c r="AG168" i="11" s="1"/>
  <c r="AG177" i="11"/>
  <c r="AG114" i="11"/>
  <c r="AG116" i="11" s="1"/>
  <c r="AJ148" i="11"/>
  <c r="AJ147" i="11"/>
  <c r="AJ149" i="11"/>
  <c r="AK142" i="11"/>
  <c r="AJ144" i="11"/>
  <c r="AJ145" i="11"/>
  <c r="AK146" i="11"/>
  <c r="AJ143" i="11"/>
  <c r="AJ166" i="11" s="1"/>
  <c r="Z101" i="11"/>
  <c r="AA97" i="11"/>
  <c r="AD96" i="11"/>
  <c r="AA100" i="11"/>
  <c r="AA94" i="11"/>
  <c r="AA98" i="11"/>
  <c r="AC95" i="11"/>
  <c r="AA99" i="11"/>
  <c r="AH112" i="11"/>
  <c r="AH115" i="11" s="1"/>
  <c r="AG92" i="11"/>
  <c r="AH16" i="11" l="1"/>
  <c r="AG93" i="11"/>
  <c r="AG215" i="11"/>
  <c r="AG229" i="11" s="1"/>
  <c r="AG236" i="11" s="1"/>
  <c r="AG202" i="11"/>
  <c r="AG204" i="11" s="1"/>
  <c r="AG186" i="11"/>
  <c r="AG25" i="18"/>
  <c r="AH24" i="18"/>
  <c r="AH20" i="18"/>
  <c r="AH19" i="18"/>
  <c r="AH23" i="18"/>
  <c r="AH22" i="18"/>
  <c r="AH21" i="18"/>
  <c r="AG157" i="11"/>
  <c r="AJ5" i="18"/>
  <c r="AF157" i="11"/>
  <c r="AI5" i="18"/>
  <c r="AC174" i="11"/>
  <c r="Z242" i="11"/>
  <c r="Z235" i="11"/>
  <c r="AB219" i="11"/>
  <c r="AB221" i="11" s="1"/>
  <c r="AB231" i="11" s="1"/>
  <c r="AB238" i="11" s="1"/>
  <c r="B216" i="11"/>
  <c r="AB222" i="11"/>
  <c r="AB224" i="11" s="1"/>
  <c r="AB232" i="11" s="1"/>
  <c r="AB239" i="11" s="1"/>
  <c r="B217" i="11"/>
  <c r="AB225" i="11"/>
  <c r="AB227" i="11" s="1"/>
  <c r="AB233" i="11" s="1"/>
  <c r="AB240" i="11" s="1"/>
  <c r="B218" i="11"/>
  <c r="AD172" i="11"/>
  <c r="AD173" i="11"/>
  <c r="AD171" i="11"/>
  <c r="AD170" i="11"/>
  <c r="AD195" i="11"/>
  <c r="AD219" i="11" s="1"/>
  <c r="AD194" i="11"/>
  <c r="AG154" i="11"/>
  <c r="AG165" i="11" s="1"/>
  <c r="AF151" i="11"/>
  <c r="AD198" i="11"/>
  <c r="AA237" i="11"/>
  <c r="AE192" i="11"/>
  <c r="AE194" i="11" s="1"/>
  <c r="AD196" i="11"/>
  <c r="AD222" i="11" s="1"/>
  <c r="AG153" i="11"/>
  <c r="AG164" i="11" s="1"/>
  <c r="AG150" i="11"/>
  <c r="AG162" i="11" s="1"/>
  <c r="AF156" i="11"/>
  <c r="AF154" i="11"/>
  <c r="AF165" i="11" s="1"/>
  <c r="AF183" i="11" s="1"/>
  <c r="AF190" i="11" s="1"/>
  <c r="AG223" i="11"/>
  <c r="AG151" i="11"/>
  <c r="AG152" i="11"/>
  <c r="AG163" i="11" s="1"/>
  <c r="AG217" i="11"/>
  <c r="AG220" i="11"/>
  <c r="AG156" i="11"/>
  <c r="AG155" i="11"/>
  <c r="AG226" i="11"/>
  <c r="AB218" i="11"/>
  <c r="AB230" i="11" s="1"/>
  <c r="AA228" i="11"/>
  <c r="AA234" i="11" s="1"/>
  <c r="AA241" i="11" s="1"/>
  <c r="AD225" i="11"/>
  <c r="AD227" i="11" s="1"/>
  <c r="AD233" i="11" s="1"/>
  <c r="AD240" i="11" s="1"/>
  <c r="AB199" i="11"/>
  <c r="AC199" i="11"/>
  <c r="AE167" i="11"/>
  <c r="AE173" i="11" s="1"/>
  <c r="AG178" i="11"/>
  <c r="AG179" i="11"/>
  <c r="AG193" i="11" s="1"/>
  <c r="AE185" i="11"/>
  <c r="AF184" i="11"/>
  <c r="AF191" i="11" s="1"/>
  <c r="AF153" i="11"/>
  <c r="AF164" i="11" s="1"/>
  <c r="AF182" i="11" s="1"/>
  <c r="AF189" i="11" s="1"/>
  <c r="AF152" i="11"/>
  <c r="AF163" i="11" s="1"/>
  <c r="AF181" i="11" s="1"/>
  <c r="AF188" i="11" s="1"/>
  <c r="AF150" i="11"/>
  <c r="AF162" i="11" s="1"/>
  <c r="AF180" i="11" s="1"/>
  <c r="AF187" i="11" s="1"/>
  <c r="AF155" i="11"/>
  <c r="AH133" i="11"/>
  <c r="AH161" i="11" s="1"/>
  <c r="AH168" i="11" s="1"/>
  <c r="AH177" i="11"/>
  <c r="AH114" i="11"/>
  <c r="AH116" i="11" s="1"/>
  <c r="AK143" i="11"/>
  <c r="AK166" i="11" s="1"/>
  <c r="AL142" i="11"/>
  <c r="AK145" i="11"/>
  <c r="AK147" i="11"/>
  <c r="AL146" i="11"/>
  <c r="AK144" i="11"/>
  <c r="AK149" i="11"/>
  <c r="AK148" i="11"/>
  <c r="AA101" i="11"/>
  <c r="AD95" i="11"/>
  <c r="AB99" i="11"/>
  <c r="AB94" i="11"/>
  <c r="AE96" i="11"/>
  <c r="AI112" i="11"/>
  <c r="AH92" i="11"/>
  <c r="AB98" i="11"/>
  <c r="AB100" i="11"/>
  <c r="AB97" i="11"/>
  <c r="AI16" i="11" l="1"/>
  <c r="AH93" i="11"/>
  <c r="AG203" i="11"/>
  <c r="AH203" i="11" s="1"/>
  <c r="AH215" i="11"/>
  <c r="AH229" i="11" s="1"/>
  <c r="AH236" i="11" s="1"/>
  <c r="AH202" i="11"/>
  <c r="AH204" i="11" s="1"/>
  <c r="AH186" i="11"/>
  <c r="AH25" i="18"/>
  <c r="AI24" i="18"/>
  <c r="AI20" i="18"/>
  <c r="AI22" i="18"/>
  <c r="AI23" i="18"/>
  <c r="AI19" i="18"/>
  <c r="AI21" i="18"/>
  <c r="AJ20" i="18"/>
  <c r="AJ24" i="18"/>
  <c r="AJ21" i="18"/>
  <c r="AJ22" i="18"/>
  <c r="AJ23" i="18"/>
  <c r="AJ19" i="18"/>
  <c r="AH152" i="11"/>
  <c r="AH163" i="11" s="1"/>
  <c r="AK5" i="18"/>
  <c r="AE172" i="11"/>
  <c r="AA242" i="11"/>
  <c r="AA235" i="11"/>
  <c r="AC221" i="11"/>
  <c r="AC231" i="11" s="1"/>
  <c r="AC238" i="11" s="1"/>
  <c r="B220" i="11"/>
  <c r="AD174" i="11"/>
  <c r="AC224" i="11"/>
  <c r="AC232" i="11" s="1"/>
  <c r="AC239" i="11" s="1"/>
  <c r="AE169" i="11"/>
  <c r="AE171" i="11"/>
  <c r="AG167" i="11"/>
  <c r="AG173" i="11" s="1"/>
  <c r="AE197" i="11"/>
  <c r="AE225" i="11" s="1"/>
  <c r="AE227" i="11" s="1"/>
  <c r="AE233" i="11" s="1"/>
  <c r="AE240" i="11" s="1"/>
  <c r="AB237" i="11"/>
  <c r="AF192" i="11"/>
  <c r="AF195" i="11" s="1"/>
  <c r="AE196" i="11"/>
  <c r="AE222" i="11" s="1"/>
  <c r="AE198" i="11"/>
  <c r="AE195" i="11"/>
  <c r="AE219" i="11" s="1"/>
  <c r="AC218" i="11"/>
  <c r="AC230" i="11" s="1"/>
  <c r="AB228" i="11"/>
  <c r="AB234" i="11" s="1"/>
  <c r="AB241" i="11" s="1"/>
  <c r="AH220" i="11"/>
  <c r="AE170" i="11"/>
  <c r="AH217" i="11"/>
  <c r="AD199" i="11"/>
  <c r="AD216" i="11"/>
  <c r="AH226" i="11"/>
  <c r="AH223" i="11"/>
  <c r="AE216" i="11"/>
  <c r="AF185" i="11"/>
  <c r="AH178" i="11"/>
  <c r="AH179" i="11"/>
  <c r="AH193" i="11" s="1"/>
  <c r="AG180" i="11"/>
  <c r="AG187" i="11" s="1"/>
  <c r="AG181" i="11"/>
  <c r="AG188" i="11" s="1"/>
  <c r="AG182" i="11"/>
  <c r="AG189" i="11" s="1"/>
  <c r="AG183" i="11"/>
  <c r="AG190" i="11" s="1"/>
  <c r="AG184" i="11"/>
  <c r="AG191" i="11" s="1"/>
  <c r="AH150" i="11"/>
  <c r="AH162" i="11" s="1"/>
  <c r="AH155" i="11"/>
  <c r="AH153" i="11"/>
  <c r="AH164" i="11" s="1"/>
  <c r="AF167" i="11"/>
  <c r="AF169" i="11" s="1"/>
  <c r="AH157" i="11"/>
  <c r="AH151" i="11"/>
  <c r="AI133" i="11"/>
  <c r="AI161" i="11" s="1"/>
  <c r="AI168" i="11" s="1"/>
  <c r="AI177" i="11"/>
  <c r="AI114" i="11"/>
  <c r="AH156" i="11"/>
  <c r="AH154" i="11"/>
  <c r="AH165" i="11" s="1"/>
  <c r="AI115" i="11"/>
  <c r="AL148" i="11"/>
  <c r="AL144" i="11"/>
  <c r="AL147" i="11"/>
  <c r="AM142" i="11"/>
  <c r="AL149" i="11"/>
  <c r="AM146" i="11"/>
  <c r="AL145" i="11"/>
  <c r="AL143" i="11"/>
  <c r="AL166" i="11" s="1"/>
  <c r="AB101" i="11"/>
  <c r="AC99" i="11"/>
  <c r="AC98" i="11"/>
  <c r="AF96" i="11"/>
  <c r="AJ112" i="11"/>
  <c r="AI92" i="11"/>
  <c r="AC97" i="11"/>
  <c r="AC100" i="11"/>
  <c r="AC94" i="11"/>
  <c r="AE95" i="11"/>
  <c r="AJ16" i="11" l="1"/>
  <c r="AI93" i="11"/>
  <c r="AI215" i="11"/>
  <c r="AI229" i="11" s="1"/>
  <c r="AI236" i="11" s="1"/>
  <c r="AI202" i="11"/>
  <c r="AI204" i="11" s="1"/>
  <c r="AI186" i="11"/>
  <c r="AI25" i="18"/>
  <c r="AJ25" i="18"/>
  <c r="AK24" i="18"/>
  <c r="AK20" i="18"/>
  <c r="AK23" i="18"/>
  <c r="AK21" i="18"/>
  <c r="AK19" i="18"/>
  <c r="AK22" i="18"/>
  <c r="AB235" i="11"/>
  <c r="AB242" i="11"/>
  <c r="AD221" i="11"/>
  <c r="AD231" i="11" s="1"/>
  <c r="AD238" i="11" s="1"/>
  <c r="AG171" i="11"/>
  <c r="AF198" i="11"/>
  <c r="AD224" i="11"/>
  <c r="AD232" i="11" s="1"/>
  <c r="AD239" i="11" s="1"/>
  <c r="AG172" i="11"/>
  <c r="AG169" i="11"/>
  <c r="AE174" i="11"/>
  <c r="AG170" i="11"/>
  <c r="AF196" i="11"/>
  <c r="AF222" i="11" s="1"/>
  <c r="AF197" i="11"/>
  <c r="AF194" i="11"/>
  <c r="AF216" i="11" s="1"/>
  <c r="AC237" i="11"/>
  <c r="AG192" i="11"/>
  <c r="AG195" i="11" s="1"/>
  <c r="AI217" i="11"/>
  <c r="AI223" i="11"/>
  <c r="AI220" i="11"/>
  <c r="AD218" i="11"/>
  <c r="AD230" i="11" s="1"/>
  <c r="AC228" i="11"/>
  <c r="AC234" i="11" s="1"/>
  <c r="AC241" i="11" s="1"/>
  <c r="AE199" i="11"/>
  <c r="AF219" i="11"/>
  <c r="AI178" i="11"/>
  <c r="AI179" i="11"/>
  <c r="AI193" i="11" s="1"/>
  <c r="AG185" i="11"/>
  <c r="AH180" i="11"/>
  <c r="AH187" i="11" s="1"/>
  <c r="AH181" i="11"/>
  <c r="AH188" i="11" s="1"/>
  <c r="AH182" i="11"/>
  <c r="AH189" i="11" s="1"/>
  <c r="AH183" i="11"/>
  <c r="AH190" i="11" s="1"/>
  <c r="AH184" i="11"/>
  <c r="AH191" i="11" s="1"/>
  <c r="AF170" i="11"/>
  <c r="AF173" i="11"/>
  <c r="AF172" i="11"/>
  <c r="AF171" i="11"/>
  <c r="AI116" i="11"/>
  <c r="AL5" i="18" s="1"/>
  <c r="AJ177" i="11"/>
  <c r="AJ133" i="11"/>
  <c r="AJ161" i="11" s="1"/>
  <c r="AJ168" i="11" s="1"/>
  <c r="AJ114" i="11"/>
  <c r="AJ115" i="11"/>
  <c r="AH167" i="11"/>
  <c r="AH169" i="11" s="1"/>
  <c r="AN146" i="11"/>
  <c r="AM143" i="11"/>
  <c r="AM166" i="11" s="1"/>
  <c r="AN142" i="11"/>
  <c r="AM144" i="11"/>
  <c r="AM145" i="11"/>
  <c r="AM149" i="11"/>
  <c r="AM147" i="11"/>
  <c r="AM148" i="11"/>
  <c r="AC101" i="11"/>
  <c r="AD94" i="11"/>
  <c r="AK112" i="11"/>
  <c r="AJ92" i="11"/>
  <c r="AD98" i="11"/>
  <c r="AF95" i="11"/>
  <c r="AD100" i="11"/>
  <c r="AD99" i="11"/>
  <c r="AD97" i="11"/>
  <c r="AG96" i="11"/>
  <c r="AK16" i="11" l="1"/>
  <c r="AJ93" i="11"/>
  <c r="AJ215" i="11"/>
  <c r="AJ229" i="11" s="1"/>
  <c r="AJ236" i="11" s="1"/>
  <c r="AJ202" i="11"/>
  <c r="AJ204" i="11" s="1"/>
  <c r="AJ186" i="11"/>
  <c r="AI203" i="11"/>
  <c r="AJ203" i="11" s="1"/>
  <c r="AI226" i="11"/>
  <c r="AJ226" i="11" s="1"/>
  <c r="AL20" i="18"/>
  <c r="AL24" i="18"/>
  <c r="AL19" i="18"/>
  <c r="AL21" i="18"/>
  <c r="AL23" i="18"/>
  <c r="AL22" i="18"/>
  <c r="AK25" i="18"/>
  <c r="AE221" i="11"/>
  <c r="AE231" i="11" s="1"/>
  <c r="AE238" i="11" s="1"/>
  <c r="AC242" i="11"/>
  <c r="AC235" i="11"/>
  <c r="AE224" i="11"/>
  <c r="AE232" i="11" s="1"/>
  <c r="AE239" i="11" s="1"/>
  <c r="AG174" i="11"/>
  <c r="AD237" i="11"/>
  <c r="AG194" i="11"/>
  <c r="AG216" i="11" s="1"/>
  <c r="AG197" i="11"/>
  <c r="AG225" i="11" s="1"/>
  <c r="AG227" i="11" s="1"/>
  <c r="AG233" i="11" s="1"/>
  <c r="AG240" i="11" s="1"/>
  <c r="AH192" i="11"/>
  <c r="AH196" i="11" s="1"/>
  <c r="AG196" i="11"/>
  <c r="AG222" i="11" s="1"/>
  <c r="AG198" i="11"/>
  <c r="AJ217" i="11"/>
  <c r="AE218" i="11"/>
  <c r="AE230" i="11" s="1"/>
  <c r="AD228" i="11"/>
  <c r="AD234" i="11" s="1"/>
  <c r="AD241" i="11" s="1"/>
  <c r="AK115" i="11"/>
  <c r="AJ220" i="11"/>
  <c r="AF199" i="11"/>
  <c r="AF225" i="11"/>
  <c r="AF227" i="11" s="1"/>
  <c r="AF233" i="11" s="1"/>
  <c r="AF240" i="11" s="1"/>
  <c r="AJ223" i="11"/>
  <c r="AG219" i="11"/>
  <c r="AI184" i="11"/>
  <c r="AI191" i="11" s="1"/>
  <c r="AH185" i="11"/>
  <c r="AJ178" i="11"/>
  <c r="AJ179" i="11"/>
  <c r="AJ193" i="11" s="1"/>
  <c r="AF174" i="11"/>
  <c r="AJ116" i="11"/>
  <c r="AI157" i="11"/>
  <c r="AI151" i="11"/>
  <c r="AI154" i="11"/>
  <c r="AI165" i="11" s="1"/>
  <c r="AI183" i="11" s="1"/>
  <c r="AI190" i="11" s="1"/>
  <c r="AI152" i="11"/>
  <c r="AI163" i="11" s="1"/>
  <c r="AI181" i="11" s="1"/>
  <c r="AI188" i="11" s="1"/>
  <c r="AI153" i="11"/>
  <c r="AI164" i="11" s="1"/>
  <c r="AI182" i="11" s="1"/>
  <c r="AI189" i="11" s="1"/>
  <c r="AI150" i="11"/>
  <c r="AI162" i="11" s="1"/>
  <c r="AI180" i="11" s="1"/>
  <c r="AI187" i="11" s="1"/>
  <c r="AI155" i="11"/>
  <c r="AI156" i="11"/>
  <c r="AK177" i="11"/>
  <c r="AK133" i="11"/>
  <c r="AK161" i="11" s="1"/>
  <c r="AK168" i="11" s="1"/>
  <c r="AK114" i="11"/>
  <c r="AJ152" i="11"/>
  <c r="AJ163" i="11" s="1"/>
  <c r="AH171" i="11"/>
  <c r="AH173" i="11"/>
  <c r="AH170" i="11"/>
  <c r="AH172" i="11"/>
  <c r="AN148" i="11"/>
  <c r="AN143" i="11"/>
  <c r="AN166" i="11" s="1"/>
  <c r="AN149" i="11"/>
  <c r="AN144" i="11"/>
  <c r="AN147" i="11"/>
  <c r="AN145" i="11"/>
  <c r="AD101" i="11"/>
  <c r="AE100" i="11"/>
  <c r="AE99" i="11"/>
  <c r="AH96" i="11"/>
  <c r="AL112" i="11"/>
  <c r="AK92" i="11"/>
  <c r="AE97" i="11"/>
  <c r="AE98" i="11"/>
  <c r="AE94" i="11"/>
  <c r="AG95" i="11"/>
  <c r="AL16" i="11" l="1"/>
  <c r="AK93" i="11"/>
  <c r="AK215" i="11"/>
  <c r="AK229" i="11" s="1"/>
  <c r="AK236" i="11" s="1"/>
  <c r="AK202" i="11"/>
  <c r="AK204" i="11" s="1"/>
  <c r="AK186" i="11"/>
  <c r="AL25" i="18"/>
  <c r="AJ151" i="11"/>
  <c r="AM5" i="18"/>
  <c r="AF221" i="11"/>
  <c r="AF231" i="11" s="1"/>
  <c r="AF238" i="11" s="1"/>
  <c r="AD242" i="11"/>
  <c r="AD235" i="11"/>
  <c r="AF224" i="11"/>
  <c r="AF232" i="11" s="1"/>
  <c r="AF239" i="11" s="1"/>
  <c r="AK116" i="11"/>
  <c r="AJ150" i="11"/>
  <c r="AJ162" i="11" s="1"/>
  <c r="AJ180" i="11" s="1"/>
  <c r="AJ187" i="11" s="1"/>
  <c r="AL115" i="11"/>
  <c r="AJ155" i="11"/>
  <c r="AE237" i="11"/>
  <c r="AH197" i="11"/>
  <c r="AH225" i="11" s="1"/>
  <c r="AH227" i="11" s="1"/>
  <c r="AH233" i="11" s="1"/>
  <c r="AH240" i="11" s="1"/>
  <c r="AH195" i="11"/>
  <c r="AH219" i="11" s="1"/>
  <c r="AH194" i="11"/>
  <c r="AH216" i="11" s="1"/>
  <c r="AH198" i="11"/>
  <c r="AI192" i="11"/>
  <c r="AI196" i="11" s="1"/>
  <c r="AK220" i="11"/>
  <c r="AF218" i="11"/>
  <c r="AF230" i="11" s="1"/>
  <c r="AE228" i="11"/>
  <c r="AE234" i="11" s="1"/>
  <c r="AE241" i="11" s="1"/>
  <c r="AK217" i="11"/>
  <c r="AK223" i="11"/>
  <c r="AK226" i="11"/>
  <c r="AG199" i="11"/>
  <c r="AI185" i="11"/>
  <c r="AK178" i="11"/>
  <c r="AK179" i="11"/>
  <c r="AK193" i="11" s="1"/>
  <c r="AJ181" i="11"/>
  <c r="AJ188" i="11" s="1"/>
  <c r="AJ184" i="11"/>
  <c r="AJ191" i="11" s="1"/>
  <c r="AH174" i="11"/>
  <c r="AJ154" i="11"/>
  <c r="AJ165" i="11" s="1"/>
  <c r="AJ183" i="11" s="1"/>
  <c r="AJ190" i="11" s="1"/>
  <c r="AJ153" i="11"/>
  <c r="AJ164" i="11" s="1"/>
  <c r="AJ156" i="11"/>
  <c r="AJ157" i="11"/>
  <c r="AI167" i="11"/>
  <c r="AI171" i="11" s="1"/>
  <c r="AL133" i="11"/>
  <c r="AL161" i="11" s="1"/>
  <c r="AL168" i="11" s="1"/>
  <c r="AL177" i="11"/>
  <c r="AL114" i="11"/>
  <c r="AE101" i="11"/>
  <c r="AF99" i="11"/>
  <c r="AH95" i="11"/>
  <c r="AF98" i="11"/>
  <c r="AM112" i="11"/>
  <c r="AL92" i="11"/>
  <c r="AF94" i="11"/>
  <c r="AF97" i="11"/>
  <c r="AI96" i="11"/>
  <c r="AF100" i="11"/>
  <c r="AM16" i="11" l="1"/>
  <c r="AL93" i="11"/>
  <c r="AL215" i="11"/>
  <c r="AL229" i="11" s="1"/>
  <c r="AL236" i="11" s="1"/>
  <c r="AL202" i="11"/>
  <c r="AL204" i="11" s="1"/>
  <c r="AL186" i="11"/>
  <c r="AK203" i="11"/>
  <c r="AM20" i="18"/>
  <c r="AM24" i="18"/>
  <c r="AM22" i="18"/>
  <c r="AM21" i="18"/>
  <c r="AM19" i="18"/>
  <c r="AM23" i="18"/>
  <c r="AK155" i="11"/>
  <c r="AN5" i="18"/>
  <c r="AG221" i="11"/>
  <c r="AG231" i="11" s="1"/>
  <c r="AG238" i="11" s="1"/>
  <c r="AE242" i="11"/>
  <c r="AE235" i="11"/>
  <c r="AK151" i="11"/>
  <c r="AI172" i="11"/>
  <c r="AG224" i="11"/>
  <c r="AG232" i="11" s="1"/>
  <c r="AG239" i="11" s="1"/>
  <c r="AK153" i="11"/>
  <c r="AK164" i="11" s="1"/>
  <c r="AK182" i="11" s="1"/>
  <c r="AK189" i="11" s="1"/>
  <c r="AK154" i="11"/>
  <c r="AK165" i="11" s="1"/>
  <c r="AK183" i="11" s="1"/>
  <c r="AK190" i="11" s="1"/>
  <c r="AK156" i="11"/>
  <c r="AK157" i="11"/>
  <c r="AK152" i="11"/>
  <c r="AK163" i="11" s="1"/>
  <c r="AK181" i="11" s="1"/>
  <c r="AK188" i="11" s="1"/>
  <c r="AK150" i="11"/>
  <c r="AK162" i="11" s="1"/>
  <c r="AK180" i="11" s="1"/>
  <c r="AK187" i="11" s="1"/>
  <c r="AL116" i="11"/>
  <c r="AJ167" i="11"/>
  <c r="AJ169" i="11" s="1"/>
  <c r="AF237" i="11"/>
  <c r="AI195" i="11"/>
  <c r="AI219" i="11" s="1"/>
  <c r="AI194" i="11"/>
  <c r="AI216" i="11" s="1"/>
  <c r="AI198" i="11"/>
  <c r="AI197" i="11"/>
  <c r="AI225" i="11" s="1"/>
  <c r="AI227" i="11" s="1"/>
  <c r="AI233" i="11" s="1"/>
  <c r="AI240" i="11" s="1"/>
  <c r="AG218" i="11"/>
  <c r="AG230" i="11" s="1"/>
  <c r="AF228" i="11"/>
  <c r="AF234" i="11" s="1"/>
  <c r="AF241" i="11" s="1"/>
  <c r="AL217" i="11"/>
  <c r="AL220" i="11"/>
  <c r="AH199" i="11"/>
  <c r="AH222" i="11"/>
  <c r="AL226" i="11"/>
  <c r="AL223" i="11"/>
  <c r="AI222" i="11"/>
  <c r="AL178" i="11"/>
  <c r="AL179" i="11"/>
  <c r="AL193" i="11" s="1"/>
  <c r="AJ182" i="11"/>
  <c r="AJ189" i="11" s="1"/>
  <c r="AK184" i="11"/>
  <c r="AK191" i="11" s="1"/>
  <c r="AI169" i="11"/>
  <c r="AI173" i="11"/>
  <c r="AM133" i="11"/>
  <c r="AM161" i="11" s="1"/>
  <c r="AM168" i="11" s="1"/>
  <c r="AM177" i="11"/>
  <c r="AM114" i="11"/>
  <c r="AM115" i="11"/>
  <c r="AI170" i="11"/>
  <c r="AF101" i="11"/>
  <c r="AJ96" i="11"/>
  <c r="AG98" i="11"/>
  <c r="AG97" i="11"/>
  <c r="AG94" i="11"/>
  <c r="AG100" i="11"/>
  <c r="AN112" i="11"/>
  <c r="AM92" i="11"/>
  <c r="AI95" i="11"/>
  <c r="AG99" i="11"/>
  <c r="AN16" i="11" l="1"/>
  <c r="AM93" i="11"/>
  <c r="AL203" i="11"/>
  <c r="AM203" i="11" s="1"/>
  <c r="AM215" i="11"/>
  <c r="AM229" i="11" s="1"/>
  <c r="AM236" i="11" s="1"/>
  <c r="AM202" i="11"/>
  <c r="AM204" i="11" s="1"/>
  <c r="AM186" i="11"/>
  <c r="AM25" i="18"/>
  <c r="AN24" i="18"/>
  <c r="AN20" i="18"/>
  <c r="AN22" i="18"/>
  <c r="AN23" i="18"/>
  <c r="AN21" i="18"/>
  <c r="AN19" i="18"/>
  <c r="AL155" i="11"/>
  <c r="AO5" i="18"/>
  <c r="AH221" i="11"/>
  <c r="AH231" i="11" s="1"/>
  <c r="AH238" i="11" s="1"/>
  <c r="AF235" i="11"/>
  <c r="AF242" i="11"/>
  <c r="AH224" i="11"/>
  <c r="AH232" i="11" s="1"/>
  <c r="AH239" i="11" s="1"/>
  <c r="AJ172" i="11"/>
  <c r="AJ170" i="11"/>
  <c r="AL151" i="11"/>
  <c r="AL156" i="11"/>
  <c r="AJ171" i="11"/>
  <c r="AK167" i="11"/>
  <c r="AK169" i="11" s="1"/>
  <c r="AL154" i="11"/>
  <c r="AL165" i="11" s="1"/>
  <c r="AL183" i="11" s="1"/>
  <c r="AL190" i="11" s="1"/>
  <c r="AL153" i="11"/>
  <c r="AL164" i="11" s="1"/>
  <c r="AL182" i="11" s="1"/>
  <c r="AL189" i="11" s="1"/>
  <c r="AL150" i="11"/>
  <c r="AL162" i="11" s="1"/>
  <c r="AL180" i="11" s="1"/>
  <c r="AL187" i="11" s="1"/>
  <c r="AL152" i="11"/>
  <c r="AL163" i="11" s="1"/>
  <c r="AL181" i="11" s="1"/>
  <c r="AL188" i="11" s="1"/>
  <c r="AL157" i="11"/>
  <c r="AJ173" i="11"/>
  <c r="AI174" i="11"/>
  <c r="AG237" i="11"/>
  <c r="AK192" i="11"/>
  <c r="AK194" i="11" s="1"/>
  <c r="AJ192" i="11"/>
  <c r="AM223" i="11"/>
  <c r="AM220" i="11"/>
  <c r="AM217" i="11"/>
  <c r="AM226" i="11"/>
  <c r="AH218" i="11"/>
  <c r="AH230" i="11" s="1"/>
  <c r="AG228" i="11"/>
  <c r="AG234" i="11" s="1"/>
  <c r="AG241" i="11" s="1"/>
  <c r="AI199" i="11"/>
  <c r="AJ185" i="11"/>
  <c r="AM178" i="11"/>
  <c r="AM179" i="11"/>
  <c r="AM193" i="11" s="1"/>
  <c r="AL184" i="11"/>
  <c r="AL191" i="11" s="1"/>
  <c r="AK185" i="11"/>
  <c r="AM116" i="11"/>
  <c r="AN92" i="11"/>
  <c r="AN177" i="11"/>
  <c r="AN133" i="11"/>
  <c r="AN161" i="11" s="1"/>
  <c r="AN168" i="11" s="1"/>
  <c r="AN114" i="11"/>
  <c r="AN115" i="11"/>
  <c r="AG101" i="11"/>
  <c r="AH94" i="11"/>
  <c r="AH98" i="11"/>
  <c r="AJ95" i="11"/>
  <c r="AH100" i="11"/>
  <c r="AH99" i="11"/>
  <c r="AH97" i="11"/>
  <c r="AK96" i="11"/>
  <c r="AN93" i="11" l="1"/>
  <c r="AN215" i="11"/>
  <c r="AN229" i="11" s="1"/>
  <c r="AN236" i="11" s="1"/>
  <c r="AN202" i="11"/>
  <c r="AN204" i="11" s="1"/>
  <c r="AN186" i="11"/>
  <c r="AN203" i="11"/>
  <c r="AO20" i="18"/>
  <c r="AO24" i="18"/>
  <c r="AO22" i="18"/>
  <c r="AO21" i="18"/>
  <c r="AO23" i="18"/>
  <c r="AO19" i="18"/>
  <c r="AN25" i="18"/>
  <c r="AM157" i="11"/>
  <c r="AP5" i="18"/>
  <c r="AI221" i="11"/>
  <c r="AI231" i="11" s="1"/>
  <c r="AI238" i="11" s="1"/>
  <c r="AG242" i="11"/>
  <c r="AG235" i="11"/>
  <c r="AK171" i="11"/>
  <c r="AI224" i="11"/>
  <c r="AI232" i="11" s="1"/>
  <c r="AI239" i="11" s="1"/>
  <c r="AJ174" i="11"/>
  <c r="AK173" i="11"/>
  <c r="AL167" i="11"/>
  <c r="AL172" i="11" s="1"/>
  <c r="AK172" i="11"/>
  <c r="AK170" i="11"/>
  <c r="AK195" i="11"/>
  <c r="AK219" i="11" s="1"/>
  <c r="AK197" i="11"/>
  <c r="AK225" i="11" s="1"/>
  <c r="AK227" i="11" s="1"/>
  <c r="AK233" i="11" s="1"/>
  <c r="AK240" i="11" s="1"/>
  <c r="AK198" i="11"/>
  <c r="AM152" i="11"/>
  <c r="AM163" i="11" s="1"/>
  <c r="AM181" i="11" s="1"/>
  <c r="AM188" i="11" s="1"/>
  <c r="AM153" i="11"/>
  <c r="AM164" i="11" s="1"/>
  <c r="AM182" i="11" s="1"/>
  <c r="AM189" i="11" s="1"/>
  <c r="AK196" i="11"/>
  <c r="AK222" i="11" s="1"/>
  <c r="AH237" i="11"/>
  <c r="AJ198" i="11"/>
  <c r="AJ194" i="11"/>
  <c r="AJ216" i="11" s="1"/>
  <c r="AJ195" i="11"/>
  <c r="AJ219" i="11" s="1"/>
  <c r="AJ197" i="11"/>
  <c r="AJ225" i="11" s="1"/>
  <c r="AJ227" i="11" s="1"/>
  <c r="AJ233" i="11" s="1"/>
  <c r="AJ240" i="11" s="1"/>
  <c r="AJ196" i="11"/>
  <c r="AJ222" i="11" s="1"/>
  <c r="AL192" i="11"/>
  <c r="AL198" i="11" s="1"/>
  <c r="AI218" i="11"/>
  <c r="AI230" i="11" s="1"/>
  <c r="AH228" i="11"/>
  <c r="AH234" i="11" s="1"/>
  <c r="AH241" i="11" s="1"/>
  <c r="AN220" i="11"/>
  <c r="AN226" i="11"/>
  <c r="AN223" i="11"/>
  <c r="AN217" i="11"/>
  <c r="AK216" i="11"/>
  <c r="AN116" i="11"/>
  <c r="AM150" i="11"/>
  <c r="AM162" i="11" s="1"/>
  <c r="AM180" i="11" s="1"/>
  <c r="AM187" i="11" s="1"/>
  <c r="AM156" i="11"/>
  <c r="AL185" i="11"/>
  <c r="AM155" i="11"/>
  <c r="AM154" i="11"/>
  <c r="AM165" i="11" s="1"/>
  <c r="AM183" i="11" s="1"/>
  <c r="AM190" i="11" s="1"/>
  <c r="AN178" i="11"/>
  <c r="AN179" i="11"/>
  <c r="AN193" i="11" s="1"/>
  <c r="AM151" i="11"/>
  <c r="AM184" i="11"/>
  <c r="AM191" i="11" s="1"/>
  <c r="AH101" i="11"/>
  <c r="AI94" i="11"/>
  <c r="AI97" i="11"/>
  <c r="AL96" i="11"/>
  <c r="AK95" i="11"/>
  <c r="AI98" i="11"/>
  <c r="AI100" i="11"/>
  <c r="AI99" i="11"/>
  <c r="AO25" i="18" l="1"/>
  <c r="AP20" i="18"/>
  <c r="AP24" i="18"/>
  <c r="AP22" i="18"/>
  <c r="AP23" i="18"/>
  <c r="AP21" i="18"/>
  <c r="AP19" i="18"/>
  <c r="AN150" i="11"/>
  <c r="AN162" i="11" s="1"/>
  <c r="AN180" i="11" s="1"/>
  <c r="AN187" i="11" s="1"/>
  <c r="AQ5" i="18"/>
  <c r="AJ221" i="11"/>
  <c r="AK221" i="11" s="1"/>
  <c r="AK231" i="11" s="1"/>
  <c r="AK238" i="11" s="1"/>
  <c r="AL170" i="11"/>
  <c r="AH242" i="11"/>
  <c r="AH235" i="11"/>
  <c r="AJ224" i="11"/>
  <c r="AJ232" i="11" s="1"/>
  <c r="AJ239" i="11" s="1"/>
  <c r="AN154" i="11"/>
  <c r="AN165" i="11" s="1"/>
  <c r="AN183" i="11" s="1"/>
  <c r="AN190" i="11" s="1"/>
  <c r="AL171" i="11"/>
  <c r="AN157" i="11"/>
  <c r="AL173" i="11"/>
  <c r="AK174" i="11"/>
  <c r="AL169" i="11"/>
  <c r="AN156" i="11"/>
  <c r="AN153" i="11"/>
  <c r="AN164" i="11" s="1"/>
  <c r="AN182" i="11" s="1"/>
  <c r="AN189" i="11" s="1"/>
  <c r="AN152" i="11"/>
  <c r="AN163" i="11" s="1"/>
  <c r="AN181" i="11" s="1"/>
  <c r="AN188" i="11" s="1"/>
  <c r="AL196" i="11"/>
  <c r="AL222" i="11" s="1"/>
  <c r="AL194" i="11"/>
  <c r="AL216" i="11" s="1"/>
  <c r="AI237" i="11"/>
  <c r="AL195" i="11"/>
  <c r="AL219" i="11" s="1"/>
  <c r="AM192" i="11"/>
  <c r="AM196" i="11" s="1"/>
  <c r="AL197" i="11"/>
  <c r="AL225" i="11" s="1"/>
  <c r="AL227" i="11" s="1"/>
  <c r="AL233" i="11" s="1"/>
  <c r="AL240" i="11" s="1"/>
  <c r="AM167" i="11"/>
  <c r="AM172" i="11" s="1"/>
  <c r="AJ218" i="11"/>
  <c r="AJ230" i="11" s="1"/>
  <c r="AI228" i="11"/>
  <c r="AI234" i="11" s="1"/>
  <c r="AI241" i="11" s="1"/>
  <c r="AJ199" i="11"/>
  <c r="AK199" i="11"/>
  <c r="AN151" i="11"/>
  <c r="AN155" i="11"/>
  <c r="AN184" i="11"/>
  <c r="AN191" i="11" s="1"/>
  <c r="AM185" i="11"/>
  <c r="AI101" i="11"/>
  <c r="AL95" i="11"/>
  <c r="AJ100" i="11"/>
  <c r="AJ97" i="11"/>
  <c r="AJ99" i="11"/>
  <c r="AJ98" i="11"/>
  <c r="AM96" i="11"/>
  <c r="AJ94" i="11"/>
  <c r="AP25" i="18" l="1"/>
  <c r="AQ20" i="18"/>
  <c r="AQ24" i="18"/>
  <c r="AQ22" i="18"/>
  <c r="AQ21" i="18"/>
  <c r="AQ19" i="18"/>
  <c r="AQ23" i="18"/>
  <c r="AJ231" i="11"/>
  <c r="AJ238" i="11" s="1"/>
  <c r="AI235" i="11"/>
  <c r="AI242" i="11"/>
  <c r="AM173" i="11"/>
  <c r="AK224" i="11"/>
  <c r="AK232" i="11" s="1"/>
  <c r="AK239" i="11" s="1"/>
  <c r="AL174" i="11"/>
  <c r="AM169" i="11"/>
  <c r="AL221" i="11"/>
  <c r="AL231" i="11" s="1"/>
  <c r="AL238" i="11" s="1"/>
  <c r="AN167" i="11"/>
  <c r="AN169" i="11" s="1"/>
  <c r="AM171" i="11"/>
  <c r="AM170" i="11"/>
  <c r="AM195" i="11"/>
  <c r="AM219" i="11" s="1"/>
  <c r="AJ237" i="11"/>
  <c r="AM197" i="11"/>
  <c r="AM225" i="11" s="1"/>
  <c r="AM227" i="11" s="1"/>
  <c r="AM233" i="11" s="1"/>
  <c r="AM240" i="11" s="1"/>
  <c r="AM198" i="11"/>
  <c r="AM194" i="11"/>
  <c r="AM216" i="11" s="1"/>
  <c r="AN192" i="11"/>
  <c r="AN195" i="11" s="1"/>
  <c r="AK218" i="11"/>
  <c r="AK230" i="11" s="1"/>
  <c r="AJ228" i="11"/>
  <c r="AJ234" i="11" s="1"/>
  <c r="AJ241" i="11" s="1"/>
  <c r="AL199" i="11"/>
  <c r="AN185" i="11"/>
  <c r="AJ101" i="11"/>
  <c r="AK97" i="11"/>
  <c r="AK94" i="11"/>
  <c r="AK98" i="11"/>
  <c r="AM95" i="11"/>
  <c r="AK99" i="11"/>
  <c r="AN96" i="11"/>
  <c r="AK100" i="11"/>
  <c r="AQ25" i="18" l="1"/>
  <c r="AN171" i="11"/>
  <c r="AJ242" i="11"/>
  <c r="AJ235" i="11"/>
  <c r="AL224" i="11"/>
  <c r="AL232" i="11" s="1"/>
  <c r="AL239" i="11" s="1"/>
  <c r="AN173" i="11"/>
  <c r="AM221" i="11"/>
  <c r="AM231" i="11" s="1"/>
  <c r="AM238" i="11" s="1"/>
  <c r="AN172" i="11"/>
  <c r="AN170" i="11"/>
  <c r="AM174" i="11"/>
  <c r="AN194" i="11"/>
  <c r="AN216" i="11" s="1"/>
  <c r="AK237" i="11"/>
  <c r="AN196" i="11"/>
  <c r="AN222" i="11" s="1"/>
  <c r="AN198" i="11"/>
  <c r="AN197" i="11"/>
  <c r="AN225" i="11" s="1"/>
  <c r="AN227" i="11" s="1"/>
  <c r="AN233" i="11" s="1"/>
  <c r="AN240" i="11" s="1"/>
  <c r="AL218" i="11"/>
  <c r="AL230" i="11" s="1"/>
  <c r="AK228" i="11"/>
  <c r="AK234" i="11" s="1"/>
  <c r="AK241" i="11" s="1"/>
  <c r="AM199" i="11"/>
  <c r="AM222" i="11"/>
  <c r="AN219" i="11"/>
  <c r="AK101" i="11"/>
  <c r="AN95" i="11"/>
  <c r="AL99" i="11"/>
  <c r="AL94" i="11"/>
  <c r="AL100" i="11"/>
  <c r="AL98" i="11"/>
  <c r="AL97" i="11"/>
  <c r="AK235" i="11" l="1"/>
  <c r="AK242" i="11"/>
  <c r="AM224" i="11"/>
  <c r="AM232" i="11" s="1"/>
  <c r="AM239" i="11" s="1"/>
  <c r="AN174" i="11"/>
  <c r="AN221" i="11"/>
  <c r="AN231" i="11" s="1"/>
  <c r="AN238" i="11" s="1"/>
  <c r="AL237" i="11"/>
  <c r="AM218" i="11"/>
  <c r="AM230" i="11" s="1"/>
  <c r="AL228" i="11"/>
  <c r="AL234" i="11" s="1"/>
  <c r="AL241" i="11" s="1"/>
  <c r="AN199" i="11"/>
  <c r="AL101" i="11"/>
  <c r="AM94" i="11"/>
  <c r="AM97" i="11"/>
  <c r="AM99" i="11"/>
  <c r="AM100" i="11"/>
  <c r="AM98" i="11"/>
  <c r="AL242" i="11" l="1"/>
  <c r="AL235" i="11"/>
  <c r="AN224" i="11"/>
  <c r="AN232" i="11" s="1"/>
  <c r="AN239" i="11" s="1"/>
  <c r="AM237" i="11"/>
  <c r="AN218" i="11"/>
  <c r="AM228" i="11"/>
  <c r="AM234" i="11" s="1"/>
  <c r="AM241" i="11" s="1"/>
  <c r="AM101" i="11"/>
  <c r="AN97" i="11"/>
  <c r="AN100" i="11"/>
  <c r="AN99" i="11"/>
  <c r="AN98" i="11"/>
  <c r="AN94" i="11"/>
  <c r="AM242" i="11" l="1"/>
  <c r="AM235" i="11"/>
  <c r="AN228" i="11"/>
  <c r="AN234" i="11" s="1"/>
  <c r="AN241" i="11" s="1"/>
  <c r="AN230" i="11"/>
  <c r="AN101" i="11"/>
  <c r="AN237" i="11" l="1"/>
  <c r="AN242" i="11" s="1"/>
  <c r="AN235" i="11"/>
</calcChain>
</file>

<file path=xl/comments1.xml><?xml version="1.0" encoding="utf-8"?>
<comments xmlns="http://schemas.openxmlformats.org/spreadsheetml/2006/main">
  <authors>
    <author>Omistaja</author>
  </authors>
  <commentList>
    <comment ref="A3" authorId="0" shapeId="0">
      <text>
        <r>
          <rPr>
            <b/>
            <sz val="9"/>
            <color indexed="81"/>
            <rFont val="Tahoma"/>
            <family val="2"/>
          </rPr>
          <t>Omistaja:</t>
        </r>
        <r>
          <rPr>
            <sz val="9"/>
            <color indexed="81"/>
            <rFont val="Tahoma"/>
            <family val="2"/>
          </rPr>
          <t xml:space="preserve">
three first inputs are common to all modules</t>
        </r>
      </text>
    </comment>
  </commentList>
</comments>
</file>

<file path=xl/comments2.xml><?xml version="1.0" encoding="utf-8"?>
<comments xmlns="http://schemas.openxmlformats.org/spreadsheetml/2006/main">
  <authors>
    <author>Kimmo Sakari Lylykangas</author>
  </authors>
  <commentList>
    <comment ref="B104" authorId="0" shapeId="0">
      <text>
        <r>
          <rPr>
            <b/>
            <sz val="9"/>
            <color indexed="81"/>
            <rFont val="Tahoma"/>
            <family val="2"/>
            <charset val="186"/>
          </rPr>
          <t>TIMELINESS: GREEN LIGHT = DATA (DEFAULT DATA IN ROW 4) IS LESS THAN 5 YEARS OLD); YELLOW LIGHT = DATA LESS THAN 10 YEARS OLD; RED LIGHT = DATA &gt; 10 YEARS OLD</t>
        </r>
      </text>
    </comment>
    <comment ref="A112" authorId="0" shapeId="0">
      <text>
        <r>
          <rPr>
            <sz val="9"/>
            <color indexed="81"/>
            <rFont val="Tahoma"/>
            <family val="2"/>
            <charset val="186"/>
          </rPr>
          <t xml:space="preserve">= NEW SETTLEMENT i.e. New residents moving in
</t>
        </r>
      </text>
    </comment>
    <comment ref="A118" authorId="0" shapeId="0">
      <text>
        <r>
          <rPr>
            <b/>
            <sz val="9"/>
            <color indexed="81"/>
            <rFont val="Tahoma"/>
            <family val="2"/>
            <charset val="186"/>
          </rPr>
          <t xml:space="preserve">plese note that these cells include texts that become visible if inputs are controversial
</t>
        </r>
        <r>
          <rPr>
            <sz val="9"/>
            <color indexed="81"/>
            <rFont val="Tahoma"/>
            <family val="2"/>
            <charset val="186"/>
          </rPr>
          <t xml:space="preserve">
</t>
        </r>
      </text>
    </comment>
    <comment ref="A181" authorId="0" shapeId="0">
      <text>
        <r>
          <rPr>
            <b/>
            <sz val="9"/>
            <color indexed="81"/>
            <rFont val="Tahoma"/>
            <family val="2"/>
            <charset val="186"/>
          </rPr>
          <t xml:space="preserve">Mobility refers to the volume of passenger transport within the area by residents and non-residents
</t>
        </r>
      </text>
    </comment>
    <comment ref="B182" authorId="0" shapeId="0">
      <text>
        <r>
          <rPr>
            <b/>
            <sz val="9"/>
            <color indexed="81"/>
            <rFont val="Tahoma"/>
            <family val="2"/>
            <charset val="186"/>
          </rPr>
          <t xml:space="preserve">If inserted value is a positive number, mobility (vehicle kilometers for all modes of passenger transport) is decreasing
</t>
        </r>
      </text>
    </comment>
    <comment ref="C182" authorId="0" shapeId="0">
      <text>
        <r>
          <rPr>
            <b/>
            <sz val="9"/>
            <color indexed="81"/>
            <rFont val="Tahoma"/>
            <family val="2"/>
            <charset val="186"/>
          </rPr>
          <t xml:space="preserve">If population affected is 100%, then the expected change applies to the whole area in concern
</t>
        </r>
      </text>
    </comment>
    <comment ref="A183" authorId="0" shapeId="0">
      <text>
        <r>
          <rPr>
            <b/>
            <sz val="9"/>
            <color indexed="81"/>
            <rFont val="Tahoma"/>
            <family val="2"/>
            <charset val="186"/>
          </rPr>
          <t>It is assumed that the impact achieved by policy is permanent.</t>
        </r>
      </text>
    </comment>
    <comment ref="A185" authorId="0" shapeId="0">
      <text>
        <r>
          <rPr>
            <b/>
            <sz val="9"/>
            <color indexed="81"/>
            <rFont val="Tahoma"/>
            <family val="2"/>
            <charset val="186"/>
          </rPr>
          <t xml:space="preserve">plese note that these cells include texts that become visible if inputs are controversial
</t>
        </r>
        <r>
          <rPr>
            <sz val="9"/>
            <color indexed="81"/>
            <rFont val="Tahoma"/>
            <family val="2"/>
            <charset val="186"/>
          </rPr>
          <t xml:space="preserve">
</t>
        </r>
      </text>
    </comment>
    <comment ref="A192" authorId="0" shapeId="0">
      <text>
        <r>
          <rPr>
            <b/>
            <sz val="9"/>
            <color indexed="81"/>
            <rFont val="Tahoma"/>
            <family val="2"/>
            <charset val="186"/>
          </rPr>
          <t>It is assumed that the impact achieved by policy is permanent.</t>
        </r>
      </text>
    </comment>
    <comment ref="A194" authorId="0" shapeId="0">
      <text>
        <r>
          <rPr>
            <b/>
            <sz val="9"/>
            <color indexed="81"/>
            <rFont val="Tahoma"/>
            <family val="2"/>
            <charset val="186"/>
          </rPr>
          <t xml:space="preserve">plese note that these cells include texts that become visible if inputs are controversial
</t>
        </r>
        <r>
          <rPr>
            <sz val="9"/>
            <color indexed="81"/>
            <rFont val="Tahoma"/>
            <family val="2"/>
            <charset val="186"/>
          </rPr>
          <t xml:space="preserve">
</t>
        </r>
      </text>
    </comment>
    <comment ref="A221" authorId="0" shapeId="0">
      <text>
        <r>
          <rPr>
            <b/>
            <sz val="9"/>
            <color indexed="81"/>
            <rFont val="Tahoma"/>
            <family val="2"/>
            <charset val="186"/>
          </rPr>
          <t>It is assumed that the impact achieved by policy is permanent.</t>
        </r>
      </text>
    </comment>
    <comment ref="A223" authorId="0" shapeId="0">
      <text>
        <r>
          <rPr>
            <b/>
            <sz val="9"/>
            <color indexed="81"/>
            <rFont val="Tahoma"/>
            <family val="2"/>
            <charset val="186"/>
          </rPr>
          <t xml:space="preserve">plese note that these cells include texts that become visible if inputs are controversial
</t>
        </r>
        <r>
          <rPr>
            <sz val="9"/>
            <color indexed="81"/>
            <rFont val="Tahoma"/>
            <family val="2"/>
            <charset val="186"/>
          </rPr>
          <t xml:space="preserve">
</t>
        </r>
      </text>
    </comment>
    <comment ref="A231" authorId="0" shapeId="0">
      <text>
        <r>
          <rPr>
            <b/>
            <sz val="9"/>
            <color indexed="81"/>
            <rFont val="Tahoma"/>
            <family val="2"/>
            <charset val="186"/>
          </rPr>
          <t>It is assumed that the impact achieved by policy is permanent.</t>
        </r>
      </text>
    </comment>
    <comment ref="A233" authorId="0" shapeId="0">
      <text>
        <r>
          <rPr>
            <b/>
            <sz val="9"/>
            <color indexed="81"/>
            <rFont val="Tahoma"/>
            <family val="2"/>
            <charset val="186"/>
          </rPr>
          <t xml:space="preserve">plese note that these cells include texts that become visible if inputs are controversial
</t>
        </r>
        <r>
          <rPr>
            <sz val="9"/>
            <color indexed="81"/>
            <rFont val="Tahoma"/>
            <family val="2"/>
            <charset val="186"/>
          </rPr>
          <t xml:space="preserve">
</t>
        </r>
      </text>
    </comment>
    <comment ref="A242" authorId="0" shapeId="0">
      <text>
        <r>
          <rPr>
            <b/>
            <sz val="9"/>
            <color indexed="81"/>
            <rFont val="Tahoma"/>
            <family val="2"/>
            <charset val="186"/>
          </rPr>
          <t>It is assumed that the impact achieved by policy is permanent.</t>
        </r>
      </text>
    </comment>
    <comment ref="A244" authorId="0" shapeId="0">
      <text>
        <r>
          <rPr>
            <b/>
            <sz val="9"/>
            <color indexed="81"/>
            <rFont val="Tahoma"/>
            <family val="2"/>
            <charset val="186"/>
          </rPr>
          <t xml:space="preserve">plese note that these cells include texts that become visible if inputs are controversial
</t>
        </r>
        <r>
          <rPr>
            <sz val="9"/>
            <color indexed="81"/>
            <rFont val="Tahoma"/>
            <family val="2"/>
            <charset val="186"/>
          </rPr>
          <t xml:space="preserve">
</t>
        </r>
      </text>
    </comment>
    <comment ref="A264" authorId="0" shapeId="0">
      <text>
        <r>
          <rPr>
            <b/>
            <sz val="9"/>
            <color indexed="81"/>
            <rFont val="Tahoma"/>
            <family val="2"/>
            <charset val="186"/>
          </rPr>
          <t>It is assumed that the impact achieved by policy is permanent.</t>
        </r>
      </text>
    </comment>
    <comment ref="A266" authorId="0" shapeId="0">
      <text>
        <r>
          <rPr>
            <b/>
            <sz val="9"/>
            <color indexed="81"/>
            <rFont val="Tahoma"/>
            <family val="2"/>
            <charset val="186"/>
          </rPr>
          <t xml:space="preserve">plese note that these cells include texts that become visible if inputs are controversial
</t>
        </r>
        <r>
          <rPr>
            <sz val="9"/>
            <color indexed="81"/>
            <rFont val="Tahoma"/>
            <family val="2"/>
            <charset val="186"/>
          </rPr>
          <t xml:space="preserve">
</t>
        </r>
      </text>
    </comment>
    <comment ref="A272" authorId="0" shapeId="0">
      <text>
        <r>
          <rPr>
            <b/>
            <sz val="9"/>
            <color indexed="81"/>
            <rFont val="Tahoma"/>
            <family val="2"/>
            <charset val="186"/>
          </rPr>
          <t>It is assumed that the impact achieved by policy is permanent.</t>
        </r>
      </text>
    </comment>
    <comment ref="A274" authorId="0" shapeId="0">
      <text>
        <r>
          <rPr>
            <b/>
            <sz val="9"/>
            <color indexed="81"/>
            <rFont val="Tahoma"/>
            <family val="2"/>
            <charset val="186"/>
          </rPr>
          <t xml:space="preserve">plese note that these cells include texts that become visible if inputs are controversial
</t>
        </r>
        <r>
          <rPr>
            <sz val="9"/>
            <color indexed="81"/>
            <rFont val="Tahoma"/>
            <family val="2"/>
            <charset val="186"/>
          </rPr>
          <t xml:space="preserve">
</t>
        </r>
      </text>
    </comment>
    <comment ref="B320" authorId="0" shapeId="0">
      <text>
        <r>
          <rPr>
            <b/>
            <sz val="9"/>
            <color indexed="81"/>
            <rFont val="Tahoma"/>
            <family val="2"/>
            <charset val="186"/>
          </rPr>
          <t>TIMELINESS: GREEN LIGHT = DATA (DEFAULT DATA IN ROW 4) IS LESS THAN 5 YEARS OLD); YELLOW LIGHT = DATA LESS THAN 10 YEARS OLD; RED LIGHT = DATA &gt; 10 YEARS OLD</t>
        </r>
      </text>
    </comment>
  </commentList>
</comments>
</file>

<file path=xl/sharedStrings.xml><?xml version="1.0" encoding="utf-8"?>
<sst xmlns="http://schemas.openxmlformats.org/spreadsheetml/2006/main" count="3030" uniqueCount="1114">
  <si>
    <t>Finland</t>
  </si>
  <si>
    <t>Austria</t>
  </si>
  <si>
    <t>Belgium</t>
  </si>
  <si>
    <t>Bulgaria</t>
  </si>
  <si>
    <t>Cyprus</t>
  </si>
  <si>
    <t>Czechia</t>
  </si>
  <si>
    <t>Denmark</t>
  </si>
  <si>
    <t>Estonia</t>
  </si>
  <si>
    <t>Spain</t>
  </si>
  <si>
    <t>France</t>
  </si>
  <si>
    <t>Greece</t>
  </si>
  <si>
    <t>Hungary</t>
  </si>
  <si>
    <t>Croatia</t>
  </si>
  <si>
    <t>Ireland</t>
  </si>
  <si>
    <t>Italy</t>
  </si>
  <si>
    <t>Lithuania</t>
  </si>
  <si>
    <t>Luxembourg</t>
  </si>
  <si>
    <t>Latvia</t>
  </si>
  <si>
    <t>Malta</t>
  </si>
  <si>
    <t>Netherlands</t>
  </si>
  <si>
    <t>Poland</t>
  </si>
  <si>
    <t>Portugal</t>
  </si>
  <si>
    <t>Romania</t>
  </si>
  <si>
    <t>Sweden</t>
  </si>
  <si>
    <t>Slovenia</t>
  </si>
  <si>
    <t>Slovakia</t>
  </si>
  <si>
    <t>Norway</t>
  </si>
  <si>
    <t>Germany</t>
  </si>
  <si>
    <t>UK</t>
  </si>
  <si>
    <t>Iceland</t>
  </si>
  <si>
    <t>Switzerland</t>
  </si>
  <si>
    <t>Population of the assessment area</t>
  </si>
  <si>
    <t>Liechtenstein</t>
  </si>
  <si>
    <t>Country</t>
  </si>
  <si>
    <t>U1 PLANNER USER INPUT 1: BASELINE</t>
  </si>
  <si>
    <t>BASELINE</t>
  </si>
  <si>
    <t>BUS</t>
  </si>
  <si>
    <t>PASSENGER CAR</t>
  </si>
  <si>
    <t>METRO</t>
  </si>
  <si>
    <t>TRAM</t>
  </si>
  <si>
    <t>BUS PASSENGER-KM PER CAPITA</t>
  </si>
  <si>
    <t>BUS OCCUPANCY</t>
  </si>
  <si>
    <t>PASSENGER CAR AVERAGE CAR OCCUPANCY</t>
  </si>
  <si>
    <t>PASSENGER CAR PASSENGER-KM PER CAPITA</t>
  </si>
  <si>
    <t>METRO AVERAGE OCCUPANCY</t>
  </si>
  <si>
    <t>METRO VEHICLE-KM/CAPITA</t>
  </si>
  <si>
    <t>METRO EMISSION FACTOR</t>
  </si>
  <si>
    <t>TRAM VEHICLE-KM/CAPITA</t>
  </si>
  <si>
    <t>TRAM AVERAGE OCCUPANCY</t>
  </si>
  <si>
    <t>TRAM EMISSION FACTOR</t>
  </si>
  <si>
    <t>TRAIN PASSENGER-KM/A</t>
  </si>
  <si>
    <t>TRAIN AVERAGE OCCUPANCY</t>
  </si>
  <si>
    <t>TRAIN EMISSION FACTOR</t>
  </si>
  <si>
    <t>ROAD TRANSPORT VEHICLE-KM/CAPITA</t>
  </si>
  <si>
    <t>INLAND WATERWAYS TRANSPORT VEHICLE-KM/CAPITA</t>
  </si>
  <si>
    <t>INLAND WATERWAYS TRANSPORT EMISSION FACTOR</t>
  </si>
  <si>
    <t>ROAD TRANSPORT EMISSION FACTOR</t>
  </si>
  <si>
    <r>
      <t>BUS EMISSION FACTOR (gCO</t>
    </r>
    <r>
      <rPr>
        <vertAlign val="subscript"/>
        <sz val="10"/>
        <rFont val="Calibri"/>
        <family val="2"/>
        <scheme val="minor"/>
      </rPr>
      <t>2</t>
    </r>
    <r>
      <rPr>
        <sz val="10"/>
        <rFont val="Calibri"/>
        <family val="2"/>
        <scheme val="minor"/>
      </rPr>
      <t>/km)</t>
    </r>
  </si>
  <si>
    <r>
      <t>PASSENGER CAR AVERAGE EMISSION FACTOR (gCO</t>
    </r>
    <r>
      <rPr>
        <vertAlign val="subscript"/>
        <sz val="10"/>
        <rFont val="Calibri"/>
        <family val="2"/>
        <scheme val="minor"/>
      </rPr>
      <t>2</t>
    </r>
    <r>
      <rPr>
        <sz val="10"/>
        <rFont val="Calibri"/>
        <family val="2"/>
        <scheme val="minor"/>
      </rPr>
      <t>/km)</t>
    </r>
  </si>
  <si>
    <t>BUS_COL1</t>
  </si>
  <si>
    <t>BUS_COL2</t>
  </si>
  <si>
    <t>BUS_COL3</t>
  </si>
  <si>
    <t>CAR_COL1</t>
  </si>
  <si>
    <t>CAR_COL2</t>
  </si>
  <si>
    <t>CAR_COL3</t>
  </si>
  <si>
    <t>METRO_COL1</t>
  </si>
  <si>
    <t>METRO_COL2</t>
  </si>
  <si>
    <t>METRO_COL3</t>
  </si>
  <si>
    <t>TRAM_COL1</t>
  </si>
  <si>
    <t>TRAM_COL2</t>
  </si>
  <si>
    <t>TRAM_COL3</t>
  </si>
  <si>
    <t>TRAIN_COL1</t>
  </si>
  <si>
    <t>TRAIN_COL2</t>
  </si>
  <si>
    <t>TRAIN_COL3</t>
  </si>
  <si>
    <t>RAIL TRN_COL1</t>
  </si>
  <si>
    <t>RAIL TRN_COL2</t>
  </si>
  <si>
    <t>ROAD TRN_COL1</t>
  </si>
  <si>
    <t>PASSENGER TRAIN</t>
  </si>
  <si>
    <t>RAIL TRANSPORT</t>
  </si>
  <si>
    <t>ROAD TRANSPORT</t>
  </si>
  <si>
    <t>TRANSPORT ON INLAND WATERWAYS</t>
  </si>
  <si>
    <t>WATER TRN_COL3</t>
  </si>
  <si>
    <t>WATER TRN_COL4</t>
  </si>
  <si>
    <t>Total Transport emissions per capita</t>
  </si>
  <si>
    <t>METROPOLITAN CENTER</t>
  </si>
  <si>
    <t>URBAN</t>
  </si>
  <si>
    <t>SUBURBAN</t>
  </si>
  <si>
    <t>TOWN</t>
  </si>
  <si>
    <t>RURAL</t>
  </si>
  <si>
    <t>%</t>
  </si>
  <si>
    <t>explanatory note</t>
  </si>
  <si>
    <t>bus</t>
  </si>
  <si>
    <t>car</t>
  </si>
  <si>
    <t>tram</t>
  </si>
  <si>
    <t>train</t>
  </si>
  <si>
    <t>rail freight</t>
  </si>
  <si>
    <t>road freight</t>
  </si>
  <si>
    <t>inland waterways freight</t>
  </si>
  <si>
    <t>metro</t>
  </si>
  <si>
    <t>POP_COL1</t>
  </si>
  <si>
    <t>ROAD TRN_COL2</t>
  </si>
  <si>
    <t>WATER TRN_COL1</t>
  </si>
  <si>
    <t>WATER TRN_COL2</t>
  </si>
  <si>
    <t>ROAD TRN_COL3</t>
  </si>
  <si>
    <t>RAIL TRN_COL3</t>
  </si>
  <si>
    <t>TRAIN_COL4</t>
  </si>
  <si>
    <t>TRAM_COL4</t>
  </si>
  <si>
    <t>METRO_COL4</t>
  </si>
  <si>
    <t>CAR_COL4</t>
  </si>
  <si>
    <t>BUS_COL4</t>
  </si>
  <si>
    <t>POP_COL2</t>
  </si>
  <si>
    <t>POP_COL3</t>
  </si>
  <si>
    <t>BUS_COL5</t>
  </si>
  <si>
    <t>BUS_COL6</t>
  </si>
  <si>
    <t>ANNUAL POPULATION CHANGE 2020-30</t>
  </si>
  <si>
    <t>ANNUAL POPULATION CHANGE 2030-40</t>
  </si>
  <si>
    <t>ANNUAL POPULATION CHANGE 2040-50</t>
  </si>
  <si>
    <t>ANNUAL CHANGE IN PASSENGER-KM 2020-30</t>
  </si>
  <si>
    <t>ANNUAL CHANGE IN PASSENGER-KM 2030- 40</t>
  </si>
  <si>
    <t>ANNUAL CHANGE IN PASSENGER-KM 2040-2050</t>
  </si>
  <si>
    <t>CAR_COL5</t>
  </si>
  <si>
    <t>CAR_COL6</t>
  </si>
  <si>
    <t>METRO_COL5</t>
  </si>
  <si>
    <t>METRO_COL6</t>
  </si>
  <si>
    <t>ANNUAL CHANGE IN VEHICLE-KM 2020-30</t>
  </si>
  <si>
    <t>ANNUAL CHANGE IN VEHICLE-KM 2030-40</t>
  </si>
  <si>
    <t>ANNUAL CHANGE IN VEHICLE-KM 2040-50</t>
  </si>
  <si>
    <t>TRAM_COL5</t>
  </si>
  <si>
    <t>TRAM_COL6</t>
  </si>
  <si>
    <t>TRAIN_COL5</t>
  </si>
  <si>
    <t>TRAIN_COL6</t>
  </si>
  <si>
    <t>RAIL TRN_COL4</t>
  </si>
  <si>
    <t>RAIL TRN_COL5</t>
  </si>
  <si>
    <t>ROAD TRN_COL4</t>
  </si>
  <si>
    <t>ROAD TRN_COL5</t>
  </si>
  <si>
    <t>WATER TRN_COL5</t>
  </si>
  <si>
    <t>0.3</t>
  </si>
  <si>
    <t>POP_COL1,2,3 = annual change (years 2020-30, 2030-40, 2040-50)</t>
  </si>
  <si>
    <t>Year</t>
  </si>
  <si>
    <t>START PAGE INPUTS</t>
  </si>
  <si>
    <t>km</t>
  </si>
  <si>
    <t>N-S measurement (km)</t>
  </si>
  <si>
    <t>E-W measurement (km)</t>
  </si>
  <si>
    <t>Non-residential road transport</t>
  </si>
  <si>
    <t>Freight transport by road</t>
  </si>
  <si>
    <t>Freight transport by rail</t>
  </si>
  <si>
    <t>Freight transport by inland waterways</t>
  </si>
  <si>
    <t>year of data origin</t>
  </si>
  <si>
    <t>source</t>
  </si>
  <si>
    <t>EU refernce scenario 2015</t>
  </si>
  <si>
    <t>Settlement type</t>
  </si>
  <si>
    <t>Area</t>
  </si>
  <si>
    <t>Non-residential and freight</t>
  </si>
  <si>
    <t>ACCURACY</t>
  </si>
  <si>
    <t>DATA VALIDATION</t>
  </si>
  <si>
    <t>TIMELINESS</t>
  </si>
  <si>
    <t>COMPARABILITY</t>
  </si>
  <si>
    <t>BASELINE SCENARIO</t>
  </si>
  <si>
    <t>U2 NEW DEVELOPMENT</t>
  </si>
  <si>
    <t>residents moving in</t>
  </si>
  <si>
    <t>start</t>
  </si>
  <si>
    <t>end</t>
  </si>
  <si>
    <t>TRANSPORT CO2e EMISSIONS</t>
  </si>
  <si>
    <t>New residents</t>
  </si>
  <si>
    <t>Number of new residents</t>
  </si>
  <si>
    <t>baseline population based on year selection and annual change</t>
  </si>
  <si>
    <t>baseline</t>
  </si>
  <si>
    <t>with policies (U2)</t>
  </si>
  <si>
    <t>U2 new development and annual change</t>
  </si>
  <si>
    <t>population scenario (baseline + U2 with annual change)</t>
  </si>
  <si>
    <t>U2</t>
  </si>
  <si>
    <t/>
  </si>
  <si>
    <t>0 = no new developments to be quantified</t>
  </si>
  <si>
    <t>U3 POLICY QUANTIFICATION</t>
  </si>
  <si>
    <t>weighted average</t>
  </si>
  <si>
    <t>policy period</t>
  </si>
  <si>
    <t>expected change (%)</t>
  </si>
  <si>
    <t>population affected (%)</t>
  </si>
  <si>
    <t>Decrease in mobility</t>
  </si>
  <si>
    <t>U3.1 Passenger mobility</t>
  </si>
  <si>
    <t>share for bus</t>
  </si>
  <si>
    <t>share for train</t>
  </si>
  <si>
    <t>car passenger</t>
  </si>
  <si>
    <t>total</t>
  </si>
  <si>
    <t>U3.3 Modal split, passenger transport</t>
  </si>
  <si>
    <t>share for metro</t>
  </si>
  <si>
    <t>share for tram</t>
  </si>
  <si>
    <t>try inserting value "2000" in a cell on  'default data' row 4</t>
  </si>
  <si>
    <t>accuracy and comparability not functional yet</t>
  </si>
  <si>
    <t>Weighted average of old (baseline) and new settlement (U2)</t>
  </si>
  <si>
    <t>share in the end of policy period</t>
  </si>
  <si>
    <t>without policy (%)</t>
  </si>
  <si>
    <t>policy target (%)</t>
  </si>
  <si>
    <t>annual change in the modal share during the policy period</t>
  </si>
  <si>
    <t>Modal split in passenger-km</t>
  </si>
  <si>
    <t>TOTAL</t>
  </si>
  <si>
    <t>conversion to percentages</t>
  </si>
  <si>
    <t>country default x  weighting factor x annual change</t>
  </si>
  <si>
    <t>U3.1 impact</t>
  </si>
  <si>
    <t>U3.1 reduction percentage</t>
  </si>
  <si>
    <t>sum of previous rows</t>
  </si>
  <si>
    <t>U3.3 impact</t>
  </si>
  <si>
    <t>modal share without the policy U3.3 impact (%)</t>
  </si>
  <si>
    <t>modal share with the policy U3.3 impact (%)</t>
  </si>
  <si>
    <t>U3.1 weighted average with the U3.1 impact</t>
  </si>
  <si>
    <t>Baseline: Passenger-kilometers per capita for each mode of passenger transport</t>
  </si>
  <si>
    <t>Baseline: Modal split, passenger transport (%)</t>
  </si>
  <si>
    <t>U3.1 impact per mode of passenger transport</t>
  </si>
  <si>
    <t>U3.3 impact as passenger-km</t>
  </si>
  <si>
    <t xml:space="preserve">revised percentage x total passenger-km </t>
  </si>
  <si>
    <t>weighted average with U3.3 impact</t>
  </si>
  <si>
    <t>rest of it</t>
  </si>
  <si>
    <t>U3.1</t>
  </si>
  <si>
    <t>U3.3</t>
  </si>
  <si>
    <t>expected change %</t>
  </si>
  <si>
    <t>change in freight transport (%)</t>
  </si>
  <si>
    <t>U3.2 Freight transport</t>
  </si>
  <si>
    <t>CO2e emissions per capita (tCO2e/capita, a)</t>
  </si>
  <si>
    <t>U3.2</t>
  </si>
  <si>
    <t>U3.2 impact</t>
  </si>
  <si>
    <t>U3.2 reduction percentage</t>
  </si>
  <si>
    <t>U3.2 impact per mode of freight transport</t>
  </si>
  <si>
    <t>ANNUAL CHANGE IN VEHICLE-KM 2030- 40</t>
  </si>
  <si>
    <t>ANNUAL CHANGE IN VEHICLE-KM 2040-2050</t>
  </si>
  <si>
    <t>GRID ELECTRICITY EMISSION FACTOR</t>
  </si>
  <si>
    <t>ENE_COL1</t>
  </si>
  <si>
    <t>ENE_COL2</t>
  </si>
  <si>
    <t>ENE_COL3</t>
  </si>
  <si>
    <t>ENE_COL4</t>
  </si>
  <si>
    <t>PETROL ENGINES IN BUSES (%)</t>
  </si>
  <si>
    <t>LPG ENGINES IN BUSES (%)</t>
  </si>
  <si>
    <t>DIESEL ENGINES IN BUSES (%)</t>
  </si>
  <si>
    <t>CNG ENGINES IN BUSES (%)</t>
  </si>
  <si>
    <t>ELECTRIC ENGINES IN BUSES (%)</t>
  </si>
  <si>
    <t>BUS_COL7</t>
  </si>
  <si>
    <t>BUS_COL8</t>
  </si>
  <si>
    <t>BUS_COL9</t>
  </si>
  <si>
    <t>BUS_COL10</t>
  </si>
  <si>
    <t>BUS_COL11</t>
  </si>
  <si>
    <t>ANNUAL CHANGE IN EMISSION F 2020-30</t>
  </si>
  <si>
    <t>ANNUAL CHANGE IN EMISSION F 2030-40</t>
  </si>
  <si>
    <t>ANNUAL CHANGE IN EMISSION  F 2040-50</t>
  </si>
  <si>
    <t>PETROL CAR EMISSION FACTOR</t>
  </si>
  <si>
    <t>DIESEL CAR EMISSION FACTOR</t>
  </si>
  <si>
    <t>LPG engines in cars (%)</t>
  </si>
  <si>
    <t>CNG engines in cars (%)</t>
  </si>
  <si>
    <t>NGV engines in cars (%)</t>
  </si>
  <si>
    <t>hybrid electric-petrol engines in cars (%)</t>
  </si>
  <si>
    <t>diesel engines in cars (%)</t>
  </si>
  <si>
    <t>petrol engines in cars (%)</t>
  </si>
  <si>
    <t>hybrid electric-diesel engines in cars (%)</t>
  </si>
  <si>
    <t>hydrogen+fuel cell engines in cars (%)</t>
  </si>
  <si>
    <t>bioethanol engines in cars (%)</t>
  </si>
  <si>
    <t>biodiesel engines in cars (%)</t>
  </si>
  <si>
    <t>bi-fuel engines in cars (%)</t>
  </si>
  <si>
    <t>BEV (%)</t>
  </si>
  <si>
    <t>petrol PHEV cars (%)</t>
  </si>
  <si>
    <t>diesel PHEV cars (%)</t>
  </si>
  <si>
    <t>Local dataset</t>
  </si>
  <si>
    <t>rail transport</t>
  </si>
  <si>
    <t>road transport</t>
  </si>
  <si>
    <t>water transport</t>
  </si>
  <si>
    <t>TRANSPORT ON WATERWAYS</t>
  </si>
  <si>
    <t>correction factor</t>
  </si>
  <si>
    <t>CF baseline</t>
  </si>
  <si>
    <t>CF new developments (U2)</t>
  </si>
  <si>
    <t>CF weighted average</t>
  </si>
  <si>
    <t>CF NEW SETTLEMENT</t>
  </si>
  <si>
    <t xml:space="preserve">CF BASELINE </t>
  </si>
  <si>
    <t>CF</t>
  </si>
  <si>
    <t>CF CHANGE CALCULATION</t>
  </si>
  <si>
    <t>input from U2</t>
  </si>
  <si>
    <t>RAIL FREIGHT VEHICLE-KM/CAPITA</t>
  </si>
  <si>
    <t>SHARE OF ELECTRIC ENGINES (%)</t>
  </si>
  <si>
    <t>CALCULATION</t>
  </si>
  <si>
    <t>Metro systems included</t>
  </si>
  <si>
    <t>Tram systems included</t>
  </si>
  <si>
    <t>BASELINE RESULTS</t>
  </si>
  <si>
    <t>Edinburgh</t>
  </si>
  <si>
    <t>Rathlin Island</t>
  </si>
  <si>
    <t>Meath County</t>
  </si>
  <si>
    <t>Kymenlaakso</t>
  </si>
  <si>
    <t>Haapsalu</t>
  </si>
  <si>
    <t>CAR_COL7</t>
  </si>
  <si>
    <t>CAR_COL8</t>
  </si>
  <si>
    <t>CAR_COL9</t>
  </si>
  <si>
    <t>CAR_COL10</t>
  </si>
  <si>
    <t>CAR_COL11</t>
  </si>
  <si>
    <t>CAR_COL12</t>
  </si>
  <si>
    <t>CAR_COL13</t>
  </si>
  <si>
    <t>CAR_COL14</t>
  </si>
  <si>
    <t>CAR_COL15</t>
  </si>
  <si>
    <t>CAR_COL16</t>
  </si>
  <si>
    <t>CAR_COL17</t>
  </si>
  <si>
    <t>CAR_COL18</t>
  </si>
  <si>
    <t>CAR_COL19</t>
  </si>
  <si>
    <t>CAR_COL20</t>
  </si>
  <si>
    <t>CAR_COL21</t>
  </si>
  <si>
    <t>CAR_COL22</t>
  </si>
  <si>
    <t>Other (%)</t>
  </si>
  <si>
    <t>CAR_COL23</t>
  </si>
  <si>
    <t>TRANSPORT</t>
  </si>
  <si>
    <r>
      <t>RESULT = V</t>
    </r>
    <r>
      <rPr>
        <vertAlign val="subscript"/>
        <sz val="12"/>
        <color theme="1"/>
        <rFont val="Albertus Medium"/>
        <family val="2"/>
      </rPr>
      <t>MODE</t>
    </r>
    <r>
      <rPr>
        <sz val="12"/>
        <color theme="1"/>
        <rFont val="Albertus Medium"/>
        <family val="2"/>
      </rPr>
      <t xml:space="preserve"> x E</t>
    </r>
    <r>
      <rPr>
        <vertAlign val="subscript"/>
        <sz val="12"/>
        <color theme="1"/>
        <rFont val="Albertus Medium"/>
        <family val="2"/>
      </rPr>
      <t>MODE</t>
    </r>
  </si>
  <si>
    <r>
      <t>V</t>
    </r>
    <r>
      <rPr>
        <vertAlign val="subscript"/>
        <sz val="10"/>
        <color theme="1"/>
        <rFont val="Albertus Medium"/>
        <family val="2"/>
      </rPr>
      <t>MODE</t>
    </r>
    <r>
      <rPr>
        <sz val="10"/>
        <color theme="1"/>
        <rFont val="Albertus Medium"/>
        <family val="2"/>
      </rPr>
      <t xml:space="preserve"> = annual vehicle-kms per mode of transport [vkm/(resident/year)]</t>
    </r>
  </si>
  <si>
    <r>
      <t>=BUS_COL1 / BUS_COL2 * CF</t>
    </r>
    <r>
      <rPr>
        <vertAlign val="subscript"/>
        <sz val="10"/>
        <rFont val="Albertus Medium"/>
        <family val="2"/>
      </rPr>
      <t>BUS</t>
    </r>
    <r>
      <rPr>
        <sz val="10"/>
        <rFont val="Albertus Medium"/>
        <family val="2"/>
      </rPr>
      <t xml:space="preserve"> * (100+BUS_COL4,5,6)/100</t>
    </r>
  </si>
  <si>
    <r>
      <t>V</t>
    </r>
    <r>
      <rPr>
        <vertAlign val="subscript"/>
        <sz val="10"/>
        <color theme="1"/>
        <rFont val="Albertus Medium"/>
        <family val="2"/>
      </rPr>
      <t>CAR</t>
    </r>
  </si>
  <si>
    <r>
      <t>=CAR_COL1 / CAR_COL2 * CF</t>
    </r>
    <r>
      <rPr>
        <vertAlign val="subscript"/>
        <sz val="10"/>
        <rFont val="Albertus Medium"/>
        <family val="2"/>
      </rPr>
      <t>CAR</t>
    </r>
    <r>
      <rPr>
        <sz val="10"/>
        <rFont val="Albertus Medium"/>
        <family val="2"/>
      </rPr>
      <t xml:space="preserve">  * (100+CAR_COL4,5,6)/100</t>
    </r>
    <r>
      <rPr>
        <vertAlign val="subscript"/>
        <sz val="10"/>
        <rFont val="Albertus Medium"/>
        <family val="2"/>
      </rPr>
      <t xml:space="preserve"> </t>
    </r>
  </si>
  <si>
    <r>
      <t>V</t>
    </r>
    <r>
      <rPr>
        <vertAlign val="subscript"/>
        <sz val="10"/>
        <color theme="1"/>
        <rFont val="Albertus Medium"/>
        <family val="2"/>
      </rPr>
      <t>METRO</t>
    </r>
  </si>
  <si>
    <r>
      <t>V</t>
    </r>
    <r>
      <rPr>
        <vertAlign val="subscript"/>
        <sz val="10"/>
        <color theme="1"/>
        <rFont val="Albertus Medium"/>
        <family val="2"/>
      </rPr>
      <t>TRAM</t>
    </r>
  </si>
  <si>
    <r>
      <t>V</t>
    </r>
    <r>
      <rPr>
        <vertAlign val="subscript"/>
        <sz val="10"/>
        <color theme="1"/>
        <rFont val="Albertus Medium"/>
        <family val="2"/>
      </rPr>
      <t>TRAIN</t>
    </r>
  </si>
  <si>
    <r>
      <t>=TRAIN_COL1 / TRAIN_COL2 * CF</t>
    </r>
    <r>
      <rPr>
        <vertAlign val="subscript"/>
        <sz val="10"/>
        <rFont val="Albertus Medium"/>
        <family val="2"/>
      </rPr>
      <t>TRAIN</t>
    </r>
    <r>
      <rPr>
        <sz val="10"/>
        <rFont val="Albertus Medium"/>
        <family val="2"/>
      </rPr>
      <t xml:space="preserve">  * (100+TRAIN_COL4,5,6)/100</t>
    </r>
  </si>
  <si>
    <r>
      <t>=RAIL TRN_COL1 * CF</t>
    </r>
    <r>
      <rPr>
        <vertAlign val="subscript"/>
        <sz val="10"/>
        <rFont val="Albertus Medium"/>
        <family val="2"/>
      </rPr>
      <t>RAIL TRN</t>
    </r>
    <r>
      <rPr>
        <sz val="10"/>
        <rFont val="Albertus Medium"/>
        <family val="2"/>
      </rPr>
      <t xml:space="preserve">  * (100+RAIL TRN_COL3,4,5)/100</t>
    </r>
  </si>
  <si>
    <r>
      <t>=ROAD TRN_COL1 * CF</t>
    </r>
    <r>
      <rPr>
        <vertAlign val="subscript"/>
        <sz val="10"/>
        <rFont val="Albertus Medium"/>
        <family val="2"/>
      </rPr>
      <t>ROAD TRN</t>
    </r>
    <r>
      <rPr>
        <sz val="10"/>
        <rFont val="Albertus Medium"/>
        <family val="2"/>
      </rPr>
      <t xml:space="preserve">  * (100+ROAD TRN_COL3,4,5)/100</t>
    </r>
  </si>
  <si>
    <r>
      <t>=WATER TRN_COL1 * CF</t>
    </r>
    <r>
      <rPr>
        <vertAlign val="subscript"/>
        <sz val="10"/>
        <rFont val="Albertus Medium"/>
        <family val="2"/>
      </rPr>
      <t>WATER TRN</t>
    </r>
    <r>
      <rPr>
        <sz val="10"/>
        <rFont val="Albertus Medium"/>
        <family val="2"/>
      </rPr>
      <t xml:space="preserve">  * (100+WATER TRN_COL3,4,5)/100</t>
    </r>
  </si>
  <si>
    <r>
      <t>tnCO</t>
    </r>
    <r>
      <rPr>
        <vertAlign val="subscript"/>
        <sz val="10"/>
        <color theme="1"/>
        <rFont val="Albertus Medium"/>
        <family val="2"/>
      </rPr>
      <t>2</t>
    </r>
    <r>
      <rPr>
        <sz val="10"/>
        <color theme="1"/>
        <rFont val="Albertus Medium"/>
        <family val="2"/>
      </rPr>
      <t>e/resident, a</t>
    </r>
  </si>
  <si>
    <r>
      <t>V</t>
    </r>
    <r>
      <rPr>
        <vertAlign val="subscript"/>
        <sz val="11"/>
        <color theme="1"/>
        <rFont val="Albertus Medium"/>
        <family val="2"/>
      </rPr>
      <t>BUS</t>
    </r>
    <r>
      <rPr>
        <sz val="11"/>
        <color theme="1"/>
        <rFont val="Albertus Medium"/>
        <family val="2"/>
      </rPr>
      <t xml:space="preserve"> x E</t>
    </r>
    <r>
      <rPr>
        <vertAlign val="subscript"/>
        <sz val="11"/>
        <color theme="1"/>
        <rFont val="Albertus Medium"/>
        <family val="2"/>
      </rPr>
      <t>BUS</t>
    </r>
  </si>
  <si>
    <r>
      <t>V</t>
    </r>
    <r>
      <rPr>
        <vertAlign val="subscript"/>
        <sz val="11"/>
        <color theme="1"/>
        <rFont val="Albertus Medium"/>
        <family val="2"/>
      </rPr>
      <t>CAR</t>
    </r>
    <r>
      <rPr>
        <sz val="11"/>
        <color theme="1"/>
        <rFont val="Albertus Medium"/>
        <family val="2"/>
      </rPr>
      <t xml:space="preserve"> x E</t>
    </r>
    <r>
      <rPr>
        <vertAlign val="subscript"/>
        <sz val="11"/>
        <color theme="1"/>
        <rFont val="Albertus Medium"/>
        <family val="2"/>
      </rPr>
      <t>CAR</t>
    </r>
  </si>
  <si>
    <r>
      <t>=(100-reduction percentage)/100 x baseline passenger-km per capita</t>
    </r>
    <r>
      <rPr>
        <vertAlign val="subscript"/>
        <sz val="10"/>
        <color theme="1"/>
        <rFont val="Albertus Medium"/>
        <family val="2"/>
      </rPr>
      <t>bus</t>
    </r>
  </si>
  <si>
    <r>
      <t>=(100-reduction percentage)/100 x baseline passenger-km per capita</t>
    </r>
    <r>
      <rPr>
        <vertAlign val="subscript"/>
        <sz val="10"/>
        <color theme="1"/>
        <rFont val="Albertus Medium"/>
        <family val="2"/>
      </rPr>
      <t>metro</t>
    </r>
  </si>
  <si>
    <r>
      <t>=(100-reduction percentage)/100 x baseline passenger-km per capita</t>
    </r>
    <r>
      <rPr>
        <vertAlign val="subscript"/>
        <sz val="10"/>
        <color theme="1"/>
        <rFont val="Albertus Medium"/>
        <family val="2"/>
      </rPr>
      <t>tram</t>
    </r>
  </si>
  <si>
    <r>
      <t>=(100-reduction percentage)/100 x baseline passenger-km per capita</t>
    </r>
    <r>
      <rPr>
        <vertAlign val="subscript"/>
        <sz val="10"/>
        <color theme="1"/>
        <rFont val="Albertus Medium"/>
        <family val="2"/>
      </rPr>
      <t>train</t>
    </r>
  </si>
  <si>
    <r>
      <t>=(100-reduction percentage)/100 x baseline passenger-km per capita</t>
    </r>
    <r>
      <rPr>
        <vertAlign val="subscript"/>
        <sz val="10"/>
        <color theme="1"/>
        <rFont val="Albertus Medium"/>
        <family val="2"/>
      </rPr>
      <t>car</t>
    </r>
  </si>
  <si>
    <r>
      <t>=(100-C131)/100xbaseline</t>
    </r>
    <r>
      <rPr>
        <vertAlign val="subscript"/>
        <sz val="10"/>
        <color theme="1"/>
        <rFont val="Albertus Medium"/>
        <family val="2"/>
      </rPr>
      <t>bus</t>
    </r>
    <r>
      <rPr>
        <sz val="10"/>
        <color theme="1"/>
        <rFont val="Albertus Medium"/>
        <family val="2"/>
      </rPr>
      <t>+C131/100xU3.1 impact</t>
    </r>
    <r>
      <rPr>
        <vertAlign val="subscript"/>
        <sz val="10"/>
        <color theme="1"/>
        <rFont val="Albertus Medium"/>
        <family val="2"/>
      </rPr>
      <t>bus</t>
    </r>
  </si>
  <si>
    <r>
      <t>=(100-C131)/100xbaseline</t>
    </r>
    <r>
      <rPr>
        <vertAlign val="subscript"/>
        <sz val="10"/>
        <color theme="1"/>
        <rFont val="Albertus Medium"/>
        <family val="2"/>
      </rPr>
      <t>metro</t>
    </r>
    <r>
      <rPr>
        <sz val="10"/>
        <color theme="1"/>
        <rFont val="Albertus Medium"/>
        <family val="2"/>
      </rPr>
      <t>+C131/100xU3.1 impact</t>
    </r>
    <r>
      <rPr>
        <vertAlign val="subscript"/>
        <sz val="10"/>
        <color theme="1"/>
        <rFont val="Albertus Medium"/>
        <family val="2"/>
      </rPr>
      <t>metro</t>
    </r>
  </si>
  <si>
    <r>
      <t>=(100-C131)/100xbaseline</t>
    </r>
    <r>
      <rPr>
        <vertAlign val="subscript"/>
        <sz val="10"/>
        <color theme="1"/>
        <rFont val="Albertus Medium"/>
        <family val="2"/>
      </rPr>
      <t>tram</t>
    </r>
    <r>
      <rPr>
        <sz val="10"/>
        <color theme="1"/>
        <rFont val="Albertus Medium"/>
        <family val="2"/>
      </rPr>
      <t>+C131/100xU3.1 impact</t>
    </r>
    <r>
      <rPr>
        <vertAlign val="subscript"/>
        <sz val="10"/>
        <color theme="1"/>
        <rFont val="Albertus Medium"/>
        <family val="2"/>
      </rPr>
      <t>tram</t>
    </r>
  </si>
  <si>
    <r>
      <t>=(100-C131)/100xbaseline</t>
    </r>
    <r>
      <rPr>
        <vertAlign val="subscript"/>
        <sz val="10"/>
        <color theme="1"/>
        <rFont val="Albertus Medium"/>
        <family val="2"/>
      </rPr>
      <t>train</t>
    </r>
    <r>
      <rPr>
        <sz val="10"/>
        <color theme="1"/>
        <rFont val="Albertus Medium"/>
        <family val="2"/>
      </rPr>
      <t>+C131/100xU3.1 impact</t>
    </r>
    <r>
      <rPr>
        <vertAlign val="subscript"/>
        <sz val="10"/>
        <color theme="1"/>
        <rFont val="Albertus Medium"/>
        <family val="2"/>
      </rPr>
      <t>train</t>
    </r>
  </si>
  <si>
    <r>
      <t>=(100-C131)/100xbaseline</t>
    </r>
    <r>
      <rPr>
        <vertAlign val="subscript"/>
        <sz val="10"/>
        <color theme="1"/>
        <rFont val="Albertus Medium"/>
        <family val="2"/>
      </rPr>
      <t>car</t>
    </r>
    <r>
      <rPr>
        <sz val="10"/>
        <color theme="1"/>
        <rFont val="Albertus Medium"/>
        <family val="2"/>
      </rPr>
      <t>+C131/100xU3.1 impact</t>
    </r>
    <r>
      <rPr>
        <vertAlign val="subscript"/>
        <sz val="10"/>
        <color theme="1"/>
        <rFont val="Albertus Medium"/>
        <family val="2"/>
      </rPr>
      <t>car</t>
    </r>
  </si>
  <si>
    <r>
      <t>=(100-reduction percentage)/100 x baseline tonne-km per capita</t>
    </r>
    <r>
      <rPr>
        <vertAlign val="subscript"/>
        <sz val="10"/>
        <color theme="1"/>
        <rFont val="Albertus Medium"/>
        <family val="2"/>
      </rPr>
      <t>rail</t>
    </r>
  </si>
  <si>
    <r>
      <t>=(100-reduction percentage)/100 x baseline tonne-km per capita</t>
    </r>
    <r>
      <rPr>
        <vertAlign val="subscript"/>
        <sz val="10"/>
        <color theme="1"/>
        <rFont val="Albertus Medium"/>
        <family val="2"/>
      </rPr>
      <t>road</t>
    </r>
  </si>
  <si>
    <r>
      <t>=(100-reduction percentage)/100 x baseline tonne-km per capita</t>
    </r>
    <r>
      <rPr>
        <vertAlign val="subscript"/>
        <sz val="10"/>
        <color theme="1"/>
        <rFont val="Albertus Medium"/>
        <family val="2"/>
      </rPr>
      <t>water</t>
    </r>
  </si>
  <si>
    <t>LAND USE CHANGE</t>
  </si>
  <si>
    <t>Settlements</t>
  </si>
  <si>
    <t>Cropland</t>
  </si>
  <si>
    <t>Grassland</t>
  </si>
  <si>
    <t>Wetland</t>
  </si>
  <si>
    <t>Other land</t>
  </si>
  <si>
    <t>U4 LAND USE BASELINE</t>
  </si>
  <si>
    <t>LAND USE CHANGE CO2e EMISSIONS</t>
  </si>
  <si>
    <t>CORRECTION FACTOR metropolitan</t>
  </si>
  <si>
    <t>CORRECTION FACTOR city</t>
  </si>
  <si>
    <t>CORRECTION FACTOR town</t>
  </si>
  <si>
    <t>CORRECTION FACTOR suburban</t>
  </si>
  <si>
    <t>CORRECTION FACTOR rural</t>
  </si>
  <si>
    <t>BUS_COL12</t>
  </si>
  <si>
    <t>BUS_COL13</t>
  </si>
  <si>
    <t>BUS_COL14</t>
  </si>
  <si>
    <t>BUS_COL15</t>
  </si>
  <si>
    <t>BUS_COL16</t>
  </si>
  <si>
    <t>CAR_COL24</t>
  </si>
  <si>
    <t>CAR_COL25</t>
  </si>
  <si>
    <t>CAR_COL26</t>
  </si>
  <si>
    <t>CAR_COL27</t>
  </si>
  <si>
    <t>CAR_COL28</t>
  </si>
  <si>
    <t>TRAIN_COL7</t>
  </si>
  <si>
    <t>TRAIN_COL8</t>
  </si>
  <si>
    <t>TRAIN_COL9</t>
  </si>
  <si>
    <t>TRAIN_COL10</t>
  </si>
  <si>
    <t>TRAIN_COL11</t>
  </si>
  <si>
    <t>RAIL TRN_COL6</t>
  </si>
  <si>
    <t>RAIL TRN_COL7</t>
  </si>
  <si>
    <t>RAIL TRN_COL8</t>
  </si>
  <si>
    <t>RAIL TRN_COL9</t>
  </si>
  <si>
    <t>RAIL TRN_COL10</t>
  </si>
  <si>
    <t>ROAD TRN_COL6</t>
  </si>
  <si>
    <t>ROAD TRN_COL7</t>
  </si>
  <si>
    <t>ROAD TRN_COL8</t>
  </si>
  <si>
    <t>ROAD TRN_COL9</t>
  </si>
  <si>
    <t>ROAD TRN_COL10</t>
  </si>
  <si>
    <t>WATER TRN_COL6</t>
  </si>
  <si>
    <t>WATER TRN_COL7</t>
  </si>
  <si>
    <t>WATER TRN_COL8</t>
  </si>
  <si>
    <t>WATER TRN_COL9</t>
  </si>
  <si>
    <t>WATER TRN_COL10</t>
  </si>
  <si>
    <t>baseline (%)</t>
  </si>
  <si>
    <t>Total</t>
  </si>
  <si>
    <r>
      <t>V</t>
    </r>
    <r>
      <rPr>
        <vertAlign val="subscript"/>
        <sz val="10"/>
        <color theme="1"/>
        <rFont val="Albertus Medium"/>
        <family val="2"/>
      </rPr>
      <t>BUS</t>
    </r>
  </si>
  <si>
    <r>
      <t>V</t>
    </r>
    <r>
      <rPr>
        <vertAlign val="subscript"/>
        <sz val="10"/>
        <color theme="1"/>
        <rFont val="Albertus Medium"/>
        <family val="2"/>
      </rPr>
      <t>RAIL TRN</t>
    </r>
  </si>
  <si>
    <t>land use category</t>
  </si>
  <si>
    <t>Population</t>
  </si>
  <si>
    <t>POPULATION</t>
  </si>
  <si>
    <t>POP_COL0</t>
  </si>
  <si>
    <t>vehicle-km/a</t>
  </si>
  <si>
    <t>Baseline year</t>
  </si>
  <si>
    <t>Population prognosis</t>
  </si>
  <si>
    <t>Expected annual change in population (%)</t>
  </si>
  <si>
    <t>new datarow to "DEFAULT DATA"</t>
  </si>
  <si>
    <t>Grid electricity emission factor (kgCO2e/kWh)</t>
  </si>
  <si>
    <t>CREATE LOCAL DATASET</t>
  </si>
  <si>
    <t>Prognosis on grid electricity emission factor (kgCO2e/kWh)</t>
  </si>
  <si>
    <t>Annual passenger-kilometers</t>
  </si>
  <si>
    <t>Average bus occupancy</t>
  </si>
  <si>
    <t>pkm/a</t>
  </si>
  <si>
    <t>passengers</t>
  </si>
  <si>
    <t>Expected annual change in carbon intensity (%)</t>
  </si>
  <si>
    <t>Expected annual change in passenger-km</t>
  </si>
  <si>
    <t>Name of the new dataset</t>
  </si>
  <si>
    <t>Engine types of buses</t>
  </si>
  <si>
    <t>name:</t>
  </si>
  <si>
    <t>ENERGY</t>
  </si>
  <si>
    <t>CSC_COL1</t>
  </si>
  <si>
    <t>CSC_COL2</t>
  </si>
  <si>
    <t>CSC_COL3</t>
  </si>
  <si>
    <t>CSC_COL4</t>
  </si>
  <si>
    <t>CSC_COL5</t>
  </si>
  <si>
    <t>CSC_COL6</t>
  </si>
  <si>
    <t>2020-30</t>
  </si>
  <si>
    <t>2030-40</t>
  </si>
  <si>
    <t>2040-50</t>
  </si>
  <si>
    <t>ANNUAL CHANGE IN PASSENGER-KM (%)</t>
  </si>
  <si>
    <t>metropolitan</t>
  </si>
  <si>
    <t>city</t>
  </si>
  <si>
    <t>suburban</t>
  </si>
  <si>
    <t>town</t>
  </si>
  <si>
    <t>rural</t>
  </si>
  <si>
    <t>CORRECTION FACTOR CF</t>
  </si>
  <si>
    <t>ANNUAL CHANGE IN VEHICLE-KM (%)</t>
  </si>
  <si>
    <t>NIR</t>
  </si>
  <si>
    <t>CSC_COL7</t>
  </si>
  <si>
    <t>CSC_COL8</t>
  </si>
  <si>
    <t>CSC_COL9</t>
  </si>
  <si>
    <t>CSC_COL10</t>
  </si>
  <si>
    <t>CSC_COL11</t>
  </si>
  <si>
    <t>CSC_COL12</t>
  </si>
  <si>
    <t>CSC_COL13</t>
  </si>
  <si>
    <t>CSC_COL14</t>
  </si>
  <si>
    <t>CSC_COL15</t>
  </si>
  <si>
    <t>CSC_COL16</t>
  </si>
  <si>
    <t>CSC_COL17</t>
  </si>
  <si>
    <t>CSC_COL18</t>
  </si>
  <si>
    <t>CSC_COL19</t>
  </si>
  <si>
    <t>CSC_COL20</t>
  </si>
  <si>
    <t>CSC_COL21</t>
  </si>
  <si>
    <t>CSC_COL22</t>
  </si>
  <si>
    <t>CSC_COL23</t>
  </si>
  <si>
    <t>CSC_COL24</t>
  </si>
  <si>
    <t>CSC_COL25</t>
  </si>
  <si>
    <t>CSC_COL26</t>
  </si>
  <si>
    <t>CSC_COL27</t>
  </si>
  <si>
    <t>CSC_COL28</t>
  </si>
  <si>
    <t>CSC_COL29</t>
  </si>
  <si>
    <t>CSC_COL30</t>
  </si>
  <si>
    <t>CSC_COL31</t>
  </si>
  <si>
    <t>CSC_COL32</t>
  </si>
  <si>
    <t>CSC_COL33</t>
  </si>
  <si>
    <t>CSC_COL34</t>
  </si>
  <si>
    <t>CSC_COL35</t>
  </si>
  <si>
    <t>CSC_COL36</t>
  </si>
  <si>
    <t>Total Land use change emissions per capita</t>
  </si>
  <si>
    <r>
      <t>tnCO</t>
    </r>
    <r>
      <rPr>
        <vertAlign val="subscript"/>
        <sz val="10"/>
        <color theme="1"/>
        <rFont val="Albertus Medium"/>
        <family val="2"/>
      </rPr>
      <t>2</t>
    </r>
    <r>
      <rPr>
        <sz val="10"/>
        <color theme="1"/>
        <rFont val="Albertus Medium"/>
        <family val="2"/>
      </rPr>
      <t xml:space="preserve"> /resident, a</t>
    </r>
  </si>
  <si>
    <t>emission factors for driving</t>
  </si>
  <si>
    <t>roads</t>
  </si>
  <si>
    <t>streets</t>
  </si>
  <si>
    <t>land use change</t>
  </si>
  <si>
    <t>U5 CALCULATION</t>
  </si>
  <si>
    <t>U5 LAND USE CHANGE</t>
  </si>
  <si>
    <t>CSC_COL37</t>
  </si>
  <si>
    <t>CSC_COL38</t>
  </si>
  <si>
    <t>CSC_COL39</t>
  </si>
  <si>
    <t>CSC_COL40</t>
  </si>
  <si>
    <t>CSC_COL41</t>
  </si>
  <si>
    <t>CSC_COL42</t>
  </si>
  <si>
    <t>CSC_COL43</t>
  </si>
  <si>
    <t>CSC_COL44</t>
  </si>
  <si>
    <t>CSC_COL45</t>
  </si>
  <si>
    <t>CSC_COL46</t>
  </si>
  <si>
    <t>CSC_COL47</t>
  </si>
  <si>
    <t>CSC_COL48</t>
  </si>
  <si>
    <t>CSC_COL49</t>
  </si>
  <si>
    <t>CSC_COL50</t>
  </si>
  <si>
    <t>CSC_COL51</t>
  </si>
  <si>
    <t>CSC_COL52</t>
  </si>
  <si>
    <t>CSC_COL53</t>
  </si>
  <si>
    <t>CSC_COL54</t>
  </si>
  <si>
    <t>CSC_COL55</t>
  </si>
  <si>
    <t>CSC_COL56</t>
  </si>
  <si>
    <t>CSC_COL57</t>
  </si>
  <si>
    <t>CSC_COL58</t>
  </si>
  <si>
    <t>CSC_COL59</t>
  </si>
  <si>
    <t>CSC_COL60</t>
  </si>
  <si>
    <t>CSC_COL61</t>
  </si>
  <si>
    <t>CSC_COL62</t>
  </si>
  <si>
    <t>CSC_COL63</t>
  </si>
  <si>
    <t>CSC_COL64</t>
  </si>
  <si>
    <t>CSC_COL65</t>
  </si>
  <si>
    <t>CSC_COL66</t>
  </si>
  <si>
    <t>cropland_to_forestland_biomass_aboveground</t>
  </si>
  <si>
    <t>cropland_to_forestland_biomass_belowground</t>
  </si>
  <si>
    <t>cropland_to_forestland_dead organic matter_dead wood</t>
  </si>
  <si>
    <t>cropland_to_forestland_dead organic matter_litter</t>
  </si>
  <si>
    <t xml:space="preserve">cropland_to_forestland_soil_mineral </t>
  </si>
  <si>
    <t>cropland_to_forestland_soil_organic</t>
  </si>
  <si>
    <t>grassland_to_forestland_biomass_aboveground</t>
  </si>
  <si>
    <t>grassland_to_forestland_biomass_belowground</t>
  </si>
  <si>
    <t>grassland_to_forestland_dead organic matter_dead wood</t>
  </si>
  <si>
    <t>grassland_to_forestland_dead organic matter_litter</t>
  </si>
  <si>
    <t xml:space="preserve">grassland_to_forestland_soil_mineral </t>
  </si>
  <si>
    <t>grassland_to_forestland_soil_organic</t>
  </si>
  <si>
    <t>wetlands_to_forestland_biomass_aboveground</t>
  </si>
  <si>
    <t>wetlands_to_forestland_biomass_belowground</t>
  </si>
  <si>
    <t>wetlands_to_forestland_dead organic matter_dead wood</t>
  </si>
  <si>
    <t>wetlands_to_forestland_dead organic matter_litter</t>
  </si>
  <si>
    <t xml:space="preserve">wetlands_to_forestland_soil_mineral </t>
  </si>
  <si>
    <t>wetlands_to_forestland_soil_organic</t>
  </si>
  <si>
    <t>settlements_to_forestland_biomass_aboveground</t>
  </si>
  <si>
    <t>settlements_to_forestland_biomass_belowground</t>
  </si>
  <si>
    <t>settlements_to_forestland_dead organic matter_dead wood</t>
  </si>
  <si>
    <t>settlements_to_forestland_dead organic matter_litter</t>
  </si>
  <si>
    <t xml:space="preserve">settlements_to_forestland_soil_mineral </t>
  </si>
  <si>
    <t>settlements_to_forestland_soil_organic</t>
  </si>
  <si>
    <t>otherland_to_forestland_biomass_aboveground</t>
  </si>
  <si>
    <t>otherland_to_forestland_biomass_belowground</t>
  </si>
  <si>
    <t>otherland_to_forestland_dead organic matter_dead wood</t>
  </si>
  <si>
    <t>otherland_to_forestland_dead organic matter_litter</t>
  </si>
  <si>
    <t xml:space="preserve">otherland_to_forestland_soil_mineral </t>
  </si>
  <si>
    <t>otherland_to_forestland_soil_organic</t>
  </si>
  <si>
    <t>forestland_to_cropland_biomass_aboveground</t>
  </si>
  <si>
    <t>forestland_to_cropland_biomass_belowground</t>
  </si>
  <si>
    <t>forestland_to_cropland_dead organic matter_dead wood</t>
  </si>
  <si>
    <t>forestland_to_cropland_dead organic matter_litter</t>
  </si>
  <si>
    <t xml:space="preserve">forestland_to_cropland_soil_mineral </t>
  </si>
  <si>
    <t>forestland_to_cropland_soil_organic</t>
  </si>
  <si>
    <t>grassland_to_cropland_biomass_aboveground</t>
  </si>
  <si>
    <t>grassland_to_cropland_biomass_belowground</t>
  </si>
  <si>
    <t>grassland_to_cropland_dead organic matter_dead wood</t>
  </si>
  <si>
    <t>grassland_to_cropland_dead organic matter_litter</t>
  </si>
  <si>
    <t xml:space="preserve">grassland_to_cropland_soil_mineral </t>
  </si>
  <si>
    <t>grassland_to_cropland_soil_organic</t>
  </si>
  <si>
    <t>wetlands_to_cropland_biomass_aboveground</t>
  </si>
  <si>
    <t>wetlands_to_cropland_biomass_belowground</t>
  </si>
  <si>
    <t>wetlands_to_cropland_dead organic matter_dead wood</t>
  </si>
  <si>
    <t>wetlands_to_cropland_dead organic matter_litter</t>
  </si>
  <si>
    <t xml:space="preserve">wetlands_to_cropland_soil_mineral </t>
  </si>
  <si>
    <t>wetlands_to_cropland_soil_organic</t>
  </si>
  <si>
    <t>settlements_to_cropland_biomass_aboveground</t>
  </si>
  <si>
    <t>settlements_to_cropland_biomass_belowground</t>
  </si>
  <si>
    <t>settlements_to_cropland_dead organic matter_dead wood</t>
  </si>
  <si>
    <t>settlements_to_cropland_dead organic matter_litter</t>
  </si>
  <si>
    <t xml:space="preserve">settlements_to_cropland_soil_mineral </t>
  </si>
  <si>
    <t>settlements_to_cropland_soil_organic</t>
  </si>
  <si>
    <t>otherland_to_cropland_biomass_aboveground</t>
  </si>
  <si>
    <t>otherland_to_cropland_biomass_belowground</t>
  </si>
  <si>
    <t>otherland_to_cropland_dead organic matter_dead wood</t>
  </si>
  <si>
    <t>otherland_to_cropland_dead organic matter_litter</t>
  </si>
  <si>
    <t xml:space="preserve">otherland_to_cropland_soil_mineral </t>
  </si>
  <si>
    <t>otherland_to_cropland_soil_organic</t>
  </si>
  <si>
    <t>forestland_to_grassland_biomass_aboveground</t>
  </si>
  <si>
    <t>forestland_to_grassland_biomass_belowground</t>
  </si>
  <si>
    <t>forestland_to_grassland_dead organic matter_dead wood</t>
  </si>
  <si>
    <t>forestland_to_grassland_dead organic matter_litter</t>
  </si>
  <si>
    <t xml:space="preserve">forestland_to_grassland_soil_mineral </t>
  </si>
  <si>
    <t>forestland_to_grassland_soil_organic</t>
  </si>
  <si>
    <t>cropland_to_grassland_biomass_aboveground</t>
  </si>
  <si>
    <t>cropland_to_grassland_biomass_belowground</t>
  </si>
  <si>
    <t>cropland_to_grassland_dead organic matter_dead wood</t>
  </si>
  <si>
    <t>cropland_to_grassland_dead organic matter_litter</t>
  </si>
  <si>
    <t xml:space="preserve">cropland_to_grassland_soil_mineral </t>
  </si>
  <si>
    <t>cropland_to_grassland_soil_organic</t>
  </si>
  <si>
    <t>wetlands_to_grassland_biomass_aboveground</t>
  </si>
  <si>
    <t>wetlands_to_grassland_biomass_belowground</t>
  </si>
  <si>
    <t>wetlands_to_grassland_dead organic matter_dead wood</t>
  </si>
  <si>
    <t>wetlands_to_grassland_dead organic matter_litter</t>
  </si>
  <si>
    <t xml:space="preserve">wetlands_to_grassland_soil_mineral </t>
  </si>
  <si>
    <t>wetlands_to_grassland_soil_organic</t>
  </si>
  <si>
    <t>settlements_to_grassland_biomass_aboveground</t>
  </si>
  <si>
    <t>settlements_to_grassland_biomass_belowground</t>
  </si>
  <si>
    <t>settlements_to_grassland_dead organic matter_dead wood</t>
  </si>
  <si>
    <t>settlements_to_grassland_dead organic matter_litter</t>
  </si>
  <si>
    <t xml:space="preserve">settlements_to_grassland_soil_mineral </t>
  </si>
  <si>
    <t>settlements_to_grassland_soil_organic</t>
  </si>
  <si>
    <t>otherland_to_grassland_biomass_aboveground</t>
  </si>
  <si>
    <t>otherland_to_grassland_biomass_belowground</t>
  </si>
  <si>
    <t>otherland_to_grassland_dead organic matter_dead wood</t>
  </si>
  <si>
    <t>otherland_to_grassland_dead organic matter_litter</t>
  </si>
  <si>
    <t xml:space="preserve">otherland_to_grassland_soil_mineral </t>
  </si>
  <si>
    <t>otherland_to_grassland_soil_organic</t>
  </si>
  <si>
    <t>forestland_to_settlements_biomass_aboveground</t>
  </si>
  <si>
    <t>forestland_to_settlements_biomass_belowground</t>
  </si>
  <si>
    <t>forestland_to_settlements_dead organic matter_dead wood</t>
  </si>
  <si>
    <t>forestland_to_settlements_dead organic matter_litter</t>
  </si>
  <si>
    <t xml:space="preserve">forestland_to_settlements_soil_mineral </t>
  </si>
  <si>
    <t>forestland_to_settlements_soil_organic</t>
  </si>
  <si>
    <t>cropland_to_settlements_biomass_aboveground</t>
  </si>
  <si>
    <t>cropland_to_settlements_biomass_belowground</t>
  </si>
  <si>
    <t>cropland_to_settlements_dead organic matter_dead wood</t>
  </si>
  <si>
    <t>cropland_to_settlements_dead organic matter_litter</t>
  </si>
  <si>
    <t xml:space="preserve">cropland_to_settlements_soil_mineral </t>
  </si>
  <si>
    <t>cropland_to_settlements_soil_organic</t>
  </si>
  <si>
    <t>grassland_to_settlements_biomass_aboveground</t>
  </si>
  <si>
    <t>grassland_to_settlements_biomass_belowground</t>
  </si>
  <si>
    <t>grassland_to_settlements_dead organic matter_dead wood</t>
  </si>
  <si>
    <t>grassland_to_settlements_dead organic matter_litter</t>
  </si>
  <si>
    <t xml:space="preserve">grassland_to_settlements_soil_mineral </t>
  </si>
  <si>
    <t>grassland_to_settlements_soil_organic</t>
  </si>
  <si>
    <t>wetlands_to_settlements_biomass_aboveground</t>
  </si>
  <si>
    <t>wetlands_to_settlements_biomass_belowground</t>
  </si>
  <si>
    <t>wetlands_to_settlements_dead organic matter_dead wood</t>
  </si>
  <si>
    <t>wetlands_to_settlements_dead organic matter_litter</t>
  </si>
  <si>
    <t xml:space="preserve">wetlands_to_settlements_soil_mineral </t>
  </si>
  <si>
    <t>wetlands_to_settlements_soil_organic</t>
  </si>
  <si>
    <t>otherland_to_settlements_biomass_aboveground</t>
  </si>
  <si>
    <t>otherland_to_settlements_biomass_belowground</t>
  </si>
  <si>
    <t>otherland_to_settlements_dead organic matter_dead wood</t>
  </si>
  <si>
    <t>otherland_to_settlements_dead organic matter_litter</t>
  </si>
  <si>
    <t xml:space="preserve">otherland_to_settlements_soil_mineral </t>
  </si>
  <si>
    <t>otherland_to_settlements_soil_organic</t>
  </si>
  <si>
    <t>forestland_to_otherland_biomass_aboveground</t>
  </si>
  <si>
    <t>forestland_to_otherland_biomass_belowground</t>
  </si>
  <si>
    <t>forestland_to_otherland_dead organic matter_dead wood</t>
  </si>
  <si>
    <t>forestland_to_otherland_dead organic matter_litter</t>
  </si>
  <si>
    <t xml:space="preserve">forestland_to_otherland_soil_mineral </t>
  </si>
  <si>
    <t>forestland_to_otherland_soil_organic</t>
  </si>
  <si>
    <t>cropland_to_otherland_biomass_aboveground</t>
  </si>
  <si>
    <t>cropland_to_otherland_biomass_belowground</t>
  </si>
  <si>
    <t>cropland_to_otherland_dead organic matter_dead wood</t>
  </si>
  <si>
    <t>cropland_to_otherland_dead organic matter_litter</t>
  </si>
  <si>
    <t xml:space="preserve">cropland_to_otherland_soil_mineral </t>
  </si>
  <si>
    <t>cropland_to_otherland_soil_organic</t>
  </si>
  <si>
    <t>grassland_to_other land_biomass_aboveground</t>
  </si>
  <si>
    <t>grassland_to_other land_biomass_belowground</t>
  </si>
  <si>
    <t>grassland_to_other land_dead organic matter_dead wood</t>
  </si>
  <si>
    <t>grassland_to_other land_dead organic matter_litter</t>
  </si>
  <si>
    <t xml:space="preserve">grassland_to_other land_soil_mineral </t>
  </si>
  <si>
    <t>grassland_to_other land_soil_organic</t>
  </si>
  <si>
    <t>wetlands_to_otherland_biomass_aboveground</t>
  </si>
  <si>
    <t>wetlands_to_otherland_biomass_belowground</t>
  </si>
  <si>
    <t>wetlands_to_otherland_dead organic matter_dead wood</t>
  </si>
  <si>
    <t>wetlands_to_otherland_dead organic matter_litter</t>
  </si>
  <si>
    <t xml:space="preserve">wetlands_to_otherland_soil_mineral </t>
  </si>
  <si>
    <t>wetlands_to_otherland_soil_organic</t>
  </si>
  <si>
    <t>settlements_to_otherland_biomass_aboveground</t>
  </si>
  <si>
    <t>settlements_to_otherland_biomass_belowground</t>
  </si>
  <si>
    <t>settlements_to_otherland_dead organic matter_dead wood</t>
  </si>
  <si>
    <t>settlements_to_otherland_dead organic matter_litter</t>
  </si>
  <si>
    <t xml:space="preserve">settlements_to_otherland_soil_mineral </t>
  </si>
  <si>
    <t>settlements_to_otherland_soil_organic</t>
  </si>
  <si>
    <t>forestland_remaining_forest land_biomass_aboveground</t>
  </si>
  <si>
    <t>forestland_remaining_forest land_biomass_belowground</t>
  </si>
  <si>
    <t>forestland_remaining_forest land_dead organic matter_dead wood</t>
  </si>
  <si>
    <t>forestland_remaining_forest land_dead organic matter_litter</t>
  </si>
  <si>
    <t xml:space="preserve">forestland_remaining_forest land_soil_mineral </t>
  </si>
  <si>
    <t>forestland_remaining_forest land_soil_organic</t>
  </si>
  <si>
    <t>cropland_remaining_cropland_biomass_aboveground</t>
  </si>
  <si>
    <t>cropland_remaining_cropland_biomass_belowground</t>
  </si>
  <si>
    <t>cropland_remaining_cropland_dead organic matter_dead wood</t>
  </si>
  <si>
    <t>cropland_remaining_cropland_dead organic matter_litter</t>
  </si>
  <si>
    <t xml:space="preserve">cropland_remaining_cropland_soil_mineral </t>
  </si>
  <si>
    <t>cropland_remaining_cropland_soil_organic</t>
  </si>
  <si>
    <t>grassland_remaining_grassland_biomass_aboveground</t>
  </si>
  <si>
    <t>grassland_remaining_grassland_biomass_belowground</t>
  </si>
  <si>
    <t>grassland_remaining_grassland_dead organic matter_dead wood</t>
  </si>
  <si>
    <t>grassland_remaining_grassland_dead organic matter_litter</t>
  </si>
  <si>
    <t xml:space="preserve">grassland_remaining_grassland_soil_mineral </t>
  </si>
  <si>
    <t>grassland_remaining_grassland_soil_organic</t>
  </si>
  <si>
    <t>wetlands_remaining_wetlands_biomass_aboveground</t>
  </si>
  <si>
    <t>wetlands_remaining_wetlands_biomass_belowground</t>
  </si>
  <si>
    <t>wetlands_remaining_wetlands_dead organic matter_dead wood</t>
  </si>
  <si>
    <t>wetlands_remaining_wetlands_dead organic matter_litter</t>
  </si>
  <si>
    <t xml:space="preserve">wetlands_remaining_wetlands_soil_mineral </t>
  </si>
  <si>
    <t>wetlands_remaining_wetlands_soil_organic</t>
  </si>
  <si>
    <t>settlements_remaining_settlements_biomass_aboveground</t>
  </si>
  <si>
    <t>settlements_remaining_settlements_biomass_belowground</t>
  </si>
  <si>
    <t>settlements_remaining_settlements_dead organic matter_dead wood</t>
  </si>
  <si>
    <t>settlements_remaining_settlements_dead organic matter_litter</t>
  </si>
  <si>
    <t xml:space="preserve">settlements_remaining_settlements_soil_mineral </t>
  </si>
  <si>
    <t>settlements_remaining_settlements_soil_organic</t>
  </si>
  <si>
    <t>peat_extraction_remaining_peat_extraction_biomass_aboveground</t>
  </si>
  <si>
    <t>peat_extraction_remaining_peat_extraction_biomass_belowground</t>
  </si>
  <si>
    <t>peat_extraction_remaining_peat_extraction_dead organic matter_dead wood</t>
  </si>
  <si>
    <t>peat_extraction_remaining_peat_extraction_dead organic matter_litter</t>
  </si>
  <si>
    <t xml:space="preserve">peat_extraction_remaining_peat_extraction_soil_mineral </t>
  </si>
  <si>
    <t>peat_extraction_remaining_peat_extraction_soil_organic</t>
  </si>
  <si>
    <t>CSC_COL67</t>
  </si>
  <si>
    <t>CSC_COL68</t>
  </si>
  <si>
    <t>CSC_COL69</t>
  </si>
  <si>
    <t>CSC_COL70</t>
  </si>
  <si>
    <t>CSC_COL71</t>
  </si>
  <si>
    <t>CSC_COL72</t>
  </si>
  <si>
    <t>CSC_COL73</t>
  </si>
  <si>
    <t>CSC_COL74</t>
  </si>
  <si>
    <t>CSC_COL75</t>
  </si>
  <si>
    <t>CSC_COL76</t>
  </si>
  <si>
    <t>CSC_COL77</t>
  </si>
  <si>
    <t>CSC_COL78</t>
  </si>
  <si>
    <t>CSC_COL79</t>
  </si>
  <si>
    <t>CSC_COL80</t>
  </si>
  <si>
    <t>CSC_COL81</t>
  </si>
  <si>
    <t>CSC_COL82</t>
  </si>
  <si>
    <t>CSC_COL83</t>
  </si>
  <si>
    <t>CSC_COL84</t>
  </si>
  <si>
    <t>CSC_COL85</t>
  </si>
  <si>
    <t>CSC_COL86</t>
  </si>
  <si>
    <t>CSC_COL87</t>
  </si>
  <si>
    <t>CSC_COL88</t>
  </si>
  <si>
    <t>CSC_COL89</t>
  </si>
  <si>
    <t>CSC_COL90</t>
  </si>
  <si>
    <t>CSC_COL91</t>
  </si>
  <si>
    <t>CSC_COL92</t>
  </si>
  <si>
    <t>CSC_COL93</t>
  </si>
  <si>
    <t>CSC_COL94</t>
  </si>
  <si>
    <t>CSC_COL95</t>
  </si>
  <si>
    <t>CSC_COL96</t>
  </si>
  <si>
    <t>CSC_COL97</t>
  </si>
  <si>
    <t>CSC_COL98</t>
  </si>
  <si>
    <t>CSC_COL99</t>
  </si>
  <si>
    <t>CSC_COL100</t>
  </si>
  <si>
    <t>CSC_COL101</t>
  </si>
  <si>
    <t>CSC_COL102</t>
  </si>
  <si>
    <t>CSC_COL103</t>
  </si>
  <si>
    <t>CSC_COL104</t>
  </si>
  <si>
    <t>CSC_COL105</t>
  </si>
  <si>
    <t>CSC_COL106</t>
  </si>
  <si>
    <t>CSC_COL107</t>
  </si>
  <si>
    <t>CSC_COL108</t>
  </si>
  <si>
    <t>CSC_COL109</t>
  </si>
  <si>
    <t>CSC_COL110</t>
  </si>
  <si>
    <t>CSC_COL111</t>
  </si>
  <si>
    <t>CSC_COL112</t>
  </si>
  <si>
    <t>CSC_COL113</t>
  </si>
  <si>
    <t>CSC_COL114</t>
  </si>
  <si>
    <t>CSC_COL115</t>
  </si>
  <si>
    <t>CSC_COL116</t>
  </si>
  <si>
    <t>CSC_COL117</t>
  </si>
  <si>
    <t>CSC_COL118</t>
  </si>
  <si>
    <t>CSC_COL119</t>
  </si>
  <si>
    <t>CSC_COL120</t>
  </si>
  <si>
    <t>CSC_COL121</t>
  </si>
  <si>
    <t>CSC_COL122</t>
  </si>
  <si>
    <t>CSC_COL123</t>
  </si>
  <si>
    <t>CSC_COL124</t>
  </si>
  <si>
    <t>CSC_COL125</t>
  </si>
  <si>
    <t>CSC_COL126</t>
  </si>
  <si>
    <t>CSC_COL127</t>
  </si>
  <si>
    <t>CSC_COL128</t>
  </si>
  <si>
    <t>CSC_COL129</t>
  </si>
  <si>
    <t>CSC_COL130</t>
  </si>
  <si>
    <t>CSC_COL131</t>
  </si>
  <si>
    <t>CSC_COL132</t>
  </si>
  <si>
    <t>CSC_COL133</t>
  </si>
  <si>
    <t>CSC_COL134</t>
  </si>
  <si>
    <t>CSC_COL135</t>
  </si>
  <si>
    <t>CSC_COL136</t>
  </si>
  <si>
    <t>CSC_COL137</t>
  </si>
  <si>
    <t>CSC_COL138</t>
  </si>
  <si>
    <t>CSC_COL139</t>
  </si>
  <si>
    <t>CSC_COL140</t>
  </si>
  <si>
    <t>CSC_COL141</t>
  </si>
  <si>
    <t>CSC_COL142</t>
  </si>
  <si>
    <t>CSC_COL143</t>
  </si>
  <si>
    <t>CSC_COL144</t>
  </si>
  <si>
    <t>CSC_COL145</t>
  </si>
  <si>
    <t>CSC_COL146</t>
  </si>
  <si>
    <t>CSC_COL147</t>
  </si>
  <si>
    <t>CSC_COL148</t>
  </si>
  <si>
    <t>CSC_COL149</t>
  </si>
  <si>
    <t>CSC_COL150</t>
  </si>
  <si>
    <t>CSC_COL151</t>
  </si>
  <si>
    <t>CSC_COL152</t>
  </si>
  <si>
    <t>CSC_COL153</t>
  </si>
  <si>
    <t>CSC_COL154</t>
  </si>
  <si>
    <t>CSC_COL155</t>
  </si>
  <si>
    <t>CSC_COL156</t>
  </si>
  <si>
    <t>CSC_COL157</t>
  </si>
  <si>
    <t>CSC_COL158</t>
  </si>
  <si>
    <t>CSC_COL159</t>
  </si>
  <si>
    <t>CSC_COL160</t>
  </si>
  <si>
    <t>CSC_COL161</t>
  </si>
  <si>
    <t>CSC_COL162</t>
  </si>
  <si>
    <t>CSC_COL163</t>
  </si>
  <si>
    <t>CSC_COL164</t>
  </si>
  <si>
    <t>CSC_COL165</t>
  </si>
  <si>
    <t>CSC_COL166</t>
  </si>
  <si>
    <t>CSC_COL167</t>
  </si>
  <si>
    <t>CSC_COL168</t>
  </si>
  <si>
    <t>CSC_COL169</t>
  </si>
  <si>
    <t>CSC_COL170</t>
  </si>
  <si>
    <t>CSC_COL171</t>
  </si>
  <si>
    <t>CSC_COL172</t>
  </si>
  <si>
    <t>CSC_COL173</t>
  </si>
  <si>
    <t>CSC_COL174</t>
  </si>
  <si>
    <t>CSC_COL175</t>
  </si>
  <si>
    <t>CSC_COL176</t>
  </si>
  <si>
    <t>CSC_COL177</t>
  </si>
  <si>
    <t>CSC_COL178</t>
  </si>
  <si>
    <t>CSC_COL179</t>
  </si>
  <si>
    <t>CSC_COL180</t>
  </si>
  <si>
    <t>CSC_COL181</t>
  </si>
  <si>
    <t>CSC_COL182</t>
  </si>
  <si>
    <t>CSC_COL183</t>
  </si>
  <si>
    <t>CSC_COL184</t>
  </si>
  <si>
    <t>CSC_COL185</t>
  </si>
  <si>
    <t>CSC_COL186</t>
  </si>
  <si>
    <t>CSC_COL187</t>
  </si>
  <si>
    <t>CSC_COL188</t>
  </si>
  <si>
    <t>CSC_COL189</t>
  </si>
  <si>
    <t>CSC_COL190</t>
  </si>
  <si>
    <t>CSC_COL191</t>
  </si>
  <si>
    <t>CSC_COL192</t>
  </si>
  <si>
    <t>CSC_COL193</t>
  </si>
  <si>
    <t>CSC_COL194</t>
  </si>
  <si>
    <t>CSC_COL195</t>
  </si>
  <si>
    <t>CSC_COL196</t>
  </si>
  <si>
    <t>CSC_COL197</t>
  </si>
  <si>
    <t>CSC_COL198</t>
  </si>
  <si>
    <t>CSC_COL199</t>
  </si>
  <si>
    <t>CSC_COL200</t>
  </si>
  <si>
    <t>CSC_COL201</t>
  </si>
  <si>
    <t>CSC_COL202</t>
  </si>
  <si>
    <t>CSC_COL203</t>
  </si>
  <si>
    <t>CSC_COL204</t>
  </si>
  <si>
    <t>CSC_COL205</t>
  </si>
  <si>
    <t>CSC_COL206</t>
  </si>
  <si>
    <t>CSC_COL207</t>
  </si>
  <si>
    <t>CSC_COL208</t>
  </si>
  <si>
    <t>CSC_COL209</t>
  </si>
  <si>
    <t>CSC_COL210</t>
  </si>
  <si>
    <t>CSC_COL211</t>
  </si>
  <si>
    <t>CSC_COL212</t>
  </si>
  <si>
    <t>CSC_COL213</t>
  </si>
  <si>
    <t>CSC_COL214</t>
  </si>
  <si>
    <t>CSC_COL215</t>
  </si>
  <si>
    <t>CSC_COL216</t>
  </si>
  <si>
    <t>CSC_COL217</t>
  </si>
  <si>
    <t>CSC_COL218</t>
  </si>
  <si>
    <t>CSC_COL219</t>
  </si>
  <si>
    <t>CSC_COL220</t>
  </si>
  <si>
    <t>CSC_COL221</t>
  </si>
  <si>
    <t>CSC_COL222</t>
  </si>
  <si>
    <t>CSC_COL223</t>
  </si>
  <si>
    <t>CSC_COL224</t>
  </si>
  <si>
    <t>CSC_COL225</t>
  </si>
  <si>
    <t>CSC_COL226</t>
  </si>
  <si>
    <t>CSC_COL227</t>
  </si>
  <si>
    <t>CSC_COL228</t>
  </si>
  <si>
    <t>CSC_COL229</t>
  </si>
  <si>
    <t>CSC_COL230</t>
  </si>
  <si>
    <t>CSC_COL231</t>
  </si>
  <si>
    <t>CSC_COL232</t>
  </si>
  <si>
    <t>CSC_COL233</t>
  </si>
  <si>
    <t>CSC_COL234</t>
  </si>
  <si>
    <t>CSC_COL235</t>
  </si>
  <si>
    <t>CSC_COL236</t>
  </si>
  <si>
    <t>CSC_COL237</t>
  </si>
  <si>
    <t>CSC_COL238</t>
  </si>
  <si>
    <t>CSC_COL239</t>
  </si>
  <si>
    <t>CSC_COL240</t>
  </si>
  <si>
    <t>CSC_COL241</t>
  </si>
  <si>
    <t>CSC_COL242</t>
  </si>
  <si>
    <t>CSC_COL243</t>
  </si>
  <si>
    <t>CSC_COL244</t>
  </si>
  <si>
    <t>CSC_COL245</t>
  </si>
  <si>
    <t>CSC_COL246</t>
  </si>
  <si>
    <t>CSC_COL247</t>
  </si>
  <si>
    <t>CSC_COL248</t>
  </si>
  <si>
    <t>CSC_COL249</t>
  </si>
  <si>
    <t>CSC_COL250</t>
  </si>
  <si>
    <t>CSC_COL251</t>
  </si>
  <si>
    <t>CSC_COL252</t>
  </si>
  <si>
    <t>from local dataset only</t>
  </si>
  <si>
    <t>CSC_COL253</t>
  </si>
  <si>
    <t>CSC_COL254</t>
  </si>
  <si>
    <t>CSC_COL255</t>
  </si>
  <si>
    <t>CSC_COL256</t>
  </si>
  <si>
    <t>land_use_baseline_cropland</t>
  </si>
  <si>
    <t>land_use_baseline_grassland</t>
  </si>
  <si>
    <t>land_use_baseline_wetlands</t>
  </si>
  <si>
    <t>land_use_baseline_forestland</t>
  </si>
  <si>
    <t>land_use_baseline_settlements</t>
  </si>
  <si>
    <t>land_use_baseline_other_land</t>
  </si>
  <si>
    <t>CSC_COL257</t>
  </si>
  <si>
    <t>CSC_COL258</t>
  </si>
  <si>
    <t>CSC_COL259</t>
  </si>
  <si>
    <t>CSC_COL260</t>
  </si>
  <si>
    <t>CSC_COL261</t>
  </si>
  <si>
    <t>CSC_COL262</t>
  </si>
  <si>
    <t>CSC_COL263</t>
  </si>
  <si>
    <t>CSC_COL264</t>
  </si>
  <si>
    <t>CSC_COL265</t>
  </si>
  <si>
    <t>CSC_COL266</t>
  </si>
  <si>
    <t>CSC_COL267</t>
  </si>
  <si>
    <t>CSC_COL268</t>
  </si>
  <si>
    <t>CSC_COL269</t>
  </si>
  <si>
    <t>CSC_COL270</t>
  </si>
  <si>
    <t>CSC_COL271</t>
  </si>
  <si>
    <t>CSC_COL272</t>
  </si>
  <si>
    <t>CSC_COL273</t>
  </si>
  <si>
    <t>CSC_COL274</t>
  </si>
  <si>
    <t>CSC_COL275</t>
  </si>
  <si>
    <t>CSC_COL276</t>
  </si>
  <si>
    <t>Forestland</t>
  </si>
  <si>
    <t>Wetlands</t>
  </si>
  <si>
    <t>LAND USE - BASELINE</t>
  </si>
  <si>
    <t>Other</t>
  </si>
  <si>
    <t>tCO2e/a</t>
  </si>
  <si>
    <t>in the local dataset, correction factors are zero</t>
  </si>
  <si>
    <t>Annual change (%)</t>
  </si>
  <si>
    <t>land_use_baseline_forestland_annual_change_2021-30</t>
  </si>
  <si>
    <t>land_use_baseline_forestland_annual_change_2031-40</t>
  </si>
  <si>
    <t>land_use_baseline_forestland_annual_change_2041-50</t>
  </si>
  <si>
    <t>land_use_baseline_forestland_2022</t>
  </si>
  <si>
    <t>land_use_baseline_cropland_2022</t>
  </si>
  <si>
    <t>land_use_baseline_grassland_2022</t>
  </si>
  <si>
    <t>land_use_baseline_wetlands_2022</t>
  </si>
  <si>
    <t>land_use_baseline_settlements_2022</t>
  </si>
  <si>
    <t>land_use_baseline_other_land_2022</t>
  </si>
  <si>
    <t>land_use_baseline_cropland_annual_change_2021-30</t>
  </si>
  <si>
    <t>land_use_baseline_cropland_annual_change_2031-40</t>
  </si>
  <si>
    <t>land_use_baseline_cropland_annual_change_2041-50</t>
  </si>
  <si>
    <t>land_use_baseline_grassland_annual_change_2021-30</t>
  </si>
  <si>
    <t>land_use_baseline_grassland_annual_change_2031-40</t>
  </si>
  <si>
    <t>land_use_baseline_grassland_annual_change_2041-50</t>
  </si>
  <si>
    <t>land_use_baseline_wetlands_annual_change_2021-30</t>
  </si>
  <si>
    <t>land_use_baseline_wetlands_annual_change_2031-40</t>
  </si>
  <si>
    <t>land_use_baseline_wetlands_annual_change_2041-50</t>
  </si>
  <si>
    <t>land_use_baseline_settlements_annual_change_2021-30</t>
  </si>
  <si>
    <t>land_use_baseline_settlements_annual_change_2031-40</t>
  </si>
  <si>
    <t>land_use_baseline_settlements_annual_change_2041-50</t>
  </si>
  <si>
    <t>land_use_baseline_other_land_annual_change_2021-30</t>
  </si>
  <si>
    <t>land_use_baseline_other_land_annual_change_2031-40</t>
  </si>
  <si>
    <t>land_use_baseline_other_land_annual_change_2041-50</t>
  </si>
  <si>
    <t>ANNUAL CHANGE IN VEHICLE-KM 2021-30</t>
  </si>
  <si>
    <t>ANNUAL CHANGE IN VEHICLE-KM 2031-40</t>
  </si>
  <si>
    <t>ANNUAL CHANGE IN VEHICLE-KM 2041-50</t>
  </si>
  <si>
    <t>annual_population_change_2021-30</t>
  </si>
  <si>
    <t>annual_population_change_2031-40</t>
  </si>
  <si>
    <t>annual_population_change_2041-50</t>
  </si>
  <si>
    <t>grid_electricity_emission_factor</t>
  </si>
  <si>
    <t>annual_change_grid_electricity_emission_factor_2021-30</t>
  </si>
  <si>
    <t>annual_change_grid_electricity_emission_factor_2031-40</t>
  </si>
  <si>
    <t>annual_change_grid_electricity_emission_factor_2041-50</t>
  </si>
  <si>
    <t>population (with U2 impact from Transport module)</t>
  </si>
  <si>
    <t>Population for U4</t>
  </si>
  <si>
    <t>from_cropland_to_forestland</t>
  </si>
  <si>
    <t>from_grassland_to_forestland</t>
  </si>
  <si>
    <t>from_wetland_to_forestland</t>
  </si>
  <si>
    <t>from_settlements_to_forestland</t>
  </si>
  <si>
    <t>from_other_land_to_forestland</t>
  </si>
  <si>
    <t>from_forestland_to_cropland</t>
  </si>
  <si>
    <t>from_grassland_to_cropland</t>
  </si>
  <si>
    <t>from_wetland_to_cropland</t>
  </si>
  <si>
    <t>from_settlements_to_cropland</t>
  </si>
  <si>
    <t>from_other_land_to_cropland</t>
  </si>
  <si>
    <t>from_forestland_to_grassland</t>
  </si>
  <si>
    <t>from_cropland_to_grassland</t>
  </si>
  <si>
    <t>from_wetland_to_grassland</t>
  </si>
  <si>
    <t>from_settlements_to_grassland</t>
  </si>
  <si>
    <t>from_other_land_to_grassland</t>
  </si>
  <si>
    <t>from_forestland_to_settlements</t>
  </si>
  <si>
    <t>from_cropland_to_settlements</t>
  </si>
  <si>
    <t>from_grassland_to_settlements</t>
  </si>
  <si>
    <t>from_wetland_to_settlements</t>
  </si>
  <si>
    <t>from_other_land_to_settlements</t>
  </si>
  <si>
    <t>from_forestland_to_other_land</t>
  </si>
  <si>
    <t>from_cropland_to_other_land</t>
  </si>
  <si>
    <t>from_grassland_to_other_land</t>
  </si>
  <si>
    <t>from_wetland_to_other_land</t>
  </si>
  <si>
    <t>from_settlements_to_other_land</t>
  </si>
  <si>
    <t>no inputs for U4 - displays results below only if existing results are imported in a local dataset</t>
  </si>
  <si>
    <t>U4 Land use - baseline tCO2/a (always zero except when specified in local dataset)</t>
  </si>
  <si>
    <t>U4 Land use - baseline tCO2/resident, a (always zero except when specified in local dataset)</t>
  </si>
  <si>
    <t>land_converted_to_peat_extraction (combined)_biomass_aboveground</t>
  </si>
  <si>
    <t>land_converted_to_peat_extraction (combined)_biomass_belowground</t>
  </si>
  <si>
    <t>land_converted_to_peat_extraction (combined)_dead organic matter_dead wood</t>
  </si>
  <si>
    <t>land_converted_to_peat_extraction (combined)_dead organic matter_litter</t>
  </si>
  <si>
    <t>land_converted_to_peat_extraction (combined)_soil_mineral</t>
  </si>
  <si>
    <t>land_converted_to_peat_extraction (combined)_soil_organic</t>
  </si>
  <si>
    <t>peatland_restoration_(rewetting)</t>
  </si>
  <si>
    <t>peatland_restoration_(rewetting)_biomass_aboveground</t>
  </si>
  <si>
    <t>peatland_restoration_(rewetting)_biomass_belowground</t>
  </si>
  <si>
    <t>peatland_restoration_(rewetting)_dead organic matter_dead wood</t>
  </si>
  <si>
    <t>peatland_restoration_(rewetting)_dead organic matter_litter</t>
  </si>
  <si>
    <t>peatland_restoration_(rewetting)_soil_mineral</t>
  </si>
  <si>
    <t>peatland_restoration_(rewetting)_soil_organic</t>
  </si>
  <si>
    <t>forestland_converted_to_other_wetlands/flooded_land</t>
  </si>
  <si>
    <t>forestland_converted_to_other_wetlands/flooded_land_biomass_aboveground</t>
  </si>
  <si>
    <t>forestland_converted_to_other_wetlands/flooded_land_biomass_belowground</t>
  </si>
  <si>
    <t>forestland_converted_to_other_wetlands/flooded_land_dead organic matter_dead wood</t>
  </si>
  <si>
    <t>forestland_converted_to_other_wetlands/flooded_land_dead organic matter_litter</t>
  </si>
  <si>
    <t>forestland_converted_to_other_wetlands/flooded_land_soil_mineral</t>
  </si>
  <si>
    <t>forestland_converted_to_other_wetlands/flooded_land_soil_organic</t>
  </si>
  <si>
    <t>cropland_converted_to_other_wetlands/flooded_land</t>
  </si>
  <si>
    <t>cropland_converted_to_other_wetlands/flooded_land_biomass_aboveground</t>
  </si>
  <si>
    <t>cropland_converted_to_other_wetlands/flooded_land_biomass_belowground</t>
  </si>
  <si>
    <t>cropland_converted_to_other_wetlands/flooded_land_dead organic matter_dead wood</t>
  </si>
  <si>
    <t>cropland_converted_to_other_wetlands/flooded_land_dead organic matter_litter</t>
  </si>
  <si>
    <t>cropland_converted_to_other_wetlands/flooded_land_soil_mineral</t>
  </si>
  <si>
    <t>cropland_converted_to_other_wetlands/flooded_land_soil_organic</t>
  </si>
  <si>
    <t>grassland_converted_to_other_wetlands/flooded_land</t>
  </si>
  <si>
    <t>grassland_converted_to_other_wetlands/flooded_land_biomass_aboveground</t>
  </si>
  <si>
    <t>grassland_converted_to_other_wetlands/flooded_land_biomass_belowground</t>
  </si>
  <si>
    <t>grassland_converted_to_other_wetlands/flooded_land_dead organic matter_dead wood</t>
  </si>
  <si>
    <t>grassland_converted_to_other_wetlands/flooded_land_dead organic matter_litter</t>
  </si>
  <si>
    <t>grassland_converted_to_other_wetlands/flooded_land_soil_mineral</t>
  </si>
  <si>
    <t>grassland_converted_to_other_wetlands/flooded_land_soil_organic</t>
  </si>
  <si>
    <t>land_converted_to_peat_extraction_(combined)</t>
  </si>
  <si>
    <t>Land converted to peat extraction (combined)</t>
  </si>
  <si>
    <t>Peatland restoration (rewetting)</t>
  </si>
  <si>
    <t>Carbon stock change factors, 
t C/ha yr</t>
  </si>
  <si>
    <t>Biomass</t>
  </si>
  <si>
    <t>Dead organic matter</t>
  </si>
  <si>
    <t>Soil</t>
  </si>
  <si>
    <t>aboveground</t>
  </si>
  <si>
    <t>belowground</t>
  </si>
  <si>
    <t>dead wood</t>
  </si>
  <si>
    <t>litter</t>
  </si>
  <si>
    <t xml:space="preserve">mineral </t>
  </si>
  <si>
    <t>organic</t>
  </si>
  <si>
    <t>Cropland to forest land</t>
  </si>
  <si>
    <t>Grassland to forest land</t>
  </si>
  <si>
    <t>Wetlands to forest land</t>
  </si>
  <si>
    <t>Settlements to forest land</t>
  </si>
  <si>
    <t>Other land to forest land</t>
  </si>
  <si>
    <t>Forest land to cropland</t>
  </si>
  <si>
    <t>Grassland to cropland</t>
  </si>
  <si>
    <t>Wetlands to cropland</t>
  </si>
  <si>
    <t>Settlements to cropland</t>
  </si>
  <si>
    <t>Other land to cropland</t>
  </si>
  <si>
    <t>Forest land to grassland</t>
  </si>
  <si>
    <t>Cropland to grassland</t>
  </si>
  <si>
    <t>Wetlands to grassland</t>
  </si>
  <si>
    <t>Settlements to grassland</t>
  </si>
  <si>
    <t>Other land to grassland</t>
  </si>
  <si>
    <t>Forest land converted to other wetlands/ flooded land</t>
  </si>
  <si>
    <t>Cropland converted to other wetlands/ flooded land</t>
  </si>
  <si>
    <t>Grassland converted to other wetlands/ flooded land</t>
  </si>
  <si>
    <t>Forest land to settlements</t>
  </si>
  <si>
    <t>Cropland to settlements</t>
  </si>
  <si>
    <t>Grassland to settlements</t>
  </si>
  <si>
    <t>Wetlands to settlements</t>
  </si>
  <si>
    <t>Other land to settlements</t>
  </si>
  <si>
    <t>Forest land to other land</t>
  </si>
  <si>
    <t>Cropland to other land</t>
  </si>
  <si>
    <t>Grassland to other land</t>
  </si>
  <si>
    <t>Wetlands to other land</t>
  </si>
  <si>
    <t>Settlements to other land</t>
  </si>
  <si>
    <t>Forest land remaining forest land</t>
  </si>
  <si>
    <t>Cropland remaining cropland</t>
  </si>
  <si>
    <t>Grassland remaining grassland</t>
  </si>
  <si>
    <t>Peat extraction remaining peat extraction</t>
  </si>
  <si>
    <t>Wetlands remaining wetlands</t>
  </si>
  <si>
    <t>Settlements remaining settlements</t>
  </si>
  <si>
    <r>
      <t>E</t>
    </r>
    <r>
      <rPr>
        <vertAlign val="subscript"/>
        <sz val="10"/>
        <color theme="1"/>
        <rFont val="Albertus Medium"/>
        <family val="2"/>
      </rPr>
      <t>MODE</t>
    </r>
    <r>
      <rPr>
        <sz val="10"/>
        <color theme="1"/>
        <rFont val="Albertus Medium"/>
        <family val="2"/>
      </rPr>
      <t xml:space="preserve"> = emission factor per mode of transport [gCO</t>
    </r>
    <r>
      <rPr>
        <vertAlign val="subscript"/>
        <sz val="10"/>
        <color theme="1"/>
        <rFont val="Albertus Medium"/>
      </rPr>
      <t>2</t>
    </r>
    <r>
      <rPr>
        <sz val="10"/>
        <color theme="1"/>
        <rFont val="Albertus Medium"/>
        <family val="2"/>
      </rPr>
      <t>e/km]</t>
    </r>
  </si>
  <si>
    <t>=Metro systems included (%) x annual vehicle-km (menu options)</t>
  </si>
  <si>
    <t>=Tram systems included (%) x annual vehicle-km (menu options)</t>
  </si>
  <si>
    <t>without policy</t>
  </si>
  <si>
    <t>policy target %</t>
  </si>
  <si>
    <t>U3.4 MODAL SPLIT / FREIGHT TRANSPORT</t>
  </si>
  <si>
    <t>100 % of transport</t>
  </si>
  <si>
    <t>share for rail</t>
  </si>
  <si>
    <t>affected</t>
  </si>
  <si>
    <t>share for inland waterways</t>
  </si>
  <si>
    <t>share for road freight</t>
  </si>
  <si>
    <t>% of the area</t>
  </si>
  <si>
    <t>U3.5 SHARES OF FUEL TYPES / BUS TRANSPORT</t>
  </si>
  <si>
    <t>U3.6 SHARES OF FUEL TYPES / CARS</t>
  </si>
  <si>
    <t>target-%</t>
  </si>
  <si>
    <t>gCO2e/kWh without policy</t>
  </si>
  <si>
    <t>U3.7 ELECTRICITY FOR TRANSPORT</t>
  </si>
  <si>
    <t>Increase in the share of renewables</t>
  </si>
  <si>
    <t>reduction</t>
  </si>
  <si>
    <t>Diesel</t>
  </si>
  <si>
    <t>Electricity</t>
  </si>
  <si>
    <t>Fuel type description</t>
  </si>
  <si>
    <t>AVERAGE</t>
  </si>
  <si>
    <t>ROAD</t>
  </si>
  <si>
    <t>STREET</t>
  </si>
  <si>
    <t>Petroleum products</t>
  </si>
  <si>
    <t>Liquefied Petroleum Gas (LPG)</t>
  </si>
  <si>
    <t>Natural Gas (CNG)</t>
  </si>
  <si>
    <r>
      <t>average kgCO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e/vehicle-km</t>
    </r>
  </si>
  <si>
    <t>road, kgCO2e/vehicle-km</t>
  </si>
  <si>
    <r>
      <t>street, kgCO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e/vehicle-km</t>
    </r>
  </si>
  <si>
    <t>share from bus fleet (%)</t>
  </si>
  <si>
    <t>weighted average H x K/100</t>
  </si>
  <si>
    <t>weighted average I x K/100</t>
  </si>
  <si>
    <t>weighted average J x K/100</t>
  </si>
  <si>
    <t>driving profile (%)</t>
  </si>
  <si>
    <t>area type</t>
  </si>
  <si>
    <t>ROAD-%  x road emission factor + STREET-% x street emission factor</t>
  </si>
  <si>
    <t>area type %</t>
  </si>
  <si>
    <r>
      <t>Average emission factor E</t>
    </r>
    <r>
      <rPr>
        <vertAlign val="subscript"/>
        <sz val="10"/>
        <color theme="1"/>
        <rFont val="Calibri"/>
        <family val="2"/>
        <scheme val="minor"/>
      </rPr>
      <t>BUS</t>
    </r>
  </si>
  <si>
    <t>BUS: Average emission factor for driving profiles (road and street driving)</t>
  </si>
  <si>
    <r>
      <t>V</t>
    </r>
    <r>
      <rPr>
        <vertAlign val="subscript"/>
        <sz val="11"/>
        <color theme="1"/>
        <rFont val="Albertus Medium"/>
        <family val="2"/>
      </rPr>
      <t>BUS</t>
    </r>
    <r>
      <rPr>
        <sz val="11"/>
        <color theme="1"/>
        <rFont val="Albertus Medium"/>
        <family val="2"/>
      </rPr>
      <t xml:space="preserve"> x E</t>
    </r>
    <r>
      <rPr>
        <vertAlign val="subscript"/>
        <sz val="11"/>
        <color theme="1"/>
        <rFont val="Albertus Medium"/>
        <family val="2"/>
      </rPr>
      <t>BUS</t>
    </r>
    <r>
      <rPr>
        <sz val="11"/>
        <color theme="1"/>
        <rFont val="Albertus Medium"/>
      </rPr>
      <t xml:space="preserve"> / baseline population</t>
    </r>
  </si>
  <si>
    <r>
      <t>CF</t>
    </r>
    <r>
      <rPr>
        <vertAlign val="subscript"/>
        <sz val="11"/>
        <color theme="1"/>
        <rFont val="Albertus Medium"/>
      </rPr>
      <t>MODE</t>
    </r>
  </si>
  <si>
    <r>
      <t>CF</t>
    </r>
    <r>
      <rPr>
        <vertAlign val="subscript"/>
        <sz val="10"/>
        <color theme="1"/>
        <rFont val="Albertus Medium"/>
      </rPr>
      <t>MODE</t>
    </r>
    <r>
      <rPr>
        <sz val="10"/>
        <color theme="1"/>
        <rFont val="Albertus Medium"/>
      </rPr>
      <t xml:space="preserve"> weighted average</t>
    </r>
  </si>
  <si>
    <r>
      <t>BASELINE V</t>
    </r>
    <r>
      <rPr>
        <vertAlign val="subscript"/>
        <sz val="12"/>
        <color theme="1"/>
        <rFont val="Albertus Medium"/>
        <family val="2"/>
      </rPr>
      <t>MODE</t>
    </r>
  </si>
  <si>
    <r>
      <t>BUS: Average emission factor E</t>
    </r>
    <r>
      <rPr>
        <vertAlign val="subscript"/>
        <sz val="12"/>
        <color theme="1"/>
        <rFont val="Albertus Medium"/>
        <family val="2"/>
      </rPr>
      <t>BUS</t>
    </r>
    <r>
      <rPr>
        <sz val="12"/>
        <color theme="1"/>
        <rFont val="Albertus Medium"/>
        <family val="2"/>
      </rPr>
      <t xml:space="preserve"> for baseline calculation</t>
    </r>
  </si>
  <si>
    <t>Emission factors (constants)</t>
  </si>
  <si>
    <t>from U1</t>
  </si>
  <si>
    <t>Land-use change</t>
  </si>
  <si>
    <t>Total area, ha</t>
  </si>
  <si>
    <t>Soil area, ha</t>
  </si>
  <si>
    <t>Forest land to other wetlands/ flooded land</t>
  </si>
  <si>
    <t>Cropland to other wetlands/ flooded land</t>
  </si>
  <si>
    <t>Grassland to other wetlands/ flooded land</t>
  </si>
  <si>
    <t>Total area (ha)</t>
  </si>
  <si>
    <t>total area (ha)</t>
  </si>
  <si>
    <t>soil area (ha)</t>
  </si>
  <si>
    <t>year 1</t>
  </si>
  <si>
    <t xml:space="preserve">year of </t>
  </si>
  <si>
    <t>implementation</t>
  </si>
  <si>
    <t>number of first CSC factor</t>
  </si>
  <si>
    <t>country</t>
  </si>
  <si>
    <t>GRID ELECTRICITY</t>
  </si>
  <si>
    <t>CAR</t>
  </si>
  <si>
    <t>INLAND WATERWAYS TRANSPORT</t>
  </si>
  <si>
    <t>LU BASELINE FORESTLAND</t>
  </si>
  <si>
    <t>LU BASELINE CROPLAND</t>
  </si>
  <si>
    <t>LU BASELINE GRASSLAND</t>
  </si>
  <si>
    <t>LU BASELINE WETLANDS</t>
  </si>
  <si>
    <t>LU BASELINE SETTLEMENTS</t>
  </si>
  <si>
    <t>LU BASELINE OTHER LAND</t>
  </si>
  <si>
    <t>ADJUSTMENT BY THE YEAR OF IMPLEMENTION</t>
  </si>
  <si>
    <t>Bill</t>
  </si>
  <si>
    <t>Mir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</si>
</sst>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"/>
    <numFmt numFmtId="166" formatCode="#,##0.0"/>
    <numFmt numFmtId="167" formatCode="#,##0.000"/>
    <numFmt numFmtId="168" formatCode="0.0000"/>
  </numFmts>
  <fonts count="73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bscript"/>
      <sz val="10"/>
      <name val="Calibri"/>
      <family val="2"/>
      <scheme val="minor"/>
    </font>
    <font>
      <sz val="10"/>
      <name val="Calibri"/>
      <family val="2"/>
      <charset val="186"/>
      <scheme val="minor"/>
    </font>
    <font>
      <sz val="10"/>
      <name val="Calibri"/>
      <family val="2"/>
      <charset val="186"/>
    </font>
    <font>
      <sz val="9"/>
      <color indexed="81"/>
      <name val="Tahoma"/>
      <family val="2"/>
      <charset val="186"/>
    </font>
    <font>
      <b/>
      <sz val="9"/>
      <color indexed="81"/>
      <name val="Tahoma"/>
      <family val="2"/>
      <charset val="186"/>
    </font>
    <font>
      <sz val="10"/>
      <name val="Calibri"/>
      <family val="2"/>
    </font>
    <font>
      <b/>
      <sz val="12"/>
      <color theme="0"/>
      <name val="Albertus Medium"/>
      <family val="2"/>
    </font>
    <font>
      <sz val="11"/>
      <name val="Albertus Medium"/>
      <family val="2"/>
    </font>
    <font>
      <sz val="10"/>
      <color theme="1"/>
      <name val="Albertus Medium"/>
      <family val="2"/>
    </font>
    <font>
      <sz val="11"/>
      <color theme="1"/>
      <name val="Albertus Medium"/>
      <family val="2"/>
    </font>
    <font>
      <b/>
      <sz val="14"/>
      <color theme="1"/>
      <name val="Albertus Medium"/>
      <family val="2"/>
    </font>
    <font>
      <sz val="10"/>
      <color theme="0" tint="-0.499984740745262"/>
      <name val="Albertus Medium"/>
      <family val="2"/>
    </font>
    <font>
      <sz val="12"/>
      <color theme="1"/>
      <name val="Albertus Medium"/>
      <family val="2"/>
    </font>
    <font>
      <vertAlign val="subscript"/>
      <sz val="12"/>
      <color theme="1"/>
      <name val="Albertus Medium"/>
      <family val="2"/>
    </font>
    <font>
      <b/>
      <sz val="10"/>
      <name val="Albertus Medium"/>
      <family val="2"/>
    </font>
    <font>
      <vertAlign val="subscript"/>
      <sz val="10"/>
      <color theme="1"/>
      <name val="Albertus Medium"/>
      <family val="2"/>
    </font>
    <font>
      <b/>
      <sz val="11"/>
      <color theme="1"/>
      <name val="Albertus Medium"/>
      <family val="2"/>
    </font>
    <font>
      <b/>
      <i/>
      <sz val="10"/>
      <color rgb="FFFF0066"/>
      <name val="Albertus Medium"/>
      <family val="2"/>
    </font>
    <font>
      <b/>
      <sz val="10"/>
      <color theme="1"/>
      <name val="Albertus Medium"/>
      <family val="2"/>
    </font>
    <font>
      <sz val="10"/>
      <name val="Albertus Medium"/>
      <family val="2"/>
    </font>
    <font>
      <i/>
      <sz val="10"/>
      <color rgb="FFC00000"/>
      <name val="Albertus Medium"/>
      <family val="2"/>
    </font>
    <font>
      <vertAlign val="subscript"/>
      <sz val="11"/>
      <color theme="1"/>
      <name val="Albertus Medium"/>
      <family val="2"/>
    </font>
    <font>
      <vertAlign val="subscript"/>
      <sz val="10"/>
      <name val="Albertus Medium"/>
      <family val="2"/>
    </font>
    <font>
      <b/>
      <sz val="12"/>
      <color theme="1"/>
      <name val="Albertus Medium"/>
      <family val="2"/>
    </font>
    <font>
      <sz val="14"/>
      <color theme="1"/>
      <name val="Albertus Medium"/>
      <family val="2"/>
    </font>
    <font>
      <i/>
      <sz val="10"/>
      <color rgb="FFFF0000"/>
      <name val="Albertus Medium"/>
      <family val="2"/>
    </font>
    <font>
      <sz val="9"/>
      <color theme="1"/>
      <name val="Albertus Medium"/>
      <family val="2"/>
    </font>
    <font>
      <sz val="9"/>
      <name val="Albertus Medium"/>
      <family val="2"/>
    </font>
    <font>
      <sz val="8"/>
      <color theme="1"/>
      <name val="Albertus Medium"/>
      <family val="2"/>
    </font>
    <font>
      <sz val="30"/>
      <color rgb="FFFF0000"/>
      <name val="Albertus Medium"/>
      <family val="2"/>
    </font>
    <font>
      <sz val="36"/>
      <color rgb="FFFF0000"/>
      <name val="Albertus Medium"/>
      <family val="2"/>
    </font>
    <font>
      <sz val="30"/>
      <color rgb="FF92D050"/>
      <name val="Albertus Medium"/>
      <family val="2"/>
    </font>
    <font>
      <sz val="11"/>
      <color rgb="FFFFC000"/>
      <name val="Albertus Medium"/>
      <family val="2"/>
    </font>
    <font>
      <sz val="30"/>
      <color rgb="FFFFC000"/>
      <name val="Albertus Medium"/>
      <family val="2"/>
    </font>
    <font>
      <sz val="36"/>
      <color rgb="FFFFC000"/>
      <name val="Albertus Medium"/>
      <family val="2"/>
    </font>
    <font>
      <sz val="36"/>
      <color rgb="FF92D050"/>
      <name val="Albertus Medium"/>
      <family val="2"/>
    </font>
    <font>
      <i/>
      <sz val="9"/>
      <color rgb="FFFF0000"/>
      <name val="Albertus Medium"/>
      <family val="2"/>
    </font>
    <font>
      <sz val="30"/>
      <color theme="1"/>
      <name val="Albertus Medium"/>
      <family val="2"/>
    </font>
    <font>
      <i/>
      <sz val="11"/>
      <color rgb="FFFF0066"/>
      <name val="Albertus Medium"/>
      <family val="2"/>
    </font>
    <font>
      <i/>
      <sz val="10"/>
      <color theme="1"/>
      <name val="Albertus Medium"/>
      <family val="2"/>
    </font>
    <font>
      <b/>
      <i/>
      <sz val="11"/>
      <color rgb="FFFF0066"/>
      <name val="Albertus Medium"/>
      <family val="2"/>
    </font>
    <font>
      <i/>
      <sz val="10"/>
      <color rgb="FFFF0066"/>
      <name val="Albertus Medium"/>
      <family val="2"/>
    </font>
    <font>
      <b/>
      <i/>
      <sz val="10"/>
      <color rgb="FFC00000"/>
      <name val="Albertus Medium"/>
      <family val="2"/>
    </font>
    <font>
      <sz val="10"/>
      <color theme="1"/>
      <name val="Arial Unicode MS"/>
      <family val="2"/>
      <charset val="186"/>
    </font>
    <font>
      <sz val="10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0" tint="-4.9989318521683403E-2"/>
      <name val="Albertus Medium"/>
      <family val="2"/>
    </font>
    <font>
      <sz val="11"/>
      <color theme="0" tint="-4.9989318521683403E-2"/>
      <name val="Calibri"/>
      <family val="2"/>
      <scheme val="minor"/>
    </font>
    <font>
      <sz val="10"/>
      <color theme="1"/>
      <name val="Calibri"/>
      <family val="2"/>
      <charset val="186"/>
      <scheme val="minor"/>
    </font>
    <font>
      <sz val="12"/>
      <color theme="1"/>
      <name val="Albertus Medium"/>
    </font>
    <font>
      <sz val="10"/>
      <color theme="1"/>
      <name val="Albertus Medium"/>
    </font>
    <font>
      <i/>
      <sz val="11"/>
      <color rgb="FFFF0000"/>
      <name val="Albertus Medium"/>
    </font>
    <font>
      <sz val="11"/>
      <color theme="1"/>
      <name val="Calibri"/>
      <family val="2"/>
      <charset val="186"/>
      <scheme val="minor"/>
    </font>
    <font>
      <i/>
      <sz val="11"/>
      <color theme="1"/>
      <name val="Calibri"/>
      <family val="2"/>
      <charset val="186"/>
      <scheme val="minor"/>
    </font>
    <font>
      <b/>
      <sz val="10"/>
      <color theme="1"/>
      <name val="Calibri"/>
      <family val="2"/>
      <charset val="186"/>
      <scheme val="minor"/>
    </font>
    <font>
      <sz val="8"/>
      <color theme="1"/>
      <name val="Calibri"/>
      <family val="2"/>
      <charset val="186"/>
      <scheme val="minor"/>
    </font>
    <font>
      <b/>
      <sz val="11"/>
      <color theme="1"/>
      <name val="Calibri"/>
      <family val="2"/>
      <scheme val="minor"/>
    </font>
    <font>
      <vertAlign val="subscript"/>
      <sz val="10"/>
      <color theme="1"/>
      <name val="Albertus Medium"/>
    </font>
    <font>
      <b/>
      <sz val="10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vertAlign val="subscript"/>
      <sz val="11"/>
      <color theme="1"/>
      <name val="Albertus Medium"/>
    </font>
    <font>
      <vertAlign val="subscript"/>
      <sz val="10"/>
      <color theme="1"/>
      <name val="Calibri"/>
      <family val="2"/>
      <scheme val="minor"/>
    </font>
    <font>
      <sz val="10"/>
      <color theme="0" tint="-0.499984740745262"/>
      <name val="Calibri"/>
      <family val="2"/>
    </font>
    <font>
      <sz val="10"/>
      <name val="Arial Unicode MS"/>
      <family val="2"/>
      <charset val="186"/>
    </font>
    <font>
      <sz val="11"/>
      <color theme="1"/>
      <name val="Albertus Medium"/>
    </font>
    <font>
      <sz val="12"/>
      <name val="Albertus Medium"/>
      <family val="2"/>
    </font>
    <font>
      <b/>
      <sz val="9"/>
      <color theme="1"/>
      <name val="Calibri"/>
      <family val="2"/>
      <charset val="18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5" fillId="0" borderId="0"/>
  </cellStyleXfs>
  <cellXfs count="649">
    <xf numFmtId="0" fontId="0" fillId="0" borderId="0" xfId="0"/>
    <xf numFmtId="0" fontId="0" fillId="0" borderId="0" xfId="0"/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 wrapText="1"/>
    </xf>
    <xf numFmtId="1" fontId="1" fillId="0" borderId="1" xfId="0" applyNumberFormat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center"/>
    </xf>
    <xf numFmtId="2" fontId="1" fillId="0" borderId="1" xfId="0" applyNumberFormat="1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164" fontId="1" fillId="0" borderId="1" xfId="0" quotePrefix="1" applyNumberFormat="1" applyFont="1" applyFill="1" applyBorder="1" applyAlignment="1">
      <alignment horizontal="center"/>
    </xf>
    <xf numFmtId="0" fontId="1" fillId="0" borderId="1" xfId="0" applyFont="1" applyFill="1" applyBorder="1" applyAlignment="1">
      <alignment horizontal="left"/>
    </xf>
    <xf numFmtId="0" fontId="1" fillId="0" borderId="8" xfId="0" applyFont="1" applyFill="1" applyBorder="1" applyAlignment="1">
      <alignment horizontal="center" wrapText="1"/>
    </xf>
    <xf numFmtId="0" fontId="1" fillId="0" borderId="9" xfId="0" applyFont="1" applyFill="1" applyBorder="1" applyAlignment="1">
      <alignment horizontal="center" wrapText="1"/>
    </xf>
    <xf numFmtId="0" fontId="1" fillId="0" borderId="9" xfId="0" applyFont="1" applyFill="1" applyBorder="1" applyAlignment="1">
      <alignment horizontal="center"/>
    </xf>
    <xf numFmtId="2" fontId="1" fillId="0" borderId="1" xfId="0" applyNumberFormat="1" applyFont="1" applyFill="1" applyBorder="1" applyAlignment="1">
      <alignment horizontal="center" shrinkToFit="1"/>
    </xf>
    <xf numFmtId="166" fontId="7" fillId="0" borderId="1" xfId="0" applyNumberFormat="1" applyFont="1" applyFill="1" applyBorder="1" applyAlignment="1">
      <alignment horizontal="center" shrinkToFit="1"/>
    </xf>
    <xf numFmtId="166" fontId="11" fillId="0" borderId="1" xfId="0" applyNumberFormat="1" applyFont="1" applyFill="1" applyBorder="1" applyAlignment="1">
      <alignment horizontal="center" shrinkToFit="1"/>
    </xf>
    <xf numFmtId="0" fontId="7" fillId="0" borderId="1" xfId="0" applyFont="1" applyFill="1" applyBorder="1" applyAlignment="1">
      <alignment horizontal="center"/>
    </xf>
    <xf numFmtId="2" fontId="7" fillId="0" borderId="1" xfId="0" applyNumberFormat="1" applyFont="1" applyFill="1" applyBorder="1" applyAlignment="1">
      <alignment horizontal="center"/>
    </xf>
    <xf numFmtId="164" fontId="7" fillId="0" borderId="1" xfId="0" applyNumberFormat="1" applyFont="1" applyFill="1" applyBorder="1" applyAlignment="1">
      <alignment horizontal="center"/>
    </xf>
    <xf numFmtId="164" fontId="11" fillId="0" borderId="1" xfId="0" applyNumberFormat="1" applyFont="1" applyFill="1" applyBorder="1" applyAlignment="1">
      <alignment horizontal="center" shrinkToFit="1"/>
    </xf>
    <xf numFmtId="0" fontId="12" fillId="5" borderId="0" xfId="0" applyFont="1" applyFill="1" applyBorder="1" applyAlignment="1">
      <alignment vertical="center"/>
    </xf>
    <xf numFmtId="0" fontId="13" fillId="5" borderId="0" xfId="0" applyFont="1" applyFill="1" applyBorder="1" applyAlignment="1">
      <alignment vertical="center"/>
    </xf>
    <xf numFmtId="0" fontId="14" fillId="3" borderId="4" xfId="0" applyFont="1" applyFill="1" applyBorder="1" applyAlignment="1">
      <alignment horizontal="left"/>
    </xf>
    <xf numFmtId="0" fontId="15" fillId="3" borderId="0" xfId="0" applyFont="1" applyFill="1"/>
    <xf numFmtId="0" fontId="16" fillId="3" borderId="0" xfId="0" applyFont="1" applyFill="1" applyBorder="1" applyAlignment="1">
      <alignment horizontal="left"/>
    </xf>
    <xf numFmtId="0" fontId="14" fillId="3" borderId="4" xfId="0" applyFont="1" applyFill="1" applyBorder="1"/>
    <xf numFmtId="0" fontId="14" fillId="3" borderId="0" xfId="0" applyFont="1" applyFill="1" applyBorder="1" applyAlignment="1">
      <alignment horizontal="left"/>
    </xf>
    <xf numFmtId="3" fontId="14" fillId="2" borderId="1" xfId="0" applyNumberFormat="1" applyFont="1" applyFill="1" applyBorder="1" applyAlignment="1">
      <alignment horizontal="center" vertical="center"/>
    </xf>
    <xf numFmtId="0" fontId="14" fillId="3" borderId="0" xfId="0" applyFont="1" applyFill="1"/>
    <xf numFmtId="3" fontId="14" fillId="3" borderId="0" xfId="0" applyNumberFormat="1" applyFont="1" applyFill="1" applyBorder="1" applyAlignment="1">
      <alignment horizontal="center" vertical="center"/>
    </xf>
    <xf numFmtId="0" fontId="15" fillId="5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7" fillId="3" borderId="13" xfId="0" applyFont="1" applyFill="1" applyBorder="1"/>
    <xf numFmtId="0" fontId="17" fillId="3" borderId="14" xfId="0" applyFont="1" applyFill="1" applyBorder="1"/>
    <xf numFmtId="0" fontId="17" fillId="3" borderId="14" xfId="0" applyFont="1" applyFill="1" applyBorder="1" applyAlignment="1">
      <alignment horizontal="center"/>
    </xf>
    <xf numFmtId="0" fontId="15" fillId="3" borderId="15" xfId="0" applyFont="1" applyFill="1" applyBorder="1"/>
    <xf numFmtId="0" fontId="18" fillId="0" borderId="0" xfId="0" applyFont="1" applyFill="1" applyBorder="1"/>
    <xf numFmtId="0" fontId="20" fillId="3" borderId="4" xfId="0" applyFont="1" applyFill="1" applyBorder="1"/>
    <xf numFmtId="0" fontId="20" fillId="3" borderId="0" xfId="0" applyFont="1" applyFill="1" applyBorder="1"/>
    <xf numFmtId="3" fontId="14" fillId="3" borderId="2" xfId="0" applyNumberFormat="1" applyFont="1" applyFill="1" applyBorder="1" applyAlignment="1">
      <alignment horizontal="center" vertical="center"/>
    </xf>
    <xf numFmtId="0" fontId="15" fillId="3" borderId="24" xfId="0" applyFont="1" applyFill="1" applyBorder="1"/>
    <xf numFmtId="3" fontId="14" fillId="2" borderId="12" xfId="0" applyNumberFormat="1" applyFont="1" applyFill="1" applyBorder="1" applyAlignment="1">
      <alignment horizontal="center"/>
    </xf>
    <xf numFmtId="0" fontId="15" fillId="3" borderId="7" xfId="0" applyFont="1" applyFill="1" applyBorder="1"/>
    <xf numFmtId="3" fontId="14" fillId="2" borderId="1" xfId="0" applyNumberFormat="1" applyFont="1" applyFill="1" applyBorder="1" applyAlignment="1">
      <alignment horizontal="center"/>
    </xf>
    <xf numFmtId="0" fontId="15" fillId="0" borderId="0" xfId="0" applyFont="1" applyFill="1"/>
    <xf numFmtId="0" fontId="14" fillId="0" borderId="0" xfId="0" applyFont="1" applyAlignment="1">
      <alignment horizontal="center"/>
    </xf>
    <xf numFmtId="0" fontId="14" fillId="0" borderId="0" xfId="0" applyFont="1" applyFill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 wrapText="1"/>
    </xf>
    <xf numFmtId="0" fontId="15" fillId="0" borderId="0" xfId="0" applyFont="1" applyFill="1" applyBorder="1"/>
    <xf numFmtId="0" fontId="14" fillId="0" borderId="0" xfId="0" applyFont="1" applyFill="1" applyAlignment="1">
      <alignment horizontal="right"/>
    </xf>
    <xf numFmtId="3" fontId="14" fillId="0" borderId="1" xfId="0" applyNumberFormat="1" applyFont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3" fontId="23" fillId="3" borderId="25" xfId="0" applyNumberFormat="1" applyFont="1" applyFill="1" applyBorder="1" applyAlignment="1">
      <alignment horizontal="left" vertical="center"/>
    </xf>
    <xf numFmtId="0" fontId="14" fillId="3" borderId="0" xfId="0" applyFont="1" applyFill="1" applyBorder="1"/>
    <xf numFmtId="0" fontId="24" fillId="3" borderId="3" xfId="0" applyFont="1" applyFill="1" applyBorder="1"/>
    <xf numFmtId="0" fontId="24" fillId="3" borderId="2" xfId="0" applyFont="1" applyFill="1" applyBorder="1"/>
    <xf numFmtId="0" fontId="14" fillId="3" borderId="0" xfId="0" applyFont="1" applyFill="1" applyBorder="1" applyAlignment="1">
      <alignment horizontal="center"/>
    </xf>
    <xf numFmtId="0" fontId="25" fillId="2" borderId="1" xfId="0" applyFont="1" applyFill="1" applyBorder="1" applyAlignment="1">
      <alignment horizontal="center"/>
    </xf>
    <xf numFmtId="0" fontId="14" fillId="3" borderId="7" xfId="0" applyFont="1" applyFill="1" applyBorder="1"/>
    <xf numFmtId="0" fontId="24" fillId="0" borderId="0" xfId="0" applyFont="1" applyAlignment="1">
      <alignment horizontal="right"/>
    </xf>
    <xf numFmtId="164" fontId="14" fillId="0" borderId="0" xfId="0" applyNumberFormat="1" applyFont="1" applyFill="1" applyBorder="1" applyAlignment="1">
      <alignment horizontal="center"/>
    </xf>
    <xf numFmtId="0" fontId="15" fillId="3" borderId="4" xfId="0" applyFont="1" applyFill="1" applyBorder="1"/>
    <xf numFmtId="0" fontId="15" fillId="3" borderId="0" xfId="0" applyFont="1" applyFill="1" applyBorder="1"/>
    <xf numFmtId="0" fontId="26" fillId="0" borderId="0" xfId="0" applyFont="1"/>
    <xf numFmtId="0" fontId="17" fillId="3" borderId="2" xfId="0" applyFont="1" applyFill="1" applyBorder="1" applyAlignment="1">
      <alignment horizontal="center"/>
    </xf>
    <xf numFmtId="0" fontId="14" fillId="0" borderId="1" xfId="0" applyFont="1" applyFill="1" applyBorder="1"/>
    <xf numFmtId="0" fontId="15" fillId="3" borderId="2" xfId="0" applyFont="1" applyFill="1" applyBorder="1"/>
    <xf numFmtId="0" fontId="24" fillId="3" borderId="24" xfId="0" applyFont="1" applyFill="1" applyBorder="1"/>
    <xf numFmtId="165" fontId="14" fillId="0" borderId="0" xfId="0" applyNumberFormat="1" applyFont="1" applyFill="1" applyBorder="1" applyAlignment="1">
      <alignment horizontal="left"/>
    </xf>
    <xf numFmtId="165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/>
    <xf numFmtId="0" fontId="15" fillId="3" borderId="16" xfId="0" applyFont="1" applyFill="1" applyBorder="1"/>
    <xf numFmtId="0" fontId="15" fillId="3" borderId="10" xfId="0" applyFont="1" applyFill="1" applyBorder="1"/>
    <xf numFmtId="0" fontId="15" fillId="3" borderId="17" xfId="0" applyFont="1" applyFill="1" applyBorder="1"/>
    <xf numFmtId="0" fontId="29" fillId="2" borderId="4" xfId="0" applyFont="1" applyFill="1" applyBorder="1"/>
    <xf numFmtId="0" fontId="14" fillId="2" borderId="0" xfId="0" applyFont="1" applyFill="1" applyBorder="1" applyAlignment="1">
      <alignment horizontal="center" wrapText="1"/>
    </xf>
    <xf numFmtId="0" fontId="15" fillId="2" borderId="0" xfId="0" applyFont="1" applyFill="1" applyBorder="1"/>
    <xf numFmtId="0" fontId="14" fillId="2" borderId="7" xfId="0" applyFont="1" applyFill="1" applyBorder="1"/>
    <xf numFmtId="0" fontId="24" fillId="2" borderId="4" xfId="0" applyFont="1" applyFill="1" applyBorder="1" applyAlignment="1">
      <alignment horizontal="left"/>
    </xf>
    <xf numFmtId="0" fontId="14" fillId="2" borderId="7" xfId="0" applyFont="1" applyFill="1" applyBorder="1" applyAlignment="1">
      <alignment horizontal="left"/>
    </xf>
    <xf numFmtId="0" fontId="14" fillId="0" borderId="0" xfId="0" applyFont="1" applyFill="1" applyBorder="1" applyAlignment="1">
      <alignment horizontal="left"/>
    </xf>
    <xf numFmtId="0" fontId="30" fillId="0" borderId="0" xfId="0" applyFont="1" applyFill="1" applyBorder="1" applyAlignment="1">
      <alignment horizontal="left"/>
    </xf>
    <xf numFmtId="0" fontId="14" fillId="2" borderId="3" xfId="0" applyFont="1" applyFill="1" applyBorder="1"/>
    <xf numFmtId="0" fontId="14" fillId="2" borderId="7" xfId="0" applyFont="1" applyFill="1" applyBorder="1" applyAlignment="1">
      <alignment horizontal="center"/>
    </xf>
    <xf numFmtId="0" fontId="14" fillId="2" borderId="4" xfId="0" applyFont="1" applyFill="1" applyBorder="1"/>
    <xf numFmtId="165" fontId="14" fillId="2" borderId="0" xfId="0" applyNumberFormat="1" applyFont="1" applyFill="1" applyBorder="1" applyAlignment="1">
      <alignment horizontal="center"/>
    </xf>
    <xf numFmtId="165" fontId="14" fillId="2" borderId="7" xfId="0" applyNumberFormat="1" applyFont="1" applyFill="1" applyBorder="1" applyAlignment="1">
      <alignment horizontal="center"/>
    </xf>
    <xf numFmtId="165" fontId="14" fillId="2" borderId="2" xfId="0" applyNumberFormat="1" applyFont="1" applyFill="1" applyBorder="1" applyAlignment="1">
      <alignment horizontal="center"/>
    </xf>
    <xf numFmtId="165" fontId="24" fillId="2" borderId="0" xfId="0" applyNumberFormat="1" applyFont="1" applyFill="1" applyBorder="1" applyAlignment="1">
      <alignment horizontal="center"/>
    </xf>
    <xf numFmtId="0" fontId="15" fillId="2" borderId="4" xfId="0" applyFont="1" applyFill="1" applyBorder="1"/>
    <xf numFmtId="0" fontId="15" fillId="2" borderId="7" xfId="0" applyFont="1" applyFill="1" applyBorder="1"/>
    <xf numFmtId="0" fontId="31" fillId="2" borderId="4" xfId="0" applyFont="1" applyFill="1" applyBorder="1"/>
    <xf numFmtId="0" fontId="31" fillId="2" borderId="0" xfId="0" applyFont="1" applyFill="1" applyBorder="1"/>
    <xf numFmtId="0" fontId="14" fillId="2" borderId="0" xfId="0" applyFont="1" applyFill="1" applyBorder="1"/>
    <xf numFmtId="0" fontId="32" fillId="2" borderId="7" xfId="0" applyFont="1" applyFill="1" applyBorder="1"/>
    <xf numFmtId="0" fontId="31" fillId="0" borderId="0" xfId="0" applyFont="1" applyFill="1" applyBorder="1"/>
    <xf numFmtId="0" fontId="14" fillId="0" borderId="28" xfId="0" applyFont="1" applyBorder="1" applyAlignment="1">
      <alignment horizontal="center"/>
    </xf>
    <xf numFmtId="0" fontId="14" fillId="0" borderId="29" xfId="0" applyFont="1" applyBorder="1" applyAlignment="1">
      <alignment horizontal="center"/>
    </xf>
    <xf numFmtId="0" fontId="14" fillId="0" borderId="23" xfId="0" applyFont="1" applyBorder="1"/>
    <xf numFmtId="0" fontId="15" fillId="0" borderId="12" xfId="0" applyFont="1" applyBorder="1"/>
    <xf numFmtId="167" fontId="14" fillId="0" borderId="1" xfId="0" applyNumberFormat="1" applyFont="1" applyBorder="1" applyAlignment="1">
      <alignment horizontal="center"/>
    </xf>
    <xf numFmtId="167" fontId="14" fillId="0" borderId="31" xfId="0" applyNumberFormat="1" applyFont="1" applyBorder="1" applyAlignment="1">
      <alignment horizontal="center"/>
    </xf>
    <xf numFmtId="0" fontId="33" fillId="2" borderId="7" xfId="0" quotePrefix="1" applyFont="1" applyFill="1" applyBorder="1" applyAlignment="1">
      <alignment horizontal="left"/>
    </xf>
    <xf numFmtId="0" fontId="14" fillId="0" borderId="11" xfId="0" applyFont="1" applyBorder="1"/>
    <xf numFmtId="0" fontId="15" fillId="0" borderId="1" xfId="0" applyFont="1" applyBorder="1"/>
    <xf numFmtId="0" fontId="14" fillId="0" borderId="36" xfId="0" applyFont="1" applyBorder="1"/>
    <xf numFmtId="0" fontId="15" fillId="0" borderId="33" xfId="0" applyFont="1" applyBorder="1"/>
    <xf numFmtId="167" fontId="14" fillId="0" borderId="33" xfId="0" applyNumberFormat="1" applyFont="1" applyBorder="1" applyAlignment="1">
      <alignment horizontal="center"/>
    </xf>
    <xf numFmtId="167" fontId="14" fillId="0" borderId="34" xfId="0" applyNumberFormat="1" applyFont="1" applyBorder="1" applyAlignment="1">
      <alignment horizontal="center"/>
    </xf>
    <xf numFmtId="0" fontId="14" fillId="0" borderId="0" xfId="0" applyFont="1"/>
    <xf numFmtId="167" fontId="14" fillId="0" borderId="0" xfId="0" applyNumberFormat="1" applyFont="1" applyAlignment="1">
      <alignment horizontal="center"/>
    </xf>
    <xf numFmtId="0" fontId="15" fillId="0" borderId="0" xfId="0" applyFont="1" applyBorder="1"/>
    <xf numFmtId="0" fontId="34" fillId="2" borderId="0" xfId="0" applyFont="1" applyFill="1" applyBorder="1" applyAlignment="1">
      <alignment horizontal="center"/>
    </xf>
    <xf numFmtId="0" fontId="35" fillId="4" borderId="19" xfId="0" applyFont="1" applyFill="1" applyBorder="1" applyAlignment="1">
      <alignment horizontal="center" vertical="center"/>
    </xf>
    <xf numFmtId="0" fontId="36" fillId="4" borderId="19" xfId="0" applyFont="1" applyFill="1" applyBorder="1" applyAlignment="1">
      <alignment horizontal="center" vertical="center"/>
    </xf>
    <xf numFmtId="0" fontId="37" fillId="4" borderId="20" xfId="0" applyFont="1" applyFill="1" applyBorder="1" applyAlignment="1">
      <alignment horizontal="center" vertical="center"/>
    </xf>
    <xf numFmtId="0" fontId="38" fillId="4" borderId="20" xfId="0" applyFont="1" applyFill="1" applyBorder="1"/>
    <xf numFmtId="0" fontId="39" fillId="4" borderId="20" xfId="0" applyFont="1" applyFill="1" applyBorder="1" applyAlignment="1">
      <alignment horizontal="center" vertical="center"/>
    </xf>
    <xf numFmtId="0" fontId="40" fillId="4" borderId="20" xfId="0" applyFont="1" applyFill="1" applyBorder="1" applyAlignment="1">
      <alignment horizontal="center" vertical="center"/>
    </xf>
    <xf numFmtId="0" fontId="15" fillId="2" borderId="4" xfId="0" quotePrefix="1" applyFont="1" applyFill="1" applyBorder="1"/>
    <xf numFmtId="0" fontId="15" fillId="4" borderId="20" xfId="0" applyFont="1" applyFill="1" applyBorder="1"/>
    <xf numFmtId="0" fontId="41" fillId="4" borderId="20" xfId="0" applyFont="1" applyFill="1" applyBorder="1" applyAlignment="1">
      <alignment horizontal="center" vertical="center"/>
    </xf>
    <xf numFmtId="0" fontId="42" fillId="2" borderId="7" xfId="0" applyFont="1" applyFill="1" applyBorder="1"/>
    <xf numFmtId="0" fontId="35" fillId="4" borderId="20" xfId="0" applyFont="1" applyFill="1" applyBorder="1" applyAlignment="1">
      <alignment horizontal="center" vertical="center"/>
    </xf>
    <xf numFmtId="0" fontId="14" fillId="4" borderId="20" xfId="0" applyFont="1" applyFill="1" applyBorder="1"/>
    <xf numFmtId="0" fontId="15" fillId="0" borderId="16" xfId="0" applyFont="1" applyBorder="1"/>
    <xf numFmtId="0" fontId="43" fillId="4" borderId="21" xfId="0" applyFont="1" applyFill="1" applyBorder="1" applyAlignment="1">
      <alignment vertical="center"/>
    </xf>
    <xf numFmtId="0" fontId="15" fillId="4" borderId="21" xfId="0" applyFont="1" applyFill="1" applyBorder="1"/>
    <xf numFmtId="0" fontId="32" fillId="2" borderId="17" xfId="0" applyFont="1" applyFill="1" applyBorder="1"/>
    <xf numFmtId="0" fontId="29" fillId="0" borderId="1" xfId="0" applyFont="1" applyFill="1" applyBorder="1"/>
    <xf numFmtId="0" fontId="15" fillId="3" borderId="13" xfId="0" applyFont="1" applyFill="1" applyBorder="1"/>
    <xf numFmtId="0" fontId="15" fillId="3" borderId="14" xfId="0" applyFont="1" applyFill="1" applyBorder="1"/>
    <xf numFmtId="0" fontId="29" fillId="0" borderId="11" xfId="0" applyFont="1" applyFill="1" applyBorder="1"/>
    <xf numFmtId="0" fontId="14" fillId="0" borderId="1" xfId="0" quotePrefix="1" applyFont="1" applyFill="1" applyBorder="1"/>
    <xf numFmtId="0" fontId="31" fillId="3" borderId="2" xfId="0" applyFont="1" applyFill="1" applyBorder="1"/>
    <xf numFmtId="0" fontId="24" fillId="0" borderId="11" xfId="0" applyFont="1" applyFill="1" applyBorder="1" applyAlignment="1">
      <alignment horizontal="right"/>
    </xf>
    <xf numFmtId="0" fontId="14" fillId="3" borderId="4" xfId="0" applyFont="1" applyFill="1" applyBorder="1" applyAlignment="1">
      <alignment horizontal="right"/>
    </xf>
    <xf numFmtId="3" fontId="14" fillId="0" borderId="12" xfId="0" applyNumberFormat="1" applyFont="1" applyFill="1" applyBorder="1" applyAlignment="1">
      <alignment horizontal="center"/>
    </xf>
    <xf numFmtId="0" fontId="17" fillId="3" borderId="7" xfId="0" applyFont="1" applyFill="1" applyBorder="1"/>
    <xf numFmtId="0" fontId="14" fillId="0" borderId="11" xfId="0" applyFont="1" applyFill="1" applyBorder="1" applyAlignment="1">
      <alignment horizontal="right"/>
    </xf>
    <xf numFmtId="0" fontId="15" fillId="0" borderId="26" xfId="0" applyFont="1" applyFill="1" applyBorder="1"/>
    <xf numFmtId="0" fontId="29" fillId="0" borderId="0" xfId="0" applyFont="1" applyBorder="1"/>
    <xf numFmtId="0" fontId="45" fillId="0" borderId="0" xfId="0" applyFont="1" applyFill="1" applyBorder="1" applyAlignment="1">
      <alignment horizontal="left"/>
    </xf>
    <xf numFmtId="0" fontId="15" fillId="0" borderId="0" xfId="0" applyFont="1" applyAlignment="1">
      <alignment horizontal="center"/>
    </xf>
    <xf numFmtId="0" fontId="44" fillId="3" borderId="4" xfId="0" applyFont="1" applyFill="1" applyBorder="1" applyAlignment="1">
      <alignment horizontal="left"/>
    </xf>
    <xf numFmtId="0" fontId="14" fillId="0" borderId="0" xfId="0" applyFont="1" applyBorder="1"/>
    <xf numFmtId="0" fontId="17" fillId="3" borderId="4" xfId="0" applyFont="1" applyFill="1" applyBorder="1"/>
    <xf numFmtId="0" fontId="17" fillId="3" borderId="0" xfId="0" applyFont="1" applyFill="1" applyBorder="1"/>
    <xf numFmtId="0" fontId="17" fillId="3" borderId="0" xfId="0" applyFont="1" applyFill="1" applyBorder="1" applyAlignment="1">
      <alignment horizontal="center"/>
    </xf>
    <xf numFmtId="0" fontId="20" fillId="3" borderId="3" xfId="0" applyFont="1" applyFill="1" applyBorder="1"/>
    <xf numFmtId="0" fontId="20" fillId="3" borderId="2" xfId="0" applyFont="1" applyFill="1" applyBorder="1"/>
    <xf numFmtId="3" fontId="14" fillId="3" borderId="2" xfId="0" applyNumberFormat="1" applyFont="1" applyFill="1" applyBorder="1" applyAlignment="1">
      <alignment horizontal="center"/>
    </xf>
    <xf numFmtId="0" fontId="14" fillId="0" borderId="2" xfId="0" applyFont="1" applyFill="1" applyBorder="1" applyAlignment="1">
      <alignment horizontal="center" wrapText="1"/>
    </xf>
    <xf numFmtId="0" fontId="46" fillId="3" borderId="4" xfId="0" applyFont="1" applyFill="1" applyBorder="1"/>
    <xf numFmtId="0" fontId="14" fillId="0" borderId="22" xfId="0" applyFont="1" applyBorder="1" applyAlignment="1">
      <alignment horizontal="center"/>
    </xf>
    <xf numFmtId="0" fontId="14" fillId="0" borderId="28" xfId="0" applyFont="1" applyBorder="1"/>
    <xf numFmtId="0" fontId="15" fillId="0" borderId="28" xfId="0" applyFont="1" applyBorder="1"/>
    <xf numFmtId="164" fontId="14" fillId="0" borderId="28" xfId="0" applyNumberFormat="1" applyFont="1" applyBorder="1" applyAlignment="1">
      <alignment horizontal="center"/>
    </xf>
    <xf numFmtId="164" fontId="14" fillId="0" borderId="29" xfId="0" applyNumberFormat="1" applyFont="1" applyBorder="1" applyAlignment="1">
      <alignment horizontal="center"/>
    </xf>
    <xf numFmtId="0" fontId="14" fillId="0" borderId="1" xfId="0" applyFont="1" applyBorder="1"/>
    <xf numFmtId="164" fontId="14" fillId="0" borderId="1" xfId="0" applyNumberFormat="1" applyFont="1" applyBorder="1" applyAlignment="1">
      <alignment horizontal="center"/>
    </xf>
    <xf numFmtId="164" fontId="14" fillId="0" borderId="31" xfId="0" applyNumberFormat="1" applyFont="1" applyBorder="1" applyAlignment="1">
      <alignment horizontal="center"/>
    </xf>
    <xf numFmtId="0" fontId="14" fillId="0" borderId="33" xfId="0" applyFont="1" applyBorder="1"/>
    <xf numFmtId="164" fontId="14" fillId="0" borderId="33" xfId="0" applyNumberFormat="1" applyFont="1" applyBorder="1" applyAlignment="1">
      <alignment horizontal="center"/>
    </xf>
    <xf numFmtId="164" fontId="14" fillId="0" borderId="34" xfId="0" applyNumberFormat="1" applyFont="1" applyBorder="1" applyAlignment="1">
      <alignment horizontal="center"/>
    </xf>
    <xf numFmtId="0" fontId="15" fillId="2" borderId="0" xfId="0" applyFont="1" applyFill="1"/>
    <xf numFmtId="0" fontId="29" fillId="2" borderId="0" xfId="0" applyFont="1" applyFill="1"/>
    <xf numFmtId="1" fontId="14" fillId="0" borderId="1" xfId="0" applyNumberFormat="1" applyFont="1" applyBorder="1" applyAlignment="1">
      <alignment horizontal="center"/>
    </xf>
    <xf numFmtId="0" fontId="14" fillId="0" borderId="36" xfId="0" applyFont="1" applyFill="1" applyBorder="1"/>
    <xf numFmtId="1" fontId="14" fillId="0" borderId="33" xfId="0" applyNumberFormat="1" applyFont="1" applyBorder="1" applyAlignment="1">
      <alignment horizontal="center"/>
    </xf>
    <xf numFmtId="1" fontId="14" fillId="0" borderId="34" xfId="0" applyNumberFormat="1" applyFont="1" applyBorder="1" applyAlignment="1">
      <alignment horizontal="center"/>
    </xf>
    <xf numFmtId="0" fontId="14" fillId="0" borderId="35" xfId="0" applyFont="1" applyBorder="1"/>
    <xf numFmtId="0" fontId="14" fillId="0" borderId="1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29" fillId="2" borderId="0" xfId="0" applyFont="1" applyFill="1" applyBorder="1"/>
    <xf numFmtId="0" fontId="14" fillId="2" borderId="0" xfId="0" applyFont="1" applyFill="1"/>
    <xf numFmtId="0" fontId="29" fillId="0" borderId="35" xfId="0" applyFont="1" applyBorder="1"/>
    <xf numFmtId="0" fontId="14" fillId="0" borderId="36" xfId="0" applyFont="1" applyBorder="1" applyAlignment="1">
      <alignment horizontal="left"/>
    </xf>
    <xf numFmtId="0" fontId="14" fillId="0" borderId="33" xfId="0" applyFont="1" applyBorder="1" applyAlignment="1">
      <alignment horizontal="left"/>
    </xf>
    <xf numFmtId="0" fontId="15" fillId="0" borderId="33" xfId="0" applyFont="1" applyBorder="1" applyAlignment="1">
      <alignment horizontal="center"/>
    </xf>
    <xf numFmtId="0" fontId="15" fillId="3" borderId="13" xfId="0" quotePrefix="1" applyFont="1" applyFill="1" applyBorder="1"/>
    <xf numFmtId="0" fontId="14" fillId="0" borderId="11" xfId="0" applyFont="1" applyBorder="1" applyAlignment="1">
      <alignment horizontal="left"/>
    </xf>
    <xf numFmtId="0" fontId="14" fillId="0" borderId="1" xfId="0" quotePrefix="1" applyFont="1" applyBorder="1"/>
    <xf numFmtId="3" fontId="14" fillId="0" borderId="12" xfId="0" applyNumberFormat="1" applyFont="1" applyFill="1" applyBorder="1" applyAlignment="1">
      <alignment horizontal="center" vertical="center"/>
    </xf>
    <xf numFmtId="0" fontId="45" fillId="3" borderId="7" xfId="0" applyFont="1" applyFill="1" applyBorder="1"/>
    <xf numFmtId="0" fontId="47" fillId="3" borderId="4" xfId="0" applyFont="1" applyFill="1" applyBorder="1" applyAlignment="1">
      <alignment horizontal="left"/>
    </xf>
    <xf numFmtId="0" fontId="47" fillId="3" borderId="0" xfId="0" applyFont="1" applyFill="1" applyBorder="1" applyAlignment="1">
      <alignment horizontal="left"/>
    </xf>
    <xf numFmtId="0" fontId="14" fillId="0" borderId="38" xfId="0" applyFont="1" applyBorder="1" applyAlignment="1">
      <alignment horizontal="left"/>
    </xf>
    <xf numFmtId="0" fontId="14" fillId="0" borderId="22" xfId="0" applyFont="1" applyBorder="1"/>
    <xf numFmtId="0" fontId="15" fillId="0" borderId="22" xfId="0" applyFont="1" applyBorder="1"/>
    <xf numFmtId="164" fontId="14" fillId="0" borderId="22" xfId="0" applyNumberFormat="1" applyFont="1" applyBorder="1" applyAlignment="1">
      <alignment horizontal="center"/>
    </xf>
    <xf numFmtId="164" fontId="14" fillId="0" borderId="40" xfId="0" applyNumberFormat="1" applyFont="1" applyBorder="1" applyAlignment="1">
      <alignment horizontal="center"/>
    </xf>
    <xf numFmtId="0" fontId="14" fillId="0" borderId="11" xfId="0" applyFont="1" applyFill="1" applyBorder="1" applyAlignment="1">
      <alignment horizontal="left"/>
    </xf>
    <xf numFmtId="0" fontId="14" fillId="3" borderId="2" xfId="0" applyFont="1" applyFill="1" applyBorder="1" applyAlignment="1">
      <alignment horizontal="center"/>
    </xf>
    <xf numFmtId="0" fontId="14" fillId="0" borderId="1" xfId="0" applyFont="1" applyFill="1" applyBorder="1" applyAlignment="1">
      <alignment horizontal="center" vertical="center"/>
    </xf>
    <xf numFmtId="168" fontId="17" fillId="3" borderId="0" xfId="0" applyNumberFormat="1" applyFont="1" applyFill="1" applyBorder="1" applyAlignment="1">
      <alignment horizontal="center"/>
    </xf>
    <xf numFmtId="0" fontId="14" fillId="0" borderId="36" xfId="0" applyFont="1" applyFill="1" applyBorder="1" applyAlignment="1">
      <alignment horizontal="left"/>
    </xf>
    <xf numFmtId="0" fontId="14" fillId="0" borderId="35" xfId="0" applyFont="1" applyBorder="1" applyAlignment="1">
      <alignment horizontal="left"/>
    </xf>
    <xf numFmtId="0" fontId="14" fillId="0" borderId="28" xfId="0" applyFont="1" applyBorder="1" applyAlignment="1">
      <alignment horizontal="left"/>
    </xf>
    <xf numFmtId="0" fontId="14" fillId="0" borderId="14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0" fontId="48" fillId="3" borderId="4" xfId="0" applyFont="1" applyFill="1" applyBorder="1" applyAlignment="1">
      <alignment horizontal="left"/>
    </xf>
    <xf numFmtId="0" fontId="29" fillId="0" borderId="0" xfId="0" applyFont="1"/>
    <xf numFmtId="0" fontId="29" fillId="0" borderId="27" xfId="0" applyFont="1" applyBorder="1"/>
    <xf numFmtId="0" fontId="14" fillId="0" borderId="37" xfId="0" applyFont="1" applyBorder="1" applyAlignment="1">
      <alignment horizontal="left"/>
    </xf>
    <xf numFmtId="1" fontId="14" fillId="0" borderId="28" xfId="0" applyNumberFormat="1" applyFont="1" applyBorder="1" applyAlignment="1">
      <alignment horizontal="center"/>
    </xf>
    <xf numFmtId="1" fontId="14" fillId="0" borderId="29" xfId="0" applyNumberFormat="1" applyFont="1" applyBorder="1" applyAlignment="1">
      <alignment horizontal="center"/>
    </xf>
    <xf numFmtId="0" fontId="14" fillId="0" borderId="30" xfId="0" applyFont="1" applyBorder="1"/>
    <xf numFmtId="0" fontId="15" fillId="0" borderId="31" xfId="0" applyFont="1" applyBorder="1"/>
    <xf numFmtId="0" fontId="14" fillId="0" borderId="32" xfId="0" applyFont="1" applyBorder="1"/>
    <xf numFmtId="0" fontId="14" fillId="0" borderId="33" xfId="0" quotePrefix="1" applyFont="1" applyBorder="1"/>
    <xf numFmtId="0" fontId="15" fillId="0" borderId="34" xfId="0" applyFont="1" applyBorder="1"/>
    <xf numFmtId="0" fontId="15" fillId="3" borderId="0" xfId="0" applyFont="1" applyFill="1" applyBorder="1" applyAlignment="1">
      <alignment horizontal="left"/>
    </xf>
    <xf numFmtId="0" fontId="29" fillId="2" borderId="6" xfId="0" applyFont="1" applyFill="1" applyBorder="1"/>
    <xf numFmtId="0" fontId="14" fillId="2" borderId="6" xfId="0" applyFont="1" applyFill="1" applyBorder="1"/>
    <xf numFmtId="0" fontId="15" fillId="2" borderId="6" xfId="0" applyFont="1" applyFill="1" applyBorder="1"/>
    <xf numFmtId="0" fontId="15" fillId="2" borderId="42" xfId="0" applyFont="1" applyFill="1" applyBorder="1"/>
    <xf numFmtId="164" fontId="17" fillId="3" borderId="0" xfId="0" applyNumberFormat="1" applyFont="1" applyFill="1" applyBorder="1" applyAlignment="1">
      <alignment horizontal="center"/>
    </xf>
    <xf numFmtId="164" fontId="14" fillId="0" borderId="1" xfId="0" applyNumberFormat="1" applyFont="1" applyFill="1" applyBorder="1" applyAlignment="1">
      <alignment horizontal="center"/>
    </xf>
    <xf numFmtId="0" fontId="24" fillId="0" borderId="35" xfId="0" applyFont="1" applyBorder="1" applyAlignment="1">
      <alignment horizontal="left"/>
    </xf>
    <xf numFmtId="0" fontId="22" fillId="0" borderId="28" xfId="0" applyFont="1" applyBorder="1" applyAlignment="1">
      <alignment horizontal="left"/>
    </xf>
    <xf numFmtId="0" fontId="14" fillId="0" borderId="11" xfId="0" applyFont="1" applyBorder="1" applyAlignment="1">
      <alignment horizontal="left" vertical="center"/>
    </xf>
    <xf numFmtId="0" fontId="15" fillId="3" borderId="0" xfId="0" applyFont="1" applyFill="1" applyBorder="1" applyAlignment="1">
      <alignment horizontal="center"/>
    </xf>
    <xf numFmtId="0" fontId="14" fillId="3" borderId="3" xfId="0" applyFont="1" applyFill="1" applyBorder="1" applyAlignment="1">
      <alignment horizontal="right"/>
    </xf>
    <xf numFmtId="164" fontId="17" fillId="3" borderId="2" xfId="0" applyNumberFormat="1" applyFont="1" applyFill="1" applyBorder="1" applyAlignment="1">
      <alignment horizontal="center"/>
    </xf>
    <xf numFmtId="164" fontId="17" fillId="3" borderId="0" xfId="0" applyNumberFormat="1" applyFont="1" applyFill="1" applyBorder="1" applyAlignment="1">
      <alignment horizontal="center" vertical="center"/>
    </xf>
    <xf numFmtId="0" fontId="14" fillId="0" borderId="36" xfId="0" applyFont="1" applyBorder="1" applyAlignment="1">
      <alignment horizontal="left" vertical="center"/>
    </xf>
    <xf numFmtId="0" fontId="24" fillId="0" borderId="35" xfId="0" applyFont="1" applyBorder="1"/>
    <xf numFmtId="0" fontId="14" fillId="0" borderId="38" xfId="0" applyFont="1" applyBorder="1"/>
    <xf numFmtId="0" fontId="14" fillId="0" borderId="22" xfId="0" applyFont="1" applyFill="1" applyBorder="1"/>
    <xf numFmtId="0" fontId="14" fillId="0" borderId="11" xfId="0" applyFont="1" applyFill="1" applyBorder="1"/>
    <xf numFmtId="0" fontId="12" fillId="5" borderId="0" xfId="0" applyFont="1" applyFill="1" applyAlignment="1">
      <alignment vertical="center"/>
    </xf>
    <xf numFmtId="0" fontId="14" fillId="2" borderId="1" xfId="0" applyFont="1" applyFill="1" applyBorder="1" applyAlignment="1">
      <alignment horizontal="center"/>
    </xf>
    <xf numFmtId="0" fontId="49" fillId="3" borderId="4" xfId="0" applyFont="1" applyFill="1" applyBorder="1"/>
    <xf numFmtId="0" fontId="14" fillId="2" borderId="14" xfId="0" applyFont="1" applyFill="1" applyBorder="1" applyAlignment="1">
      <alignment horizontal="center" wrapText="1"/>
    </xf>
    <xf numFmtId="0" fontId="15" fillId="2" borderId="14" xfId="0" applyFont="1" applyFill="1" applyBorder="1"/>
    <xf numFmtId="0" fontId="15" fillId="2" borderId="15" xfId="0" applyFont="1" applyFill="1" applyBorder="1"/>
    <xf numFmtId="0" fontId="15" fillId="2" borderId="16" xfId="0" applyFont="1" applyFill="1" applyBorder="1"/>
    <xf numFmtId="0" fontId="15" fillId="2" borderId="10" xfId="0" applyFont="1" applyFill="1" applyBorder="1"/>
    <xf numFmtId="0" fontId="15" fillId="2" borderId="17" xfId="0" applyFont="1" applyFill="1" applyBorder="1"/>
    <xf numFmtId="164" fontId="7" fillId="0" borderId="12" xfId="0" applyNumberFormat="1" applyFont="1" applyFill="1" applyBorder="1" applyAlignment="1">
      <alignment horizontal="center" shrinkToFit="1"/>
    </xf>
    <xf numFmtId="1" fontId="1" fillId="0" borderId="12" xfId="0" applyNumberFormat="1" applyFont="1" applyFill="1" applyBorder="1" applyAlignment="1">
      <alignment horizontal="center"/>
    </xf>
    <xf numFmtId="164" fontId="11" fillId="0" borderId="12" xfId="0" applyNumberFormat="1" applyFont="1" applyFill="1" applyBorder="1" applyAlignment="1">
      <alignment horizontal="center" shrinkToFit="1"/>
    </xf>
    <xf numFmtId="164" fontId="1" fillId="0" borderId="12" xfId="0" applyNumberFormat="1" applyFont="1" applyFill="1" applyBorder="1" applyAlignment="1">
      <alignment horizontal="center"/>
    </xf>
    <xf numFmtId="164" fontId="7" fillId="0" borderId="12" xfId="0" applyNumberFormat="1" applyFont="1" applyFill="1" applyBorder="1" applyAlignment="1">
      <alignment horizontal="center"/>
    </xf>
    <xf numFmtId="1" fontId="1" fillId="0" borderId="12" xfId="0" applyNumberFormat="1" applyFont="1" applyFill="1" applyBorder="1" applyAlignment="1">
      <alignment horizontal="center" shrinkToFit="1"/>
    </xf>
    <xf numFmtId="2" fontId="7" fillId="0" borderId="12" xfId="0" applyNumberFormat="1" applyFont="1" applyFill="1" applyBorder="1" applyAlignment="1">
      <alignment horizontal="center"/>
    </xf>
    <xf numFmtId="164" fontId="11" fillId="0" borderId="12" xfId="0" applyNumberFormat="1" applyFont="1" applyFill="1" applyBorder="1" applyAlignment="1">
      <alignment horizontal="center"/>
    </xf>
    <xf numFmtId="165" fontId="1" fillId="0" borderId="12" xfId="0" applyNumberFormat="1" applyFont="1" applyFill="1" applyBorder="1" applyAlignment="1">
      <alignment horizontal="center"/>
    </xf>
    <xf numFmtId="166" fontId="11" fillId="0" borderId="1" xfId="0" applyNumberFormat="1" applyFont="1" applyFill="1" applyBorder="1" applyAlignment="1">
      <alignment horizontal="center"/>
    </xf>
    <xf numFmtId="164" fontId="11" fillId="0" borderId="1" xfId="0" applyNumberFormat="1" applyFont="1" applyFill="1" applyBorder="1" applyAlignment="1">
      <alignment horizontal="center"/>
    </xf>
    <xf numFmtId="165" fontId="1" fillId="0" borderId="1" xfId="0" applyNumberFormat="1" applyFont="1" applyFill="1" applyBorder="1" applyAlignment="1">
      <alignment horizontal="center"/>
    </xf>
    <xf numFmtId="1" fontId="11" fillId="0" borderId="1" xfId="0" applyNumberFormat="1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164" fontId="14" fillId="2" borderId="1" xfId="0" applyNumberFormat="1" applyFont="1" applyFill="1" applyBorder="1" applyAlignment="1">
      <alignment horizontal="center"/>
    </xf>
    <xf numFmtId="0" fontId="0" fillId="5" borderId="0" xfId="0" applyFill="1" applyBorder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50" fillId="3" borderId="0" xfId="0" applyFont="1" applyFill="1" applyBorder="1"/>
    <xf numFmtId="0" fontId="1" fillId="3" borderId="9" xfId="0" applyFont="1" applyFill="1" applyBorder="1" applyAlignment="1">
      <alignment horizontal="center" wrapText="1"/>
    </xf>
    <xf numFmtId="0" fontId="1" fillId="3" borderId="0" xfId="0" applyFont="1" applyFill="1" applyBorder="1" applyAlignment="1">
      <alignment horizontal="center" wrapText="1"/>
    </xf>
    <xf numFmtId="0" fontId="1" fillId="3" borderId="8" xfId="0" applyFont="1" applyFill="1" applyBorder="1" applyAlignment="1">
      <alignment horizontal="center" wrapText="1"/>
    </xf>
    <xf numFmtId="0" fontId="1" fillId="3" borderId="9" xfId="0" quotePrefix="1" applyFont="1" applyFill="1" applyBorder="1" applyAlignment="1">
      <alignment horizontal="center" wrapText="1"/>
    </xf>
    <xf numFmtId="0" fontId="1" fillId="3" borderId="0" xfId="0" quotePrefix="1" applyFont="1" applyFill="1" applyBorder="1" applyAlignment="1">
      <alignment horizontal="center" wrapText="1"/>
    </xf>
    <xf numFmtId="0" fontId="1" fillId="3" borderId="43" xfId="0" quotePrefix="1" applyFont="1" applyFill="1" applyBorder="1" applyAlignment="1">
      <alignment horizontal="center"/>
    </xf>
    <xf numFmtId="0" fontId="1" fillId="3" borderId="23" xfId="0" quotePrefix="1" applyFont="1" applyFill="1" applyBorder="1" applyAlignment="1">
      <alignment horizontal="center"/>
    </xf>
    <xf numFmtId="0" fontId="1" fillId="3" borderId="2" xfId="0" quotePrefix="1" applyFont="1" applyFill="1" applyBorder="1" applyAlignment="1">
      <alignment horizontal="center"/>
    </xf>
    <xf numFmtId="0" fontId="0" fillId="2" borderId="1" xfId="0" applyFill="1" applyBorder="1"/>
    <xf numFmtId="0" fontId="0" fillId="3" borderId="1" xfId="0" applyFill="1" applyBorder="1" applyAlignment="1">
      <alignment horizontal="center"/>
    </xf>
    <xf numFmtId="3" fontId="0" fillId="3" borderId="0" xfId="0" applyNumberFormat="1" applyFill="1" applyBorder="1" applyAlignment="1">
      <alignment horizontal="center"/>
    </xf>
    <xf numFmtId="3" fontId="0" fillId="3" borderId="1" xfId="0" applyNumberFormat="1" applyFill="1" applyBorder="1" applyAlignment="1">
      <alignment horizontal="center"/>
    </xf>
    <xf numFmtId="0" fontId="25" fillId="3" borderId="0" xfId="0" applyFont="1" applyFill="1" applyBorder="1"/>
    <xf numFmtId="164" fontId="17" fillId="2" borderId="1" xfId="0" applyNumberFormat="1" applyFont="1" applyFill="1" applyBorder="1" applyAlignment="1">
      <alignment horizontal="center"/>
    </xf>
    <xf numFmtId="0" fontId="51" fillId="2" borderId="1" xfId="0" applyFont="1" applyFill="1" applyBorder="1" applyAlignment="1">
      <alignment horizontal="center"/>
    </xf>
    <xf numFmtId="164" fontId="25" fillId="3" borderId="26" xfId="0" applyNumberFormat="1" applyFont="1" applyFill="1" applyBorder="1" applyAlignment="1">
      <alignment horizontal="center"/>
    </xf>
    <xf numFmtId="164" fontId="25" fillId="3" borderId="0" xfId="0" applyNumberFormat="1" applyFont="1" applyFill="1" applyBorder="1" applyAlignment="1">
      <alignment horizontal="center"/>
    </xf>
    <xf numFmtId="0" fontId="14" fillId="3" borderId="1" xfId="0" applyFont="1" applyFill="1" applyBorder="1" applyAlignment="1">
      <alignment horizontal="center"/>
    </xf>
    <xf numFmtId="164" fontId="17" fillId="2" borderId="22" xfId="0" applyNumberFormat="1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/>
    </xf>
    <xf numFmtId="1" fontId="17" fillId="2" borderId="1" xfId="0" applyNumberFormat="1" applyFont="1" applyFill="1" applyBorder="1" applyAlignment="1">
      <alignment horizontal="center"/>
    </xf>
    <xf numFmtId="0" fontId="52" fillId="3" borderId="0" xfId="0" applyFont="1" applyFill="1" applyBorder="1" applyAlignment="1">
      <alignment vertical="center"/>
    </xf>
    <xf numFmtId="0" fontId="53" fillId="3" borderId="0" xfId="0" applyFont="1" applyFill="1" applyBorder="1"/>
    <xf numFmtId="0" fontId="25" fillId="3" borderId="0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center"/>
    </xf>
    <xf numFmtId="0" fontId="25" fillId="3" borderId="0" xfId="0" applyFont="1" applyFill="1" applyBorder="1" applyAlignment="1">
      <alignment horizontal="left" wrapText="1"/>
    </xf>
    <xf numFmtId="0" fontId="48" fillId="3" borderId="0" xfId="0" applyFont="1" applyFill="1" applyBorder="1"/>
    <xf numFmtId="0" fontId="0" fillId="3" borderId="2" xfId="0" applyFill="1" applyBorder="1"/>
    <xf numFmtId="0" fontId="50" fillId="3" borderId="2" xfId="0" applyFont="1" applyFill="1" applyBorder="1"/>
    <xf numFmtId="0" fontId="1" fillId="3" borderId="4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23" xfId="0" applyFont="1" applyFill="1" applyBorder="1" applyAlignment="1">
      <alignment horizontal="center"/>
    </xf>
    <xf numFmtId="0" fontId="24" fillId="3" borderId="0" xfId="0" applyFont="1" applyFill="1"/>
    <xf numFmtId="0" fontId="14" fillId="2" borderId="1" xfId="0" applyFont="1" applyFill="1" applyBorder="1"/>
    <xf numFmtId="1" fontId="11" fillId="0" borderId="1" xfId="0" applyNumberFormat="1" applyFont="1" applyFill="1" applyBorder="1" applyAlignment="1">
      <alignment horizontal="center" shrinkToFit="1"/>
    </xf>
    <xf numFmtId="0" fontId="1" fillId="0" borderId="2" xfId="0" quotePrefix="1" applyFont="1" applyFill="1" applyBorder="1" applyAlignment="1">
      <alignment horizontal="center" wrapText="1"/>
    </xf>
    <xf numFmtId="0" fontId="1" fillId="0" borderId="2" xfId="0" applyFont="1" applyFill="1" applyBorder="1" applyAlignment="1">
      <alignment horizontal="center" wrapText="1"/>
    </xf>
    <xf numFmtId="0" fontId="1" fillId="0" borderId="0" xfId="0" applyFont="1" applyFill="1" applyAlignment="1">
      <alignment horizontal="center"/>
    </xf>
    <xf numFmtId="0" fontId="1" fillId="0" borderId="0" xfId="0" applyFont="1" applyFill="1" applyAlignment="1"/>
    <xf numFmtId="164" fontId="25" fillId="0" borderId="1" xfId="0" applyNumberFormat="1" applyFont="1" applyFill="1" applyBorder="1" applyAlignment="1">
      <alignment horizontal="center"/>
    </xf>
    <xf numFmtId="0" fontId="25" fillId="0" borderId="1" xfId="0" applyFont="1" applyFill="1" applyBorder="1" applyAlignment="1">
      <alignment horizontal="center"/>
    </xf>
    <xf numFmtId="166" fontId="2" fillId="0" borderId="1" xfId="0" applyNumberFormat="1" applyFont="1" applyFill="1" applyBorder="1" applyAlignment="1">
      <alignment horizontal="center" shrinkToFit="1"/>
    </xf>
    <xf numFmtId="0" fontId="1" fillId="0" borderId="26" xfId="0" applyFont="1" applyFill="1" applyBorder="1" applyAlignment="1">
      <alignment horizontal="center" wrapText="1"/>
    </xf>
    <xf numFmtId="164" fontId="14" fillId="0" borderId="12" xfId="0" applyNumberFormat="1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166" fontId="7" fillId="0" borderId="12" xfId="0" applyNumberFormat="1" applyFont="1" applyFill="1" applyBorder="1" applyAlignment="1">
      <alignment horizontal="center" shrinkToFit="1"/>
    </xf>
    <xf numFmtId="166" fontId="11" fillId="0" borderId="12" xfId="0" applyNumberFormat="1" applyFont="1" applyFill="1" applyBorder="1" applyAlignment="1">
      <alignment horizontal="center" shrinkToFit="1"/>
    </xf>
    <xf numFmtId="0" fontId="7" fillId="0" borderId="12" xfId="0" applyFont="1" applyFill="1" applyBorder="1" applyAlignment="1">
      <alignment horizontal="center"/>
    </xf>
    <xf numFmtId="166" fontId="11" fillId="0" borderId="12" xfId="0" applyNumberFormat="1" applyFont="1" applyFill="1" applyBorder="1" applyAlignment="1">
      <alignment horizontal="center"/>
    </xf>
    <xf numFmtId="2" fontId="1" fillId="0" borderId="12" xfId="0" applyNumberFormat="1" applyFont="1" applyFill="1" applyBorder="1" applyAlignment="1">
      <alignment horizontal="center" shrinkToFit="1"/>
    </xf>
    <xf numFmtId="0" fontId="25" fillId="3" borderId="2" xfId="0" applyFont="1" applyFill="1" applyBorder="1"/>
    <xf numFmtId="0" fontId="50" fillId="3" borderId="0" xfId="0" applyFont="1" applyFill="1" applyBorder="1" applyAlignment="1">
      <alignment horizontal="left"/>
    </xf>
    <xf numFmtId="0" fontId="55" fillId="2" borderId="13" xfId="0" applyFont="1" applyFill="1" applyBorder="1"/>
    <xf numFmtId="0" fontId="56" fillId="2" borderId="4" xfId="0" applyFont="1" applyFill="1" applyBorder="1" applyAlignment="1">
      <alignment horizontal="left"/>
    </xf>
    <xf numFmtId="0" fontId="57" fillId="3" borderId="0" xfId="0" applyFont="1" applyFill="1"/>
    <xf numFmtId="0" fontId="18" fillId="3" borderId="0" xfId="0" applyFont="1" applyFill="1"/>
    <xf numFmtId="0" fontId="49" fillId="3" borderId="1" xfId="0" applyFont="1" applyFill="1" applyBorder="1"/>
    <xf numFmtId="0" fontId="54" fillId="0" borderId="0" xfId="0" applyFont="1" applyFill="1" applyBorder="1" applyAlignment="1">
      <alignment horizontal="center" wrapText="1"/>
    </xf>
    <xf numFmtId="0" fontId="1" fillId="0" borderId="9" xfId="0" applyFont="1" applyFill="1" applyBorder="1" applyAlignment="1"/>
    <xf numFmtId="0" fontId="1" fillId="0" borderId="0" xfId="0" applyFont="1" applyFill="1" applyBorder="1" applyAlignment="1"/>
    <xf numFmtId="0" fontId="1" fillId="0" borderId="8" xfId="0" applyFont="1" applyFill="1" applyBorder="1" applyAlignment="1"/>
    <xf numFmtId="0" fontId="54" fillId="0" borderId="9" xfId="0" applyFont="1" applyFill="1" applyBorder="1" applyAlignment="1">
      <alignment horizontal="center" wrapText="1"/>
    </xf>
    <xf numFmtId="0" fontId="54" fillId="0" borderId="8" xfId="0" applyFont="1" applyFill="1" applyBorder="1" applyAlignment="1">
      <alignment horizontal="center" wrapText="1"/>
    </xf>
    <xf numFmtId="0" fontId="8" fillId="0" borderId="1" xfId="0" applyFont="1" applyFill="1" applyBorder="1" applyAlignment="1">
      <alignment horizontal="center"/>
    </xf>
    <xf numFmtId="0" fontId="1" fillId="0" borderId="33" xfId="0" applyFont="1" applyFill="1" applyBorder="1" applyAlignment="1"/>
    <xf numFmtId="164" fontId="1" fillId="0" borderId="33" xfId="0" applyNumberFormat="1" applyFont="1" applyFill="1" applyBorder="1" applyAlignment="1">
      <alignment horizontal="center"/>
    </xf>
    <xf numFmtId="0" fontId="1" fillId="0" borderId="12" xfId="0" applyFont="1" applyFill="1" applyBorder="1" applyAlignment="1"/>
    <xf numFmtId="0" fontId="1" fillId="0" borderId="1" xfId="0" applyFont="1" applyFill="1" applyBorder="1" applyAlignment="1"/>
    <xf numFmtId="0" fontId="0" fillId="0" borderId="0" xfId="0" applyFill="1" applyBorder="1"/>
    <xf numFmtId="1" fontId="11" fillId="0" borderId="12" xfId="0" applyNumberFormat="1" applyFont="1" applyFill="1" applyBorder="1" applyAlignment="1">
      <alignment horizontal="center"/>
    </xf>
    <xf numFmtId="0" fontId="11" fillId="0" borderId="12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 wrapText="1"/>
    </xf>
    <xf numFmtId="0" fontId="1" fillId="0" borderId="7" xfId="0" applyFont="1" applyFill="1" applyBorder="1" applyAlignment="1">
      <alignment horizontal="center" wrapText="1"/>
    </xf>
    <xf numFmtId="0" fontId="1" fillId="0" borderId="3" xfId="0" quotePrefix="1" applyFont="1" applyFill="1" applyBorder="1" applyAlignment="1">
      <alignment horizontal="center" wrapText="1"/>
    </xf>
    <xf numFmtId="0" fontId="1" fillId="0" borderId="24" xfId="0" quotePrefix="1" applyFont="1" applyFill="1" applyBorder="1" applyAlignment="1">
      <alignment horizontal="center" wrapText="1"/>
    </xf>
    <xf numFmtId="0" fontId="1" fillId="0" borderId="16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" fillId="0" borderId="17" xfId="0" applyFont="1" applyFill="1" applyBorder="1" applyAlignment="1">
      <alignment horizontal="center"/>
    </xf>
    <xf numFmtId="164" fontId="25" fillId="0" borderId="12" xfId="0" applyNumberFormat="1" applyFont="1" applyFill="1" applyBorder="1" applyAlignment="1">
      <alignment horizontal="center"/>
    </xf>
    <xf numFmtId="0" fontId="25" fillId="0" borderId="12" xfId="0" applyFont="1" applyFill="1" applyBorder="1" applyAlignment="1">
      <alignment horizontal="center"/>
    </xf>
    <xf numFmtId="2" fontId="1" fillId="0" borderId="12" xfId="0" applyNumberFormat="1" applyFont="1" applyFill="1" applyBorder="1" applyAlignment="1">
      <alignment horizontal="center"/>
    </xf>
    <xf numFmtId="0" fontId="14" fillId="0" borderId="12" xfId="0" applyFont="1" applyFill="1" applyBorder="1" applyAlignment="1">
      <alignment horizontal="center"/>
    </xf>
    <xf numFmtId="0" fontId="1" fillId="0" borderId="4" xfId="0" quotePrefix="1" applyFont="1" applyFill="1" applyBorder="1" applyAlignment="1">
      <alignment horizontal="center" wrapText="1"/>
    </xf>
    <xf numFmtId="0" fontId="1" fillId="0" borderId="24" xfId="0" applyFont="1" applyFill="1" applyBorder="1" applyAlignment="1">
      <alignment horizontal="center" wrapText="1"/>
    </xf>
    <xf numFmtId="0" fontId="0" fillId="0" borderId="7" xfId="0" applyFill="1" applyBorder="1"/>
    <xf numFmtId="0" fontId="1" fillId="0" borderId="16" xfId="0" quotePrefix="1" applyFont="1" applyFill="1" applyBorder="1" applyAlignment="1">
      <alignment horizontal="center"/>
    </xf>
    <xf numFmtId="0" fontId="1" fillId="0" borderId="10" xfId="0" quotePrefix="1" applyFont="1" applyFill="1" applyBorder="1" applyAlignment="1">
      <alignment horizontal="center"/>
    </xf>
    <xf numFmtId="0" fontId="1" fillId="0" borderId="48" xfId="0" quotePrefix="1" applyFont="1" applyFill="1" applyBorder="1" applyAlignment="1">
      <alignment horizontal="center"/>
    </xf>
    <xf numFmtId="0" fontId="1" fillId="0" borderId="49" xfId="0" quotePrefix="1" applyFont="1" applyFill="1" applyBorder="1" applyAlignment="1">
      <alignment horizontal="center"/>
    </xf>
    <xf numFmtId="0" fontId="1" fillId="0" borderId="17" xfId="0" quotePrefix="1" applyFont="1" applyFill="1" applyBorder="1" applyAlignment="1">
      <alignment horizontal="center"/>
    </xf>
    <xf numFmtId="0" fontId="1" fillId="0" borderId="47" xfId="0" applyFont="1" applyFill="1" applyBorder="1" applyAlignment="1"/>
    <xf numFmtId="0" fontId="1" fillId="0" borderId="14" xfId="0" applyFont="1" applyFill="1" applyBorder="1" applyAlignment="1"/>
    <xf numFmtId="0" fontId="1" fillId="0" borderId="46" xfId="0" applyFont="1" applyFill="1" applyBorder="1" applyAlignment="1"/>
    <xf numFmtId="0" fontId="1" fillId="0" borderId="15" xfId="0" applyFont="1" applyFill="1" applyBorder="1" applyAlignment="1"/>
    <xf numFmtId="0" fontId="54" fillId="0" borderId="7" xfId="0" applyFont="1" applyFill="1" applyBorder="1" applyAlignment="1">
      <alignment horizontal="center" wrapText="1"/>
    </xf>
    <xf numFmtId="0" fontId="1" fillId="0" borderId="7" xfId="0" applyFont="1" applyFill="1" applyBorder="1" applyAlignment="1"/>
    <xf numFmtId="0" fontId="1" fillId="0" borderId="3" xfId="0" applyFont="1" applyFill="1" applyBorder="1" applyAlignment="1">
      <alignment horizontal="center" wrapText="1"/>
    </xf>
    <xf numFmtId="0" fontId="0" fillId="0" borderId="4" xfId="0" applyFill="1" applyBorder="1"/>
    <xf numFmtId="0" fontId="14" fillId="2" borderId="0" xfId="0" applyFont="1" applyFill="1" applyBorder="1" applyAlignment="1">
      <alignment horizontal="center" wrapText="1"/>
    </xf>
    <xf numFmtId="0" fontId="24" fillId="3" borderId="0" xfId="0" applyFont="1" applyFill="1" applyBorder="1"/>
    <xf numFmtId="0" fontId="58" fillId="2" borderId="1" xfId="0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4" fillId="3" borderId="0" xfId="0" applyFont="1" applyFill="1" applyBorder="1" applyAlignment="1">
      <alignment horizontal="center" wrapText="1"/>
    </xf>
    <xf numFmtId="0" fontId="1" fillId="3" borderId="0" xfId="0" quotePrefix="1" applyFont="1" applyFill="1" applyBorder="1" applyAlignment="1">
      <alignment horizontal="center"/>
    </xf>
    <xf numFmtId="0" fontId="54" fillId="3" borderId="0" xfId="0" applyFont="1" applyFill="1" applyBorder="1" applyAlignment="1">
      <alignment horizontal="center" vertical="center" wrapText="1"/>
    </xf>
    <xf numFmtId="0" fontId="54" fillId="3" borderId="0" xfId="0" applyFont="1" applyFill="1" applyBorder="1" applyAlignment="1">
      <alignment vertical="center"/>
    </xf>
    <xf numFmtId="0" fontId="54" fillId="3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/>
    <xf numFmtId="0" fontId="1" fillId="3" borderId="8" xfId="0" quotePrefix="1" applyFont="1" applyFill="1" applyBorder="1" applyAlignment="1">
      <alignment horizontal="center"/>
    </xf>
    <xf numFmtId="0" fontId="59" fillId="3" borderId="0" xfId="0" applyFont="1" applyFill="1" applyBorder="1"/>
    <xf numFmtId="165" fontId="0" fillId="3" borderId="0" xfId="0" applyNumberFormat="1" applyFill="1" applyBorder="1"/>
    <xf numFmtId="2" fontId="0" fillId="2" borderId="1" xfId="0" applyNumberFormat="1" applyFill="1" applyBorder="1" applyAlignment="1">
      <alignment horizontal="center"/>
    </xf>
    <xf numFmtId="1" fontId="0" fillId="3" borderId="0" xfId="0" applyNumberFormat="1" applyFill="1" applyBorder="1"/>
    <xf numFmtId="2" fontId="14" fillId="2" borderId="1" xfId="0" applyNumberFormat="1" applyFont="1" applyFill="1" applyBorder="1" applyAlignment="1">
      <alignment horizontal="center"/>
    </xf>
    <xf numFmtId="0" fontId="14" fillId="3" borderId="11" xfId="0" applyFont="1" applyFill="1" applyBorder="1" applyAlignment="1">
      <alignment horizontal="center"/>
    </xf>
    <xf numFmtId="0" fontId="14" fillId="3" borderId="1" xfId="0" applyFont="1" applyFill="1" applyBorder="1"/>
    <xf numFmtId="0" fontId="15" fillId="3" borderId="1" xfId="0" applyFont="1" applyFill="1" applyBorder="1"/>
    <xf numFmtId="0" fontId="14" fillId="3" borderId="27" xfId="0" applyFont="1" applyFill="1" applyBorder="1" applyAlignment="1">
      <alignment horizontal="center"/>
    </xf>
    <xf numFmtId="0" fontId="49" fillId="3" borderId="28" xfId="0" applyFont="1" applyFill="1" applyBorder="1" applyAlignment="1">
      <alignment horizontal="center"/>
    </xf>
    <xf numFmtId="0" fontId="49" fillId="3" borderId="1" xfId="0" applyFont="1" applyFill="1" applyBorder="1" applyAlignment="1">
      <alignment horizontal="center"/>
    </xf>
    <xf numFmtId="0" fontId="49" fillId="3" borderId="33" xfId="0" applyFont="1" applyFill="1" applyBorder="1" applyAlignment="1">
      <alignment horizontal="center"/>
    </xf>
    <xf numFmtId="0" fontId="15" fillId="2" borderId="13" xfId="0" applyFont="1" applyFill="1" applyBorder="1"/>
    <xf numFmtId="0" fontId="47" fillId="2" borderId="14" xfId="0" applyFont="1" applyFill="1" applyBorder="1" applyAlignment="1">
      <alignment horizontal="left"/>
    </xf>
    <xf numFmtId="0" fontId="14" fillId="3" borderId="14" xfId="0" applyFont="1" applyFill="1" applyBorder="1" applyAlignment="1">
      <alignment horizontal="center"/>
    </xf>
    <xf numFmtId="0" fontId="49" fillId="3" borderId="13" xfId="0" applyFont="1" applyFill="1" applyBorder="1"/>
    <xf numFmtId="4" fontId="14" fillId="3" borderId="1" xfId="0" applyNumberFormat="1" applyFont="1" applyFill="1" applyBorder="1" applyAlignment="1">
      <alignment horizontal="center"/>
    </xf>
    <xf numFmtId="164" fontId="14" fillId="3" borderId="1" xfId="0" applyNumberFormat="1" applyFont="1" applyFill="1" applyBorder="1" applyAlignment="1">
      <alignment horizontal="center"/>
    </xf>
    <xf numFmtId="3" fontId="14" fillId="3" borderId="1" xfId="0" applyNumberFormat="1" applyFont="1" applyFill="1" applyBorder="1" applyAlignment="1">
      <alignment horizontal="center"/>
    </xf>
    <xf numFmtId="0" fontId="18" fillId="3" borderId="2" xfId="0" applyFont="1" applyFill="1" applyBorder="1"/>
    <xf numFmtId="1" fontId="14" fillId="3" borderId="1" xfId="0" applyNumberFormat="1" applyFont="1" applyFill="1" applyBorder="1" applyAlignment="1">
      <alignment horizontal="center"/>
    </xf>
    <xf numFmtId="0" fontId="14" fillId="3" borderId="12" xfId="0" applyFont="1" applyFill="1" applyBorder="1" applyAlignment="1">
      <alignment horizontal="center"/>
    </xf>
    <xf numFmtId="0" fontId="14" fillId="3" borderId="12" xfId="0" applyFont="1" applyFill="1" applyBorder="1"/>
    <xf numFmtId="2" fontId="54" fillId="0" borderId="12" xfId="0" applyNumberFormat="1" applyFont="1" applyFill="1" applyBorder="1" applyAlignment="1">
      <alignment horizontal="center" wrapText="1"/>
    </xf>
    <xf numFmtId="0" fontId="0" fillId="0" borderId="9" xfId="0" applyBorder="1"/>
    <xf numFmtId="0" fontId="0" fillId="0" borderId="0" xfId="0" applyBorder="1"/>
    <xf numFmtId="0" fontId="0" fillId="0" borderId="8" xfId="0" applyBorder="1"/>
    <xf numFmtId="2" fontId="0" fillId="0" borderId="12" xfId="0" applyNumberFormat="1" applyFill="1" applyBorder="1" applyAlignment="1">
      <alignment horizontal="center"/>
    </xf>
    <xf numFmtId="2" fontId="14" fillId="0" borderId="12" xfId="0" applyNumberFormat="1" applyFont="1" applyFill="1" applyBorder="1" applyAlignment="1">
      <alignment horizontal="center"/>
    </xf>
    <xf numFmtId="2" fontId="14" fillId="0" borderId="1" xfId="0" applyNumberFormat="1" applyFont="1" applyFill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2" fontId="54" fillId="0" borderId="1" xfId="0" applyNumberFormat="1" applyFont="1" applyFill="1" applyBorder="1" applyAlignment="1">
      <alignment horizontal="center" wrapText="1"/>
    </xf>
    <xf numFmtId="0" fontId="0" fillId="3" borderId="0" xfId="0" applyFill="1"/>
    <xf numFmtId="0" fontId="54" fillId="2" borderId="13" xfId="0" applyFont="1" applyFill="1" applyBorder="1" applyAlignment="1">
      <alignment horizontal="left" vertical="center" wrapText="1"/>
    </xf>
    <xf numFmtId="0" fontId="54" fillId="2" borderId="4" xfId="0" applyFont="1" applyFill="1" applyBorder="1" applyAlignment="1">
      <alignment horizontal="left" vertical="center" wrapText="1"/>
    </xf>
    <xf numFmtId="0" fontId="54" fillId="2" borderId="16" xfId="0" applyFont="1" applyFill="1" applyBorder="1" applyAlignment="1">
      <alignment horizontal="left" vertical="center" wrapText="1"/>
    </xf>
    <xf numFmtId="0" fontId="54" fillId="2" borderId="13" xfId="0" applyFont="1" applyFill="1" applyBorder="1" applyAlignment="1">
      <alignment vertical="top" wrapText="1"/>
    </xf>
    <xf numFmtId="0" fontId="54" fillId="2" borderId="4" xfId="0" applyFont="1" applyFill="1" applyBorder="1" applyAlignment="1">
      <alignment vertical="top" wrapText="1"/>
    </xf>
    <xf numFmtId="0" fontId="54" fillId="2" borderId="16" xfId="0" applyFont="1" applyFill="1" applyBorder="1" applyAlignment="1">
      <alignment vertical="top" wrapText="1"/>
    </xf>
    <xf numFmtId="0" fontId="61" fillId="2" borderId="9" xfId="0" applyFont="1" applyFill="1" applyBorder="1" applyAlignment="1">
      <alignment horizontal="center" vertical="center" wrapText="1"/>
    </xf>
    <xf numFmtId="0" fontId="61" fillId="2" borderId="8" xfId="0" applyFont="1" applyFill="1" applyBorder="1" applyAlignment="1">
      <alignment horizontal="center" vertical="center" wrapText="1"/>
    </xf>
    <xf numFmtId="0" fontId="61" fillId="2" borderId="0" xfId="0" applyFont="1" applyFill="1" applyBorder="1" applyAlignment="1">
      <alignment vertical="center"/>
    </xf>
    <xf numFmtId="0" fontId="61" fillId="2" borderId="7" xfId="0" applyFont="1" applyFill="1" applyBorder="1" applyAlignment="1">
      <alignment vertical="center"/>
    </xf>
    <xf numFmtId="2" fontId="54" fillId="2" borderId="1" xfId="0" applyNumberFormat="1" applyFont="1" applyFill="1" applyBorder="1" applyAlignment="1">
      <alignment horizontal="center" wrapText="1"/>
    </xf>
    <xf numFmtId="0" fontId="54" fillId="2" borderId="28" xfId="0" applyFont="1" applyFill="1" applyBorder="1" applyAlignment="1">
      <alignment horizontal="center" wrapText="1"/>
    </xf>
    <xf numFmtId="0" fontId="54" fillId="2" borderId="29" xfId="0" applyFont="1" applyFill="1" applyBorder="1" applyAlignment="1">
      <alignment horizontal="center" wrapText="1"/>
    </xf>
    <xf numFmtId="2" fontId="54" fillId="2" borderId="31" xfId="0" applyNumberFormat="1" applyFont="1" applyFill="1" applyBorder="1" applyAlignment="1">
      <alignment horizontal="center" wrapText="1"/>
    </xf>
    <xf numFmtId="2" fontId="54" fillId="2" borderId="33" xfId="0" applyNumberFormat="1" applyFont="1" applyFill="1" applyBorder="1" applyAlignment="1">
      <alignment horizontal="center" wrapText="1"/>
    </xf>
    <xf numFmtId="2" fontId="54" fillId="2" borderId="34" xfId="0" applyNumberFormat="1" applyFont="1" applyFill="1" applyBorder="1" applyAlignment="1">
      <alignment horizontal="center" wrapText="1"/>
    </xf>
    <xf numFmtId="2" fontId="54" fillId="2" borderId="28" xfId="0" applyNumberFormat="1" applyFont="1" applyFill="1" applyBorder="1" applyAlignment="1">
      <alignment horizontal="center" wrapText="1"/>
    </xf>
    <xf numFmtId="2" fontId="54" fillId="2" borderId="29" xfId="0" applyNumberFormat="1" applyFont="1" applyFill="1" applyBorder="1" applyAlignment="1">
      <alignment horizontal="center" wrapText="1"/>
    </xf>
    <xf numFmtId="0" fontId="1" fillId="3" borderId="8" xfId="0" applyFont="1" applyFill="1" applyBorder="1" applyAlignment="1">
      <alignment horizontal="center"/>
    </xf>
    <xf numFmtId="0" fontId="50" fillId="0" borderId="1" xfId="0" applyFont="1" applyBorder="1" applyAlignment="1">
      <alignment horizontal="center"/>
    </xf>
    <xf numFmtId="2" fontId="50" fillId="0" borderId="1" xfId="0" applyNumberFormat="1" applyFont="1" applyBorder="1" applyAlignment="1">
      <alignment horizontal="center"/>
    </xf>
    <xf numFmtId="0" fontId="54" fillId="3" borderId="8" xfId="0" applyFont="1" applyFill="1" applyBorder="1" applyAlignment="1">
      <alignment horizontal="center" wrapText="1"/>
    </xf>
    <xf numFmtId="0" fontId="14" fillId="0" borderId="28" xfId="0" applyFont="1" applyBorder="1" applyAlignment="1">
      <alignment horizontal="left"/>
    </xf>
    <xf numFmtId="0" fontId="14" fillId="0" borderId="28" xfId="0" applyFont="1" applyFill="1" applyBorder="1" applyAlignment="1">
      <alignment horizontal="left"/>
    </xf>
    <xf numFmtId="0" fontId="14" fillId="0" borderId="35" xfId="0" applyFont="1" applyBorder="1" applyAlignment="1">
      <alignment horizontal="left"/>
    </xf>
    <xf numFmtId="0" fontId="14" fillId="6" borderId="1" xfId="0" applyFont="1" applyFill="1" applyBorder="1" applyAlignment="1">
      <alignment horizontal="center"/>
    </xf>
    <xf numFmtId="0" fontId="0" fillId="3" borderId="4" xfId="0" applyFill="1" applyBorder="1"/>
    <xf numFmtId="0" fontId="50" fillId="3" borderId="0" xfId="0" applyFont="1" applyFill="1" applyBorder="1" applyAlignment="1">
      <alignment horizontal="center"/>
    </xf>
    <xf numFmtId="0" fontId="64" fillId="3" borderId="3" xfId="0" applyFont="1" applyFill="1" applyBorder="1"/>
    <xf numFmtId="0" fontId="50" fillId="3" borderId="2" xfId="0" applyFont="1" applyFill="1" applyBorder="1" applyAlignment="1">
      <alignment horizontal="center"/>
    </xf>
    <xf numFmtId="0" fontId="50" fillId="3" borderId="4" xfId="0" applyFont="1" applyFill="1" applyBorder="1" applyAlignment="1">
      <alignment horizontal="right"/>
    </xf>
    <xf numFmtId="164" fontId="65" fillId="3" borderId="0" xfId="0" applyNumberFormat="1" applyFont="1" applyFill="1" applyBorder="1" applyAlignment="1">
      <alignment horizontal="center"/>
    </xf>
    <xf numFmtId="164" fontId="50" fillId="0" borderId="1" xfId="0" applyNumberFormat="1" applyFont="1" applyFill="1" applyBorder="1" applyAlignment="1">
      <alignment horizontal="center" vertical="center"/>
    </xf>
    <xf numFmtId="0" fontId="50" fillId="3" borderId="3" xfId="0" applyFont="1" applyFill="1" applyBorder="1" applyAlignment="1">
      <alignment horizontal="right"/>
    </xf>
    <xf numFmtId="164" fontId="65" fillId="3" borderId="2" xfId="0" applyNumberFormat="1" applyFont="1" applyFill="1" applyBorder="1" applyAlignment="1">
      <alignment horizontal="center"/>
    </xf>
    <xf numFmtId="164" fontId="65" fillId="3" borderId="2" xfId="0" applyNumberFormat="1" applyFont="1" applyFill="1" applyBorder="1" applyAlignment="1">
      <alignment horizontal="center" vertical="center"/>
    </xf>
    <xf numFmtId="164" fontId="65" fillId="3" borderId="0" xfId="0" applyNumberFormat="1" applyFont="1" applyFill="1" applyBorder="1" applyAlignment="1">
      <alignment horizontal="center" vertical="center"/>
    </xf>
    <xf numFmtId="0" fontId="64" fillId="3" borderId="4" xfId="0" applyFont="1" applyFill="1" applyBorder="1"/>
    <xf numFmtId="1" fontId="50" fillId="3" borderId="2" xfId="0" applyNumberFormat="1" applyFont="1" applyFill="1" applyBorder="1" applyAlignment="1">
      <alignment horizontal="center"/>
    </xf>
    <xf numFmtId="0" fontId="65" fillId="3" borderId="0" xfId="0" applyFont="1" applyFill="1" applyBorder="1" applyAlignment="1">
      <alignment horizontal="center"/>
    </xf>
    <xf numFmtId="0" fontId="50" fillId="0" borderId="1" xfId="0" applyFont="1" applyFill="1" applyBorder="1" applyAlignment="1">
      <alignment horizontal="center"/>
    </xf>
    <xf numFmtId="0" fontId="50" fillId="3" borderId="0" xfId="0" applyFont="1" applyFill="1" applyBorder="1" applyAlignment="1">
      <alignment horizontal="right"/>
    </xf>
    <xf numFmtId="0" fontId="65" fillId="3" borderId="2" xfId="0" applyFont="1" applyFill="1" applyBorder="1" applyAlignment="1">
      <alignment horizontal="center"/>
    </xf>
    <xf numFmtId="2" fontId="65" fillId="3" borderId="0" xfId="0" applyNumberFormat="1" applyFont="1" applyFill="1" applyBorder="1" applyAlignment="1">
      <alignment horizontal="center"/>
    </xf>
    <xf numFmtId="0" fontId="50" fillId="3" borderId="4" xfId="0" applyFont="1" applyFill="1" applyBorder="1"/>
    <xf numFmtId="1" fontId="65" fillId="3" borderId="0" xfId="0" applyNumberFormat="1" applyFont="1" applyFill="1" applyBorder="1" applyAlignment="1">
      <alignment horizontal="center"/>
    </xf>
    <xf numFmtId="0" fontId="50" fillId="0" borderId="1" xfId="0" applyFont="1" applyFill="1" applyBorder="1" applyAlignment="1">
      <alignment horizontal="center" vertical="center"/>
    </xf>
    <xf numFmtId="2" fontId="50" fillId="0" borderId="1" xfId="0" applyNumberFormat="1" applyFont="1" applyFill="1" applyBorder="1" applyAlignment="1">
      <alignment horizontal="center"/>
    </xf>
    <xf numFmtId="0" fontId="24" fillId="0" borderId="38" xfId="0" applyFont="1" applyBorder="1" applyAlignment="1">
      <alignment horizontal="left"/>
    </xf>
    <xf numFmtId="0" fontId="50" fillId="0" borderId="4" xfId="0" applyFont="1" applyFill="1" applyBorder="1"/>
    <xf numFmtId="0" fontId="50" fillId="0" borderId="0" xfId="0" applyFont="1" applyFill="1" applyBorder="1" applyAlignment="1">
      <alignment horizontal="center"/>
    </xf>
    <xf numFmtId="0" fontId="0" fillId="0" borderId="0" xfId="0" applyFont="1" applyFill="1" applyBorder="1"/>
    <xf numFmtId="0" fontId="50" fillId="0" borderId="0" xfId="0" applyFont="1" applyFill="1" applyBorder="1" applyAlignment="1">
      <alignment horizontal="right"/>
    </xf>
    <xf numFmtId="0" fontId="15" fillId="6" borderId="11" xfId="0" applyFont="1" applyFill="1" applyBorder="1" applyAlignment="1">
      <alignment horizontal="left"/>
    </xf>
    <xf numFmtId="165" fontId="14" fillId="6" borderId="11" xfId="0" applyNumberFormat="1" applyFont="1" applyFill="1" applyBorder="1" applyAlignment="1">
      <alignment horizontal="left"/>
    </xf>
    <xf numFmtId="0" fontId="25" fillId="6" borderId="1" xfId="0" quotePrefix="1" applyFont="1" applyFill="1" applyBorder="1" applyAlignment="1">
      <alignment horizontal="left"/>
    </xf>
    <xf numFmtId="164" fontId="14" fillId="6" borderId="1" xfId="0" applyNumberFormat="1" applyFont="1" applyFill="1" applyBorder="1" applyAlignment="1">
      <alignment horizontal="center"/>
    </xf>
    <xf numFmtId="0" fontId="70" fillId="0" borderId="0" xfId="0" applyFont="1" applyFill="1" applyBorder="1"/>
    <xf numFmtId="0" fontId="56" fillId="0" borderId="0" xfId="0" applyFont="1" applyAlignment="1">
      <alignment horizontal="right"/>
    </xf>
    <xf numFmtId="0" fontId="14" fillId="6" borderId="0" xfId="0" quotePrefix="1" applyFont="1" applyFill="1" applyBorder="1" applyAlignment="1"/>
    <xf numFmtId="0" fontId="15" fillId="6" borderId="0" xfId="0" applyFont="1" applyFill="1"/>
    <xf numFmtId="0" fontId="14" fillId="7" borderId="0" xfId="0" quotePrefix="1" applyFont="1" applyFill="1" applyBorder="1" applyAlignment="1"/>
    <xf numFmtId="0" fontId="15" fillId="7" borderId="0" xfId="0" applyFont="1" applyFill="1"/>
    <xf numFmtId="0" fontId="50" fillId="7" borderId="1" xfId="0" applyFont="1" applyFill="1" applyBorder="1"/>
    <xf numFmtId="0" fontId="0" fillId="7" borderId="1" xfId="0" applyFill="1" applyBorder="1"/>
    <xf numFmtId="0" fontId="15" fillId="7" borderId="1" xfId="0" applyFont="1" applyFill="1" applyBorder="1"/>
    <xf numFmtId="164" fontId="14" fillId="7" borderId="1" xfId="0" applyNumberFormat="1" applyFont="1" applyFill="1" applyBorder="1" applyAlignment="1">
      <alignment horizontal="center"/>
    </xf>
    <xf numFmtId="165" fontId="71" fillId="7" borderId="1" xfId="0" applyNumberFormat="1" applyFont="1" applyFill="1" applyBorder="1" applyAlignment="1">
      <alignment horizontal="left"/>
    </xf>
    <xf numFmtId="165" fontId="14" fillId="7" borderId="1" xfId="0" applyNumberFormat="1" applyFont="1" applyFill="1" applyBorder="1" applyAlignment="1">
      <alignment horizontal="center"/>
    </xf>
    <xf numFmtId="0" fontId="14" fillId="7" borderId="1" xfId="0" applyFont="1" applyFill="1" applyBorder="1"/>
    <xf numFmtId="0" fontId="1" fillId="7" borderId="1" xfId="0" applyFont="1" applyFill="1" applyBorder="1"/>
    <xf numFmtId="0" fontId="1" fillId="7" borderId="1" xfId="0" applyFont="1" applyFill="1" applyBorder="1" applyAlignment="1">
      <alignment horizontal="center"/>
    </xf>
    <xf numFmtId="1" fontId="25" fillId="7" borderId="11" xfId="0" applyNumberFormat="1" applyFont="1" applyFill="1" applyBorder="1" applyAlignment="1">
      <alignment horizontal="center"/>
    </xf>
    <xf numFmtId="1" fontId="14" fillId="7" borderId="1" xfId="0" applyNumberFormat="1" applyFont="1" applyFill="1" applyBorder="1" applyAlignment="1">
      <alignment horizontal="center"/>
    </xf>
    <xf numFmtId="1" fontId="8" fillId="7" borderId="1" xfId="0" applyNumberFormat="1" applyFont="1" applyFill="1" applyBorder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25" fillId="7" borderId="33" xfId="0" applyFont="1" applyFill="1" applyBorder="1"/>
    <xf numFmtId="0" fontId="14" fillId="7" borderId="33" xfId="0" applyFont="1" applyFill="1" applyBorder="1"/>
    <xf numFmtId="0" fontId="8" fillId="7" borderId="33" xfId="0" applyFont="1" applyFill="1" applyBorder="1" applyAlignment="1">
      <alignment horizontal="center"/>
    </xf>
    <xf numFmtId="165" fontId="8" fillId="7" borderId="33" xfId="0" applyNumberFormat="1" applyFont="1" applyFill="1" applyBorder="1" applyAlignment="1">
      <alignment horizontal="center"/>
    </xf>
    <xf numFmtId="0" fontId="50" fillId="7" borderId="12" xfId="0" applyFont="1" applyFill="1" applyBorder="1"/>
    <xf numFmtId="0" fontId="14" fillId="7" borderId="12" xfId="0" applyFont="1" applyFill="1" applyBorder="1"/>
    <xf numFmtId="0" fontId="62" fillId="7" borderId="12" xfId="0" applyFont="1" applyFill="1" applyBorder="1"/>
    <xf numFmtId="164" fontId="14" fillId="7" borderId="12" xfId="0" applyNumberFormat="1" applyFont="1" applyFill="1" applyBorder="1" applyAlignment="1">
      <alignment horizontal="center"/>
    </xf>
    <xf numFmtId="0" fontId="62" fillId="7" borderId="1" xfId="0" applyFont="1" applyFill="1" applyBorder="1"/>
    <xf numFmtId="164" fontId="68" fillId="7" borderId="1" xfId="0" applyNumberFormat="1" applyFont="1" applyFill="1" applyBorder="1" applyAlignment="1">
      <alignment horizontal="center"/>
    </xf>
    <xf numFmtId="0" fontId="18" fillId="7" borderId="1" xfId="0" applyFont="1" applyFill="1" applyBorder="1"/>
    <xf numFmtId="0" fontId="14" fillId="7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left"/>
    </xf>
    <xf numFmtId="0" fontId="50" fillId="7" borderId="1" xfId="0" applyFont="1" applyFill="1" applyBorder="1" applyAlignment="1">
      <alignment horizontal="center"/>
    </xf>
    <xf numFmtId="0" fontId="69" fillId="7" borderId="1" xfId="0" applyFont="1" applyFill="1" applyBorder="1" applyAlignment="1">
      <alignment horizontal="center"/>
    </xf>
    <xf numFmtId="3" fontId="14" fillId="7" borderId="1" xfId="0" applyNumberFormat="1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8" fillId="2" borderId="33" xfId="0" applyFont="1" applyFill="1" applyBorder="1" applyAlignment="1">
      <alignment horizontal="center"/>
    </xf>
    <xf numFmtId="0" fontId="54" fillId="3" borderId="4" xfId="0" applyFont="1" applyFill="1" applyBorder="1" applyAlignment="1">
      <alignment horizontal="left" vertical="center" wrapText="1"/>
    </xf>
    <xf numFmtId="0" fontId="60" fillId="3" borderId="5" xfId="0" applyFont="1" applyFill="1" applyBorder="1"/>
    <xf numFmtId="0" fontId="54" fillId="0" borderId="1" xfId="0" applyFont="1" applyBorder="1" applyAlignment="1">
      <alignment horizontal="center" wrapText="1"/>
    </xf>
    <xf numFmtId="0" fontId="54" fillId="0" borderId="1" xfId="0" applyFont="1" applyBorder="1" applyAlignment="1">
      <alignment horizontal="center" vertical="center" wrapText="1"/>
    </xf>
    <xf numFmtId="0" fontId="54" fillId="0" borderId="1" xfId="0" applyFont="1" applyFill="1" applyBorder="1" applyAlignment="1">
      <alignment horizontal="center" wrapText="1"/>
    </xf>
    <xf numFmtId="0" fontId="54" fillId="0" borderId="1" xfId="0" applyFont="1" applyFill="1" applyBorder="1" applyAlignment="1">
      <alignment horizontal="center" vertical="center" wrapText="1"/>
    </xf>
    <xf numFmtId="0" fontId="54" fillId="3" borderId="13" xfId="0" applyFont="1" applyFill="1" applyBorder="1" applyAlignment="1">
      <alignment horizontal="left" vertical="center" wrapText="1"/>
    </xf>
    <xf numFmtId="0" fontId="54" fillId="0" borderId="28" xfId="0" applyFont="1" applyBorder="1" applyAlignment="1">
      <alignment horizontal="center" wrapText="1"/>
    </xf>
    <xf numFmtId="0" fontId="54" fillId="3" borderId="16" xfId="0" applyFont="1" applyFill="1" applyBorder="1" applyAlignment="1">
      <alignment horizontal="left" vertical="center" wrapText="1"/>
    </xf>
    <xf numFmtId="0" fontId="54" fillId="0" borderId="33" xfId="0" applyFont="1" applyBorder="1" applyAlignment="1">
      <alignment horizontal="center" wrapText="1"/>
    </xf>
    <xf numFmtId="0" fontId="14" fillId="3" borderId="23" xfId="0" applyFont="1" applyFill="1" applyBorder="1" applyAlignment="1">
      <alignment horizontal="center"/>
    </xf>
    <xf numFmtId="0" fontId="15" fillId="3" borderId="6" xfId="0" applyFont="1" applyFill="1" applyBorder="1"/>
    <xf numFmtId="0" fontId="15" fillId="3" borderId="42" xfId="0" applyFont="1" applyFill="1" applyBorder="1"/>
    <xf numFmtId="0" fontId="14" fillId="3" borderId="55" xfId="0" applyFont="1" applyFill="1" applyBorder="1" applyAlignment="1">
      <alignment horizontal="center"/>
    </xf>
    <xf numFmtId="0" fontId="14" fillId="3" borderId="56" xfId="0" applyFont="1" applyFill="1" applyBorder="1" applyAlignment="1">
      <alignment horizontal="center"/>
    </xf>
    <xf numFmtId="0" fontId="14" fillId="3" borderId="48" xfId="0" applyFont="1" applyFill="1" applyBorder="1" applyAlignment="1">
      <alignment horizontal="center"/>
    </xf>
    <xf numFmtId="0" fontId="54" fillId="0" borderId="33" xfId="0" applyFont="1" applyFill="1" applyBorder="1" applyAlignment="1">
      <alignment horizontal="center" wrapText="1"/>
    </xf>
    <xf numFmtId="0" fontId="54" fillId="0" borderId="28" xfId="0" applyFont="1" applyFill="1" applyBorder="1" applyAlignment="1">
      <alignment horizontal="center" wrapText="1"/>
    </xf>
    <xf numFmtId="0" fontId="54" fillId="3" borderId="4" xfId="0" applyFont="1" applyFill="1" applyBorder="1" applyAlignment="1">
      <alignment horizontal="left" vertical="center"/>
    </xf>
    <xf numFmtId="0" fontId="54" fillId="3" borderId="13" xfId="0" applyFont="1" applyFill="1" applyBorder="1" applyAlignment="1">
      <alignment horizontal="left" vertical="center"/>
    </xf>
    <xf numFmtId="0" fontId="54" fillId="3" borderId="16" xfId="0" applyFont="1" applyFill="1" applyBorder="1" applyAlignment="1">
      <alignment horizontal="left" vertical="center"/>
    </xf>
    <xf numFmtId="0" fontId="54" fillId="0" borderId="28" xfId="0" applyFont="1" applyBorder="1" applyAlignment="1">
      <alignment horizontal="center" vertical="center" wrapText="1"/>
    </xf>
    <xf numFmtId="0" fontId="54" fillId="0" borderId="33" xfId="0" applyFont="1" applyBorder="1" applyAlignment="1">
      <alignment horizontal="center" vertical="center" wrapText="1"/>
    </xf>
    <xf numFmtId="0" fontId="0" fillId="3" borderId="7" xfId="0" applyFill="1" applyBorder="1"/>
    <xf numFmtId="0" fontId="0" fillId="3" borderId="17" xfId="0" applyFill="1" applyBorder="1"/>
    <xf numFmtId="0" fontId="0" fillId="3" borderId="15" xfId="0" applyFill="1" applyBorder="1"/>
    <xf numFmtId="0" fontId="54" fillId="3" borderId="52" xfId="0" applyFont="1" applyFill="1" applyBorder="1" applyAlignment="1">
      <alignment horizontal="center" vertical="center"/>
    </xf>
    <xf numFmtId="0" fontId="54" fillId="3" borderId="6" xfId="0" applyFont="1" applyFill="1" applyBorder="1" applyAlignment="1">
      <alignment horizontal="center" vertical="center"/>
    </xf>
    <xf numFmtId="0" fontId="54" fillId="3" borderId="6" xfId="0" applyFont="1" applyFill="1" applyBorder="1" applyAlignment="1">
      <alignment horizontal="center" vertical="center" wrapText="1"/>
    </xf>
    <xf numFmtId="0" fontId="0" fillId="3" borderId="1" xfId="0" applyFill="1" applyBorder="1"/>
    <xf numFmtId="0" fontId="50" fillId="3" borderId="27" xfId="0" applyFont="1" applyFill="1" applyBorder="1"/>
    <xf numFmtId="0" fontId="50" fillId="3" borderId="30" xfId="0" applyFont="1" applyFill="1" applyBorder="1"/>
    <xf numFmtId="0" fontId="50" fillId="3" borderId="32" xfId="0" applyFont="1" applyFill="1" applyBorder="1"/>
    <xf numFmtId="0" fontId="0" fillId="3" borderId="33" xfId="0" applyFill="1" applyBorder="1"/>
    <xf numFmtId="0" fontId="49" fillId="3" borderId="44" xfId="0" applyFont="1" applyFill="1" applyBorder="1"/>
    <xf numFmtId="0" fontId="49" fillId="3" borderId="58" xfId="0" applyFont="1" applyFill="1" applyBorder="1"/>
    <xf numFmtId="0" fontId="49" fillId="3" borderId="57" xfId="0" applyFont="1" applyFill="1" applyBorder="1"/>
    <xf numFmtId="1" fontId="14" fillId="3" borderId="57" xfId="0" applyNumberFormat="1" applyFont="1" applyFill="1" applyBorder="1" applyAlignment="1">
      <alignment horizontal="center"/>
    </xf>
    <xf numFmtId="1" fontId="14" fillId="3" borderId="44" xfId="0" applyNumberFormat="1" applyFont="1" applyFill="1" applyBorder="1" applyAlignment="1">
      <alignment horizontal="center"/>
    </xf>
    <xf numFmtId="1" fontId="14" fillId="3" borderId="58" xfId="0" applyNumberFormat="1" applyFont="1" applyFill="1" applyBorder="1" applyAlignment="1">
      <alignment horizontal="center"/>
    </xf>
    <xf numFmtId="0" fontId="22" fillId="3" borderId="0" xfId="0" applyFont="1" applyFill="1"/>
    <xf numFmtId="0" fontId="72" fillId="3" borderId="0" xfId="0" applyFont="1" applyFill="1" applyBorder="1"/>
    <xf numFmtId="0" fontId="22" fillId="3" borderId="7" xfId="0" applyFont="1" applyFill="1" applyBorder="1"/>
    <xf numFmtId="0" fontId="72" fillId="3" borderId="4" xfId="0" applyFont="1" applyFill="1" applyBorder="1" applyAlignment="1">
      <alignment horizontal="left" vertical="center" wrapText="1"/>
    </xf>
    <xf numFmtId="0" fontId="72" fillId="3" borderId="10" xfId="0" applyFont="1" applyFill="1" applyBorder="1"/>
    <xf numFmtId="0" fontId="72" fillId="3" borderId="0" xfId="0" applyFont="1" applyFill="1" applyBorder="1" applyAlignment="1">
      <alignment horizontal="center" vertical="center"/>
    </xf>
    <xf numFmtId="0" fontId="72" fillId="3" borderId="10" xfId="0" applyFont="1" applyFill="1" applyBorder="1" applyAlignment="1">
      <alignment horizontal="center" wrapText="1"/>
    </xf>
    <xf numFmtId="0" fontId="72" fillId="3" borderId="10" xfId="0" applyFont="1" applyFill="1" applyBorder="1" applyAlignment="1">
      <alignment horizontal="center" vertical="center" wrapText="1"/>
    </xf>
    <xf numFmtId="0" fontId="22" fillId="3" borderId="17" xfId="0" applyFont="1" applyFill="1" applyBorder="1"/>
    <xf numFmtId="164" fontId="14" fillId="0" borderId="28" xfId="0" applyNumberFormat="1" applyFont="1" applyFill="1" applyBorder="1" applyAlignment="1">
      <alignment horizontal="center"/>
    </xf>
    <xf numFmtId="164" fontId="14" fillId="0" borderId="29" xfId="0" applyNumberFormat="1" applyFont="1" applyFill="1" applyBorder="1" applyAlignment="1">
      <alignment horizontal="center"/>
    </xf>
    <xf numFmtId="164" fontId="14" fillId="0" borderId="31" xfId="0" applyNumberFormat="1" applyFont="1" applyFill="1" applyBorder="1" applyAlignment="1">
      <alignment horizontal="center"/>
    </xf>
    <xf numFmtId="164" fontId="14" fillId="0" borderId="33" xfId="0" applyNumberFormat="1" applyFont="1" applyFill="1" applyBorder="1" applyAlignment="1">
      <alignment horizontal="center"/>
    </xf>
    <xf numFmtId="164" fontId="14" fillId="0" borderId="34" xfId="0" applyNumberFormat="1" applyFont="1" applyFill="1" applyBorder="1" applyAlignment="1">
      <alignment horizontal="center"/>
    </xf>
    <xf numFmtId="0" fontId="14" fillId="3" borderId="35" xfId="0" applyFont="1" applyFill="1" applyBorder="1" applyAlignment="1">
      <alignment horizontal="center"/>
    </xf>
    <xf numFmtId="164" fontId="14" fillId="3" borderId="0" xfId="0" applyNumberFormat="1" applyFont="1" applyFill="1" applyAlignment="1">
      <alignment horizontal="center"/>
    </xf>
    <xf numFmtId="164" fontId="14" fillId="0" borderId="59" xfId="0" applyNumberFormat="1" applyFont="1" applyFill="1" applyBorder="1" applyAlignment="1">
      <alignment horizontal="center"/>
    </xf>
    <xf numFmtId="0" fontId="14" fillId="3" borderId="33" xfId="0" applyFont="1" applyFill="1" applyBorder="1" applyAlignment="1">
      <alignment horizontal="center"/>
    </xf>
    <xf numFmtId="0" fontId="14" fillId="0" borderId="61" xfId="0" applyFont="1" applyBorder="1" applyAlignment="1">
      <alignment horizontal="center"/>
    </xf>
    <xf numFmtId="0" fontId="14" fillId="0" borderId="52" xfId="0" applyFont="1" applyBorder="1" applyAlignment="1">
      <alignment horizontal="center"/>
    </xf>
    <xf numFmtId="0" fontId="14" fillId="0" borderId="42" xfId="0" applyFont="1" applyBorder="1" applyAlignment="1">
      <alignment horizontal="center"/>
    </xf>
    <xf numFmtId="0" fontId="14" fillId="0" borderId="62" xfId="0" applyFont="1" applyBorder="1" applyAlignment="1">
      <alignment horizontal="center"/>
    </xf>
    <xf numFmtId="164" fontId="14" fillId="0" borderId="60" xfId="0" applyNumberFormat="1" applyFont="1" applyFill="1" applyBorder="1" applyAlignment="1">
      <alignment horizontal="center"/>
    </xf>
    <xf numFmtId="164" fontId="14" fillId="0" borderId="63" xfId="0" applyNumberFormat="1" applyFont="1" applyFill="1" applyBorder="1" applyAlignment="1">
      <alignment horizontal="center"/>
    </xf>
    <xf numFmtId="164" fontId="14" fillId="3" borderId="0" xfId="0" applyNumberFormat="1" applyFont="1" applyFill="1"/>
    <xf numFmtId="164" fontId="50" fillId="3" borderId="1" xfId="0" applyNumberFormat="1" applyFont="1" applyFill="1" applyBorder="1" applyAlignment="1">
      <alignment horizontal="center"/>
    </xf>
    <xf numFmtId="164" fontId="50" fillId="3" borderId="31" xfId="0" applyNumberFormat="1" applyFont="1" applyFill="1" applyBorder="1" applyAlignment="1">
      <alignment horizontal="center"/>
    </xf>
    <xf numFmtId="164" fontId="50" fillId="3" borderId="33" xfId="0" applyNumberFormat="1" applyFont="1" applyFill="1" applyBorder="1" applyAlignment="1">
      <alignment horizontal="center"/>
    </xf>
    <xf numFmtId="164" fontId="50" fillId="3" borderId="34" xfId="0" applyNumberFormat="1" applyFont="1" applyFill="1" applyBorder="1" applyAlignment="1">
      <alignment horizontal="center"/>
    </xf>
    <xf numFmtId="164" fontId="0" fillId="3" borderId="0" xfId="0" applyNumberFormat="1" applyFill="1" applyAlignment="1">
      <alignment horizontal="center"/>
    </xf>
    <xf numFmtId="0" fontId="50" fillId="3" borderId="50" xfId="0" applyFont="1" applyFill="1" applyBorder="1"/>
    <xf numFmtId="0" fontId="0" fillId="3" borderId="53" xfId="0" applyFill="1" applyBorder="1" applyAlignment="1">
      <alignment horizontal="center"/>
    </xf>
    <xf numFmtId="0" fontId="50" fillId="3" borderId="53" xfId="0" applyFont="1" applyFill="1" applyBorder="1" applyAlignment="1">
      <alignment horizontal="center"/>
    </xf>
    <xf numFmtId="0" fontId="50" fillId="3" borderId="54" xfId="0" applyFont="1" applyFill="1" applyBorder="1" applyAlignment="1">
      <alignment horizontal="center"/>
    </xf>
    <xf numFmtId="0" fontId="0" fillId="3" borderId="28" xfId="0" applyFill="1" applyBorder="1"/>
    <xf numFmtId="164" fontId="50" fillId="3" borderId="28" xfId="0" applyNumberFormat="1" applyFont="1" applyFill="1" applyBorder="1" applyAlignment="1">
      <alignment horizontal="center"/>
    </xf>
    <xf numFmtId="164" fontId="50" fillId="3" borderId="29" xfId="0" applyNumberFormat="1" applyFont="1" applyFill="1" applyBorder="1" applyAlignment="1">
      <alignment horizontal="center"/>
    </xf>
    <xf numFmtId="0" fontId="24" fillId="0" borderId="35" xfId="0" applyFont="1" applyBorder="1" applyAlignment="1">
      <alignment horizontal="right" vertical="top" wrapText="1"/>
    </xf>
    <xf numFmtId="0" fontId="24" fillId="0" borderId="11" xfId="0" applyFont="1" applyBorder="1" applyAlignment="1">
      <alignment horizontal="right" vertical="top" wrapText="1"/>
    </xf>
    <xf numFmtId="0" fontId="24" fillId="0" borderId="36" xfId="0" applyFont="1" applyBorder="1" applyAlignment="1">
      <alignment horizontal="right" vertical="top" wrapText="1"/>
    </xf>
    <xf numFmtId="0" fontId="14" fillId="3" borderId="3" xfId="0" applyFont="1" applyFill="1" applyBorder="1" applyAlignment="1">
      <alignment horizontal="left"/>
    </xf>
    <xf numFmtId="0" fontId="14" fillId="3" borderId="23" xfId="0" applyFont="1" applyFill="1" applyBorder="1" applyAlignment="1">
      <alignment horizontal="left"/>
    </xf>
    <xf numFmtId="0" fontId="14" fillId="3" borderId="18" xfId="0" applyFont="1" applyFill="1" applyBorder="1" applyAlignment="1">
      <alignment horizontal="left"/>
    </xf>
    <xf numFmtId="0" fontId="14" fillId="3" borderId="11" xfId="0" applyFont="1" applyFill="1" applyBorder="1" applyAlignment="1">
      <alignment horizontal="left"/>
    </xf>
    <xf numFmtId="0" fontId="24" fillId="0" borderId="35" xfId="0" applyFont="1" applyBorder="1" applyAlignment="1">
      <alignment horizontal="right" vertical="top"/>
    </xf>
    <xf numFmtId="0" fontId="24" fillId="0" borderId="11" xfId="0" applyFont="1" applyBorder="1" applyAlignment="1">
      <alignment horizontal="right" vertical="top"/>
    </xf>
    <xf numFmtId="0" fontId="24" fillId="0" borderId="36" xfId="0" applyFont="1" applyBorder="1" applyAlignment="1">
      <alignment horizontal="right" vertical="top"/>
    </xf>
    <xf numFmtId="0" fontId="24" fillId="0" borderId="41" xfId="0" applyFont="1" applyBorder="1" applyAlignment="1">
      <alignment horizontal="left"/>
    </xf>
    <xf numFmtId="0" fontId="24" fillId="0" borderId="36" xfId="0" applyFont="1" applyBorder="1" applyAlignment="1">
      <alignment horizontal="left"/>
    </xf>
    <xf numFmtId="0" fontId="50" fillId="3" borderId="0" xfId="0" applyFont="1" applyFill="1" applyBorder="1" applyAlignment="1">
      <alignment horizontal="center" wrapText="1"/>
    </xf>
    <xf numFmtId="0" fontId="14" fillId="0" borderId="27" xfId="0" applyFont="1" applyBorder="1" applyAlignment="1">
      <alignment horizontal="left"/>
    </xf>
    <xf numFmtId="0" fontId="14" fillId="0" borderId="28" xfId="0" applyFont="1" applyBorder="1" applyAlignment="1">
      <alignment horizontal="left"/>
    </xf>
    <xf numFmtId="0" fontId="14" fillId="0" borderId="35" xfId="0" applyFont="1" applyFill="1" applyBorder="1" applyAlignment="1">
      <alignment horizontal="left"/>
    </xf>
    <xf numFmtId="0" fontId="14" fillId="0" borderId="28" xfId="0" applyFont="1" applyFill="1" applyBorder="1" applyAlignment="1">
      <alignment horizontal="left"/>
    </xf>
    <xf numFmtId="0" fontId="14" fillId="0" borderId="39" xfId="0" applyFont="1" applyBorder="1" applyAlignment="1">
      <alignment horizontal="left"/>
    </xf>
    <xf numFmtId="0" fontId="14" fillId="0" borderId="35" xfId="0" applyFont="1" applyBorder="1" applyAlignment="1">
      <alignment horizontal="left"/>
    </xf>
    <xf numFmtId="0" fontId="14" fillId="3" borderId="0" xfId="0" applyFont="1" applyFill="1" applyBorder="1" applyAlignment="1">
      <alignment horizontal="center" wrapText="1"/>
    </xf>
    <xf numFmtId="0" fontId="16" fillId="0" borderId="16" xfId="0" applyFont="1" applyFill="1" applyBorder="1" applyAlignment="1">
      <alignment horizontal="left" vertical="center"/>
    </xf>
    <xf numFmtId="0" fontId="16" fillId="0" borderId="10" xfId="0" applyFont="1" applyFill="1" applyBorder="1" applyAlignment="1">
      <alignment horizontal="left" vertical="center"/>
    </xf>
    <xf numFmtId="0" fontId="16" fillId="0" borderId="17" xfId="0" applyFont="1" applyFill="1" applyBorder="1" applyAlignment="1">
      <alignment horizontal="left" vertical="center"/>
    </xf>
    <xf numFmtId="0" fontId="14" fillId="3" borderId="14" xfId="0" applyFont="1" applyFill="1" applyBorder="1" applyAlignment="1">
      <alignment horizontal="center" wrapText="1"/>
    </xf>
    <xf numFmtId="0" fontId="14" fillId="3" borderId="2" xfId="0" applyFont="1" applyFill="1" applyBorder="1" applyAlignment="1">
      <alignment horizontal="center" wrapText="1"/>
    </xf>
    <xf numFmtId="0" fontId="25" fillId="3" borderId="0" xfId="0" applyFont="1" applyFill="1" applyBorder="1" applyAlignment="1">
      <alignment horizontal="center" wrapText="1"/>
    </xf>
    <xf numFmtId="0" fontId="25" fillId="3" borderId="2" xfId="0" applyFont="1" applyFill="1" applyBorder="1" applyAlignment="1">
      <alignment horizontal="center" wrapText="1"/>
    </xf>
    <xf numFmtId="0" fontId="15" fillId="0" borderId="0" xfId="0" applyFont="1" applyFill="1" applyBorder="1" applyAlignment="1">
      <alignment horizontal="left" vertical="center"/>
    </xf>
    <xf numFmtId="0" fontId="16" fillId="0" borderId="5" xfId="0" applyFont="1" applyFill="1" applyBorder="1" applyAlignment="1">
      <alignment horizontal="left" vertical="center"/>
    </xf>
    <xf numFmtId="0" fontId="16" fillId="0" borderId="6" xfId="0" applyFont="1" applyFill="1" applyBorder="1" applyAlignment="1">
      <alignment horizontal="left" vertical="center"/>
    </xf>
    <xf numFmtId="0" fontId="44" fillId="3" borderId="4" xfId="0" applyFont="1" applyFill="1" applyBorder="1" applyAlignment="1">
      <alignment horizontal="left"/>
    </xf>
    <xf numFmtId="0" fontId="44" fillId="3" borderId="0" xfId="0" applyFont="1" applyFill="1" applyBorder="1" applyAlignment="1">
      <alignment horizontal="left"/>
    </xf>
    <xf numFmtId="0" fontId="14" fillId="3" borderId="25" xfId="0" applyFont="1" applyFill="1" applyBorder="1" applyAlignment="1">
      <alignment horizontal="left"/>
    </xf>
    <xf numFmtId="0" fontId="14" fillId="2" borderId="0" xfId="0" applyFont="1" applyFill="1" applyBorder="1" applyAlignment="1">
      <alignment horizontal="center" wrapText="1"/>
    </xf>
    <xf numFmtId="0" fontId="14" fillId="2" borderId="2" xfId="0" applyFont="1" applyFill="1" applyBorder="1" applyAlignment="1">
      <alignment horizontal="center" wrapText="1"/>
    </xf>
    <xf numFmtId="0" fontId="18" fillId="6" borderId="18" xfId="0" applyFont="1" applyFill="1" applyBorder="1" applyAlignment="1">
      <alignment horizontal="left"/>
    </xf>
    <xf numFmtId="0" fontId="18" fillId="6" borderId="11" xfId="0" applyFont="1" applyFill="1" applyBorder="1" applyAlignment="1">
      <alignment horizontal="left"/>
    </xf>
    <xf numFmtId="165" fontId="14" fillId="7" borderId="1" xfId="0" applyNumberFormat="1" applyFont="1" applyFill="1" applyBorder="1" applyAlignment="1">
      <alignment horizontal="center"/>
    </xf>
    <xf numFmtId="0" fontId="50" fillId="7" borderId="1" xfId="0" applyFont="1" applyFill="1" applyBorder="1" applyAlignment="1">
      <alignment horizontal="center"/>
    </xf>
    <xf numFmtId="0" fontId="15" fillId="2" borderId="5" xfId="0" applyFont="1" applyFill="1" applyBorder="1" applyAlignment="1">
      <alignment horizontal="left" vertical="center"/>
    </xf>
    <xf numFmtId="0" fontId="15" fillId="2" borderId="6" xfId="0" applyFont="1" applyFill="1" applyBorder="1" applyAlignment="1">
      <alignment horizontal="left" vertical="center"/>
    </xf>
    <xf numFmtId="0" fontId="15" fillId="2" borderId="42" xfId="0" applyFont="1" applyFill="1" applyBorder="1" applyAlignment="1">
      <alignment horizontal="left" vertical="center"/>
    </xf>
    <xf numFmtId="0" fontId="15" fillId="2" borderId="5" xfId="0" applyFont="1" applyFill="1" applyBorder="1" applyAlignment="1">
      <alignment horizontal="left"/>
    </xf>
    <xf numFmtId="0" fontId="15" fillId="2" borderId="6" xfId="0" applyFont="1" applyFill="1" applyBorder="1" applyAlignment="1">
      <alignment horizontal="left"/>
    </xf>
    <xf numFmtId="0" fontId="14" fillId="3" borderId="15" xfId="0" applyFont="1" applyFill="1" applyBorder="1" applyAlignment="1">
      <alignment horizontal="center"/>
    </xf>
    <xf numFmtId="0" fontId="14" fillId="3" borderId="10" xfId="0" applyFont="1" applyFill="1" applyBorder="1" applyAlignment="1">
      <alignment horizontal="center"/>
    </xf>
    <xf numFmtId="0" fontId="72" fillId="3" borderId="0" xfId="0" applyFont="1" applyFill="1" applyBorder="1" applyAlignment="1">
      <alignment horizontal="center" wrapText="1"/>
    </xf>
    <xf numFmtId="0" fontId="14" fillId="3" borderId="57" xfId="0" applyFont="1" applyFill="1" applyBorder="1" applyAlignment="1">
      <alignment horizontal="center"/>
    </xf>
    <xf numFmtId="0" fontId="14" fillId="3" borderId="35" xfId="0" applyFont="1" applyFill="1" applyBorder="1" applyAlignment="1">
      <alignment horizontal="center"/>
    </xf>
    <xf numFmtId="0" fontId="14" fillId="3" borderId="27" xfId="0" applyFont="1" applyFill="1" applyBorder="1" applyAlignment="1">
      <alignment horizontal="center" wrapText="1"/>
    </xf>
    <xf numFmtId="0" fontId="14" fillId="3" borderId="32" xfId="0" applyFont="1" applyFill="1" applyBorder="1" applyAlignment="1">
      <alignment horizontal="center" wrapText="1"/>
    </xf>
    <xf numFmtId="0" fontId="14" fillId="3" borderId="53" xfId="0" applyFont="1" applyFill="1" applyBorder="1" applyAlignment="1">
      <alignment horizontal="center" wrapText="1"/>
    </xf>
    <xf numFmtId="0" fontId="14" fillId="3" borderId="60" xfId="0" applyFont="1" applyFill="1" applyBorder="1" applyAlignment="1">
      <alignment horizontal="center" wrapText="1"/>
    </xf>
    <xf numFmtId="0" fontId="14" fillId="3" borderId="53" xfId="0" applyFont="1" applyFill="1" applyBorder="1" applyAlignment="1">
      <alignment horizontal="left"/>
    </xf>
    <xf numFmtId="0" fontId="14" fillId="3" borderId="60" xfId="0" applyFont="1" applyFill="1" applyBorder="1" applyAlignment="1">
      <alignment horizontal="left"/>
    </xf>
    <xf numFmtId="0" fontId="25" fillId="2" borderId="44" xfId="0" applyFont="1" applyFill="1" applyBorder="1" applyAlignment="1">
      <alignment horizontal="left"/>
    </xf>
    <xf numFmtId="0" fontId="25" fillId="2" borderId="45" xfId="0" applyFont="1" applyFill="1" applyBorder="1" applyAlignment="1">
      <alignment horizontal="left"/>
    </xf>
    <xf numFmtId="0" fontId="25" fillId="2" borderId="11" xfId="0" applyFont="1" applyFill="1" applyBorder="1" applyAlignment="1">
      <alignment horizontal="left"/>
    </xf>
    <xf numFmtId="0" fontId="14" fillId="3" borderId="26" xfId="0" applyFont="1" applyFill="1" applyBorder="1" applyAlignment="1">
      <alignment horizontal="left"/>
    </xf>
    <xf numFmtId="0" fontId="60" fillId="2" borderId="50" xfId="0" applyFont="1" applyFill="1" applyBorder="1" applyAlignment="1">
      <alignment horizontal="center" vertical="center" wrapText="1"/>
    </xf>
    <xf numFmtId="0" fontId="60" fillId="2" borderId="51" xfId="0" applyFont="1" applyFill="1" applyBorder="1" applyAlignment="1">
      <alignment horizontal="center" vertical="center" wrapText="1"/>
    </xf>
    <xf numFmtId="0" fontId="60" fillId="2" borderId="47" xfId="0" applyFont="1" applyFill="1" applyBorder="1" applyAlignment="1">
      <alignment horizontal="center" wrapText="1"/>
    </xf>
    <xf numFmtId="0" fontId="60" fillId="2" borderId="46" xfId="0" applyFont="1" applyFill="1" applyBorder="1" applyAlignment="1">
      <alignment horizontal="center" wrapText="1"/>
    </xf>
    <xf numFmtId="0" fontId="60" fillId="2" borderId="47" xfId="0" applyFont="1" applyFill="1" applyBorder="1" applyAlignment="1">
      <alignment horizontal="center"/>
    </xf>
    <xf numFmtId="0" fontId="60" fillId="2" borderId="15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42" xfId="0" applyFont="1" applyFill="1" applyBorder="1" applyAlignment="1">
      <alignment horizontal="center"/>
    </xf>
    <xf numFmtId="0" fontId="1" fillId="0" borderId="5" xfId="0" quotePrefix="1" applyFont="1" applyFill="1" applyBorder="1" applyAlignment="1">
      <alignment horizontal="center"/>
    </xf>
    <xf numFmtId="0" fontId="1" fillId="0" borderId="6" xfId="0" quotePrefix="1" applyFont="1" applyFill="1" applyBorder="1" applyAlignment="1">
      <alignment horizontal="center"/>
    </xf>
    <xf numFmtId="0" fontId="1" fillId="0" borderId="42" xfId="0" quotePrefix="1" applyFont="1" applyFill="1" applyBorder="1" applyAlignment="1">
      <alignment horizontal="center"/>
    </xf>
  </cellXfs>
  <cellStyles count="3">
    <cellStyle name="Normaali 2" xfId="2"/>
    <cellStyle name="Normal" xfId="0" builtinId="0"/>
    <cellStyle name="Normal 2 2" xfId="1"/>
  </cellStyles>
  <dxfs count="0"/>
  <tableStyles count="0" defaultTableStyle="TableStyleMedium2" defaultPivotStyle="PivotStyleLight16"/>
  <colors>
    <mruColors>
      <color rgb="FFFF3300"/>
      <color rgb="FFFFFF66"/>
      <color rgb="FFFFFFFF"/>
      <color rgb="FFFF0066"/>
      <color rgb="FFCC99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t-EE" sz="1100"/>
              <a:t>WITH POLICY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775273273242056"/>
          <c:y val="0.23360459773695399"/>
          <c:w val="0.49148863654083336"/>
          <c:h val="0.6872744546806737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TRANSPORT!$C$215:$C$219</c:f>
              <c:numCache>
                <c:formatCode>0.0</c:formatCode>
                <c:ptCount val="5"/>
                <c:pt idx="0">
                  <c:v>45</c:v>
                </c:pt>
                <c:pt idx="1">
                  <c:v>2</c:v>
                </c:pt>
                <c:pt idx="2">
                  <c:v>22</c:v>
                </c:pt>
                <c:pt idx="3">
                  <c:v>20</c:v>
                </c:pt>
                <c:pt idx="4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t-EE" sz="1100"/>
              <a:t>WITHOUT</a:t>
            </a:r>
            <a:r>
              <a:rPr lang="et-EE" sz="1100" baseline="0"/>
              <a:t> POLICY</a:t>
            </a:r>
            <a:endParaRPr lang="en-US" sz="1100"/>
          </a:p>
        </c:rich>
      </c:tx>
      <c:layout>
        <c:manualLayout>
          <c:xMode val="edge"/>
          <c:yMode val="edge"/>
          <c:x val="0.70753109346512943"/>
          <c:y val="0.120171606953394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9121087934516048"/>
          <c:y val="0.3210585828892607"/>
          <c:w val="0.37221988460496508"/>
          <c:h val="0.678941417110739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multiLvlStrRef>
              <c:f>TRANSPORT!$A$223:$C$227</c:f>
              <c:multiLvlStrCache>
                <c:ptCount val="5"/>
                <c:lvl>
                  <c:pt idx="1">
                    <c:v>policy target %</c:v>
                  </c:pt>
                  <c:pt idx="3">
                    <c:v>2024</c:v>
                  </c:pt>
                  <c:pt idx="4">
                    <c:v>30.0</c:v>
                  </c:pt>
                </c:lvl>
                <c:lvl>
                  <c:pt idx="1">
                    <c:v>without policy</c:v>
                  </c:pt>
                  <c:pt idx="3">
                    <c:v>2024</c:v>
                  </c:pt>
                  <c:pt idx="4">
                    <c:v>0.0</c:v>
                  </c:pt>
                </c:lvl>
                <c:lvl>
                  <c:pt idx="1">
                    <c:v>Policy period starts before the starting year for the study</c:v>
                  </c:pt>
                  <c:pt idx="3">
                    <c:v>U3.4 MODAL SPLIT / FREIGHT TRANSPORT</c:v>
                  </c:pt>
                  <c:pt idx="4">
                    <c:v>share for rail</c:v>
                  </c:pt>
                </c:lvl>
              </c:multiLvlStrCache>
            </c:multiLvlStrRef>
          </c:cat>
          <c:val>
            <c:numRef>
              <c:f>TRANSPORT!$B$215:$B$219</c:f>
              <c:numCache>
                <c:formatCode>0.0</c:formatCode>
                <c:ptCount val="5"/>
                <c:pt idx="0">
                  <c:v>6.520821821324656</c:v>
                </c:pt>
                <c:pt idx="1">
                  <c:v>7.2075347473464484E-3</c:v>
                </c:pt>
                <c:pt idx="2">
                  <c:v>3.2187072981300579E-3</c:v>
                </c:pt>
                <c:pt idx="3">
                  <c:v>12.241480632200918</c:v>
                </c:pt>
                <c:pt idx="4">
                  <c:v>81.227271304428953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.12224069123538402"/>
          <c:y val="0.24481734908780273"/>
          <c:w val="3.0552716805874774E-2"/>
          <c:h val="0.634369370131353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t-EE" sz="1100"/>
              <a:t>TRANSPORT</a:t>
            </a:r>
            <a:r>
              <a:rPr lang="et-EE" sz="1100" baseline="0"/>
              <a:t> </a:t>
            </a:r>
            <a:r>
              <a:rPr lang="en-US" sz="1100"/>
              <a:t>BA</a:t>
            </a:r>
            <a:r>
              <a:rPr lang="et-EE" sz="1100"/>
              <a:t>SELINE</a:t>
            </a:r>
            <a:endParaRPr lang="en-US" sz="1100"/>
          </a:p>
        </c:rich>
      </c:tx>
      <c:layout>
        <c:manualLayout>
          <c:xMode val="edge"/>
          <c:yMode val="edge"/>
          <c:x val="0.50946964933500705"/>
          <c:y val="4.84359181784704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ln w="127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6"/>
              </a:solidFill>
              <a:ln w="12700">
                <a:solidFill>
                  <a:schemeClr val="bg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/>
              </a:solidFill>
              <a:ln w="12700">
                <a:solidFill>
                  <a:schemeClr val="bg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2700">
                <a:solidFill>
                  <a:schemeClr val="bg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FF3300"/>
              </a:solidFill>
              <a:ln w="12700">
                <a:solidFill>
                  <a:schemeClr val="bg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C00000"/>
              </a:solidFill>
              <a:ln w="12700">
                <a:solidFill>
                  <a:schemeClr val="bg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2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50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CC9900"/>
              </a:solidFill>
              <a:ln w="12700">
                <a:solidFill>
                  <a:schemeClr val="bg1"/>
                </a:solidFill>
              </a:ln>
              <a:effectLst/>
            </c:spPr>
          </c:dPt>
          <c:cat>
            <c:strRef>
              <c:f>TRANSPORT!$A$76:$A$83</c:f>
              <c:strCache>
                <c:ptCount val="8"/>
                <c:pt idx="0">
                  <c:v>BUS</c:v>
                </c:pt>
                <c:pt idx="1">
                  <c:v>PASSENGER CAR</c:v>
                </c:pt>
                <c:pt idx="2">
                  <c:v>METRO</c:v>
                </c:pt>
                <c:pt idx="3">
                  <c:v>TRAM</c:v>
                </c:pt>
                <c:pt idx="4">
                  <c:v>PASSENGER TRAIN</c:v>
                </c:pt>
                <c:pt idx="5">
                  <c:v>RAIL TRANSPORT</c:v>
                </c:pt>
                <c:pt idx="6">
                  <c:v>ROAD TRANSPORT</c:v>
                </c:pt>
                <c:pt idx="7">
                  <c:v>TRANSPORT ON INLAND WATERWAYS</c:v>
                </c:pt>
              </c:strCache>
            </c:strRef>
          </c:cat>
          <c:val>
            <c:numRef>
              <c:f>TRANSPORT!$B$76:$B$83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5.5555539353881786E-2"/>
          <c:y val="4.8930819900382637E-2"/>
          <c:w val="0.38335720875161733"/>
          <c:h val="0.904941862066539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t-EE"/>
              <a:t>BASELINE SCENARIO</a:t>
            </a:r>
            <a:endParaRPr lang="en-US"/>
          </a:p>
        </c:rich>
      </c:tx>
      <c:layout>
        <c:manualLayout>
          <c:xMode val="edge"/>
          <c:yMode val="edge"/>
          <c:x val="0.3010338850817695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TRANSPORT!$F$93</c:f>
              <c:strCache>
                <c:ptCount val="1"/>
                <c:pt idx="0">
                  <c:v>BUS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TRANSPORT!$K$92:$AN$92</c15:sqref>
                  </c15:fullRef>
                </c:ext>
              </c:extLst>
              <c:f>TRANSPORT!$L$92:$AN$92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TRANSPORT!$K$93:$AN$93</c15:sqref>
                  </c15:fullRef>
                </c:ext>
              </c:extLst>
              <c:f>TRANSPORT!$L$93:$AN$93</c:f>
              <c:numCache>
                <c:formatCode>0.0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1.7502779749286814</c:v>
                </c:pt>
                <c:pt idx="4">
                  <c:v>1.746794834680067</c:v>
                </c:pt>
                <c:pt idx="5">
                  <c:v>1.7433617775049779</c:v>
                </c:pt>
                <c:pt idx="6">
                  <c:v>1.7398964820221066</c:v>
                </c:pt>
                <c:pt idx="7">
                  <c:v>1.7364810153587702</c:v>
                </c:pt>
                <c:pt idx="8">
                  <c:v>1.7360357160428548</c:v>
                </c:pt>
                <c:pt idx="9">
                  <c:v>1.7261879965311779</c:v>
                </c:pt>
                <c:pt idx="10">
                  <c:v>1.7193318293065447</c:v>
                </c:pt>
                <c:pt idx="11">
                  <c:v>1.7125451422175522</c:v>
                </c:pt>
                <c:pt idx="12">
                  <c:v>1.7057492365641678</c:v>
                </c:pt>
                <c:pt idx="13">
                  <c:v>1.6990221541989066</c:v>
                </c:pt>
                <c:pt idx="14">
                  <c:v>1.6922865807986041</c:v>
                </c:pt>
                <c:pt idx="15">
                  <c:v>1.6856191690657309</c:v>
                </c:pt>
                <c:pt idx="16">
                  <c:v>1.6789439636513377</c:v>
                </c:pt>
                <c:pt idx="17">
                  <c:v>1.6722619710160074</c:v>
                </c:pt>
                <c:pt idx="18">
                  <c:v>1.6656477961209661</c:v>
                </c:pt>
                <c:pt idx="19">
                  <c:v>1.6590274724524623</c:v>
                </c:pt>
                <c:pt idx="20">
                  <c:v>1.6524742740051952</c:v>
                </c:pt>
                <c:pt idx="21">
                  <c:v>1.64591553777174</c:v>
                </c:pt>
                <c:pt idx="22">
                  <c:v>1.6394232321700652</c:v>
                </c:pt>
                <c:pt idx="23">
                  <c:v>1.6329259732701642</c:v>
                </c:pt>
                <c:pt idx="24">
                  <c:v>1.626494448884646</c:v>
                </c:pt>
                <c:pt idx="25">
                  <c:v>1.6200585301242802</c:v>
                </c:pt>
                <c:pt idx="26">
                  <c:v>1.6136191036967726</c:v>
                </c:pt>
                <c:pt idx="27">
                  <c:v>1.6072449706314154</c:v>
                </c:pt>
                <c:pt idx="28">
                  <c:v>1.6008678373608456</c:v>
                </c:pt>
              </c:numCache>
            </c:numRef>
          </c:val>
        </c:ser>
        <c:ser>
          <c:idx val="1"/>
          <c:order val="1"/>
          <c:tx>
            <c:strRef>
              <c:f>TRANSPORT!$F$94</c:f>
              <c:strCache>
                <c:ptCount val="1"/>
                <c:pt idx="0">
                  <c:v>PASSENGER CAR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TRANSPORT!$K$92:$AN$92</c15:sqref>
                  </c15:fullRef>
                </c:ext>
              </c:extLst>
              <c:f>TRANSPORT!$L$92:$AN$92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TRANSPORT!$K$94:$AN$94</c15:sqref>
                  </c15:fullRef>
                </c:ext>
              </c:extLst>
              <c:f>TRANSPORT!$L$94:$AN$94</c:f>
              <c:numCache>
                <c:formatCode>#,##0.000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2"/>
          <c:order val="2"/>
          <c:tx>
            <c:strRef>
              <c:f>TRANSPORT!$F$95</c:f>
              <c:strCache>
                <c:ptCount val="1"/>
                <c:pt idx="0">
                  <c:v>METRO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TRANSPORT!$K$92:$AN$92</c15:sqref>
                  </c15:fullRef>
                </c:ext>
              </c:extLst>
              <c:f>TRANSPORT!$L$92:$AN$92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TRANSPORT!$K$95:$AN$95</c15:sqref>
                  </c15:fullRef>
                </c:ext>
              </c:extLst>
              <c:f>TRANSPORT!$L$95:$AN$95</c:f>
              <c:numCache>
                <c:formatCode>#,##0.000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3"/>
          <c:order val="3"/>
          <c:tx>
            <c:strRef>
              <c:f>TRANSPORT!$F$96</c:f>
              <c:strCache>
                <c:ptCount val="1"/>
                <c:pt idx="0">
                  <c:v>TRAM</c:v>
                </c:pt>
              </c:strCache>
            </c:strRef>
          </c:tx>
          <c:spPr>
            <a:solidFill>
              <a:srgbClr val="FF3300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TRANSPORT!$K$92:$AN$92</c15:sqref>
                  </c15:fullRef>
                </c:ext>
              </c:extLst>
              <c:f>TRANSPORT!$L$92:$AN$92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TRANSPORT!$K$96:$AN$96</c15:sqref>
                  </c15:fullRef>
                </c:ext>
              </c:extLst>
              <c:f>TRANSPORT!$L$96:$AN$96</c:f>
              <c:numCache>
                <c:formatCode>#,##0.000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4"/>
          <c:order val="4"/>
          <c:tx>
            <c:strRef>
              <c:f>TRANSPORT!$F$97</c:f>
              <c:strCache>
                <c:ptCount val="1"/>
                <c:pt idx="0">
                  <c:v>PASSENGER TRAIN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TRANSPORT!$K$92:$AN$92</c15:sqref>
                  </c15:fullRef>
                </c:ext>
              </c:extLst>
              <c:f>TRANSPORT!$L$92:$AN$92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TRANSPORT!$K$97:$AN$97</c15:sqref>
                  </c15:fullRef>
                </c:ext>
              </c:extLst>
              <c:f>TRANSPORT!$L$97:$AN$97</c:f>
              <c:numCache>
                <c:formatCode>#,##0.000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5"/>
          <c:order val="5"/>
          <c:tx>
            <c:strRef>
              <c:f>TRANSPORT!$F$98</c:f>
              <c:strCache>
                <c:ptCount val="1"/>
                <c:pt idx="0">
                  <c:v>RAIL TRANSPORT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TRANSPORT!$K$92:$AN$92</c15:sqref>
                  </c15:fullRef>
                </c:ext>
              </c:extLst>
              <c:f>TRANSPORT!$L$92:$AN$92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TRANSPORT!$K$98:$AN$98</c15:sqref>
                  </c15:fullRef>
                </c:ext>
              </c:extLst>
              <c:f>TRANSPORT!$L$98:$AN$98</c:f>
              <c:numCache>
                <c:formatCode>#,##0.000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6"/>
          <c:order val="6"/>
          <c:tx>
            <c:strRef>
              <c:f>TRANSPORT!$F$99</c:f>
              <c:strCache>
                <c:ptCount val="1"/>
                <c:pt idx="0">
                  <c:v>ROAD TRANSPORT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TRANSPORT!$K$92:$AN$92</c15:sqref>
                  </c15:fullRef>
                </c:ext>
              </c:extLst>
              <c:f>TRANSPORT!$L$92:$AN$92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TRANSPORT!$K$99:$AN$99</c15:sqref>
                  </c15:fullRef>
                </c:ext>
              </c:extLst>
              <c:f>TRANSPORT!$L$99:$AN$99</c:f>
              <c:numCache>
                <c:formatCode>#,##0.000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7"/>
          <c:order val="7"/>
          <c:tx>
            <c:strRef>
              <c:f>TRANSPORT!$F$100</c:f>
              <c:strCache>
                <c:ptCount val="1"/>
                <c:pt idx="0">
                  <c:v>TRANSPORT ON WATERWAYS</c:v>
                </c:pt>
              </c:strCache>
            </c:strRef>
          </c:tx>
          <c:spPr>
            <a:solidFill>
              <a:srgbClr val="CC9900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TRANSPORT!$K$92:$AN$92</c15:sqref>
                  </c15:fullRef>
                </c:ext>
              </c:extLst>
              <c:f>TRANSPORT!$L$92:$AN$92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TRANSPORT!$K$100:$AN$100</c15:sqref>
                  </c15:fullRef>
                </c:ext>
              </c:extLst>
              <c:f>TRANSPORT!$L$100:$AN$100</c:f>
              <c:numCache>
                <c:formatCode>#,##0.000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"/>
        <c:overlap val="100"/>
        <c:axId val="554393400"/>
        <c:axId val="554388304"/>
      </c:barChart>
      <c:catAx>
        <c:axId val="554393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88304"/>
        <c:crosses val="autoZero"/>
        <c:auto val="1"/>
        <c:lblAlgn val="ctr"/>
        <c:lblOffset val="100"/>
        <c:noMultiLvlLbl val="0"/>
      </c:catAx>
      <c:valAx>
        <c:axId val="55438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93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6037695248287513"/>
          <c:y val="0.23714553537950611"/>
          <c:w val="0.34528167898070805"/>
          <c:h val="0.7016299649154348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TRANSPORT!$A$5:$B$9</c:f>
              <c:strCache>
                <c:ptCount val="5"/>
                <c:pt idx="0">
                  <c:v>METROPOLITAN CENTER</c:v>
                </c:pt>
                <c:pt idx="1">
                  <c:v>URBAN</c:v>
                </c:pt>
                <c:pt idx="2">
                  <c:v>SUBURBAN</c:v>
                </c:pt>
                <c:pt idx="3">
                  <c:v>TOWN</c:v>
                </c:pt>
                <c:pt idx="4">
                  <c:v>RURAL</c:v>
                </c:pt>
              </c:strCache>
            </c:strRef>
          </c:cat>
          <c:val>
            <c:numRef>
              <c:f>TRANSPORT!$C$5:$C$9</c:f>
              <c:numCache>
                <c:formatCode>#,##0</c:formatCode>
                <c:ptCount val="5"/>
                <c:pt idx="0">
                  <c:v>75</c:v>
                </c:pt>
                <c:pt idx="1">
                  <c:v>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4.539706672321544E-3"/>
          <c:y val="0.15367989715571267"/>
          <c:w val="0.35027929642622496"/>
          <c:h val="0.656680057849911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747010217856944"/>
          <c:y val="0.26823129251700678"/>
          <c:w val="0.33935492711616344"/>
          <c:h val="0.69775510204081637"/>
        </c:manualLayout>
      </c:layout>
      <c:pieChart>
        <c:varyColors val="1"/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TRANSPORT!$A$126:$A$130</c:f>
              <c:strCache>
                <c:ptCount val="5"/>
                <c:pt idx="0">
                  <c:v>METROPOLITAN CENTER</c:v>
                </c:pt>
                <c:pt idx="1">
                  <c:v>URBAN</c:v>
                </c:pt>
                <c:pt idx="2">
                  <c:v>SUBURBAN</c:v>
                </c:pt>
                <c:pt idx="3">
                  <c:v>TOWN</c:v>
                </c:pt>
                <c:pt idx="4">
                  <c:v>RURAL</c:v>
                </c:pt>
              </c:strCache>
            </c:strRef>
          </c:cat>
          <c:val>
            <c:numRef>
              <c:f>TRANSPORT!$C$126:$C$130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70</c:v>
                </c:pt>
                <c:pt idx="3">
                  <c:v>30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cat>
                  <c:strRef>
                    <c:extLst>
                      <c:ext uri="{02D57815-91ED-43cb-92C2-25804820EDAC}">
                        <c15:formulaRef>
                          <c15:sqref>TRANSPORT!$A$126:$A$130</c15:sqref>
                        </c15:formulaRef>
                      </c:ext>
                    </c:extLst>
                    <c:strCache>
                      <c:ptCount val="5"/>
                      <c:pt idx="0">
                        <c:v>METROPOLITAN CENTER</c:v>
                      </c:pt>
                      <c:pt idx="1">
                        <c:v>URBAN</c:v>
                      </c:pt>
                      <c:pt idx="2">
                        <c:v>SUBURBAN</c:v>
                      </c:pt>
                      <c:pt idx="3">
                        <c:v>TOWN</c:v>
                      </c:pt>
                      <c:pt idx="4">
                        <c:v>RURAL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TRANSPORT!$B$126:$B$130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56747271252293E-2"/>
          <c:y val="0.20810166586319567"/>
          <c:w val="0.35027929642622496"/>
          <c:h val="0.656680057849911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1"/>
          <c:order val="1"/>
          <c:tx>
            <c:strRef>
              <c:f>TRANSPORT!$F$116</c:f>
              <c:strCache>
                <c:ptCount val="1"/>
                <c:pt idx="0">
                  <c:v>with policies (U2)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TRANSPORT!$S$118:$AN$118</c:f>
              <c:strCache>
                <c:ptCount val="1"/>
                <c:pt idx="0">
                  <c:v>water transport</c:v>
                </c:pt>
              </c:strCache>
            </c:strRef>
          </c:cat>
          <c:val>
            <c:numRef>
              <c:f>TRANSPORT!$L$116:$AN$116</c:f>
              <c:numCache>
                <c:formatCode>General</c:formatCode>
                <c:ptCount val="29"/>
                <c:pt idx="0">
                  <c:v>0</c:v>
                </c:pt>
                <c:pt idx="1">
                  <c:v>625</c:v>
                </c:pt>
                <c:pt idx="2">
                  <c:v>1250</c:v>
                </c:pt>
                <c:pt idx="3">
                  <c:v>22875</c:v>
                </c:pt>
                <c:pt idx="4">
                  <c:v>23605</c:v>
                </c:pt>
                <c:pt idx="5">
                  <c:v>24335</c:v>
                </c:pt>
                <c:pt idx="6">
                  <c:v>25066</c:v>
                </c:pt>
                <c:pt idx="7">
                  <c:v>25797</c:v>
                </c:pt>
                <c:pt idx="8">
                  <c:v>26529</c:v>
                </c:pt>
                <c:pt idx="9">
                  <c:v>26661</c:v>
                </c:pt>
                <c:pt idx="10">
                  <c:v>26794</c:v>
                </c:pt>
                <c:pt idx="11">
                  <c:v>26927</c:v>
                </c:pt>
                <c:pt idx="12">
                  <c:v>27061</c:v>
                </c:pt>
                <c:pt idx="13">
                  <c:v>27196</c:v>
                </c:pt>
                <c:pt idx="14">
                  <c:v>27332</c:v>
                </c:pt>
                <c:pt idx="15">
                  <c:v>27468</c:v>
                </c:pt>
                <c:pt idx="16">
                  <c:v>27605</c:v>
                </c:pt>
                <c:pt idx="17">
                  <c:v>27743</c:v>
                </c:pt>
                <c:pt idx="18">
                  <c:v>27881</c:v>
                </c:pt>
                <c:pt idx="19">
                  <c:v>28020</c:v>
                </c:pt>
                <c:pt idx="20">
                  <c:v>28159</c:v>
                </c:pt>
                <c:pt idx="21">
                  <c:v>28300</c:v>
                </c:pt>
                <c:pt idx="22">
                  <c:v>28441</c:v>
                </c:pt>
                <c:pt idx="23">
                  <c:v>28583</c:v>
                </c:pt>
                <c:pt idx="24">
                  <c:v>28725</c:v>
                </c:pt>
                <c:pt idx="25">
                  <c:v>28868</c:v>
                </c:pt>
                <c:pt idx="26">
                  <c:v>29012</c:v>
                </c:pt>
                <c:pt idx="27">
                  <c:v>29156</c:v>
                </c:pt>
                <c:pt idx="28">
                  <c:v>29301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390656"/>
        <c:axId val="554391832"/>
      </c:areaChart>
      <c:lineChart>
        <c:grouping val="standard"/>
        <c:varyColors val="0"/>
        <c:ser>
          <c:idx val="0"/>
          <c:order val="0"/>
          <c:tx>
            <c:strRef>
              <c:f>TRANSPORT!$F$114</c:f>
              <c:strCache>
                <c:ptCount val="1"/>
                <c:pt idx="0">
                  <c:v>baseline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TRANSPORT!$S$118:$AN$118</c:f>
              <c:strCache>
                <c:ptCount val="1"/>
                <c:pt idx="0">
                  <c:v>water transport</c:v>
                </c:pt>
              </c:strCache>
            </c:strRef>
          </c:cat>
          <c:val>
            <c:numRef>
              <c:f>TRANSPORT!$L$114:$AN$114</c:f>
              <c:numCache>
                <c:formatCode>General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21000</c:v>
                </c:pt>
                <c:pt idx="4">
                  <c:v>21105</c:v>
                </c:pt>
                <c:pt idx="5">
                  <c:v>21210</c:v>
                </c:pt>
                <c:pt idx="6">
                  <c:v>21316</c:v>
                </c:pt>
                <c:pt idx="7">
                  <c:v>21422</c:v>
                </c:pt>
                <c:pt idx="8">
                  <c:v>21529</c:v>
                </c:pt>
                <c:pt idx="9">
                  <c:v>21636</c:v>
                </c:pt>
                <c:pt idx="10">
                  <c:v>21744</c:v>
                </c:pt>
                <c:pt idx="11">
                  <c:v>21852</c:v>
                </c:pt>
                <c:pt idx="12">
                  <c:v>21961</c:v>
                </c:pt>
                <c:pt idx="13">
                  <c:v>22070</c:v>
                </c:pt>
                <c:pt idx="14">
                  <c:v>22180</c:v>
                </c:pt>
                <c:pt idx="15">
                  <c:v>22290</c:v>
                </c:pt>
                <c:pt idx="16">
                  <c:v>22401</c:v>
                </c:pt>
                <c:pt idx="17">
                  <c:v>22513</c:v>
                </c:pt>
                <c:pt idx="18">
                  <c:v>22625</c:v>
                </c:pt>
                <c:pt idx="19">
                  <c:v>22738</c:v>
                </c:pt>
                <c:pt idx="20">
                  <c:v>22851</c:v>
                </c:pt>
                <c:pt idx="21">
                  <c:v>22965</c:v>
                </c:pt>
                <c:pt idx="22">
                  <c:v>23079</c:v>
                </c:pt>
                <c:pt idx="23">
                  <c:v>23194</c:v>
                </c:pt>
                <c:pt idx="24">
                  <c:v>23309</c:v>
                </c:pt>
                <c:pt idx="25">
                  <c:v>23425</c:v>
                </c:pt>
                <c:pt idx="26">
                  <c:v>23542</c:v>
                </c:pt>
                <c:pt idx="27">
                  <c:v>23659</c:v>
                </c:pt>
                <c:pt idx="28">
                  <c:v>23777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390656"/>
        <c:axId val="554391832"/>
      </c:lineChart>
      <c:catAx>
        <c:axId val="554390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91832"/>
        <c:crosses val="autoZero"/>
        <c:auto val="1"/>
        <c:lblAlgn val="ctr"/>
        <c:lblOffset val="100"/>
        <c:noMultiLvlLbl val="0"/>
      </c:catAx>
      <c:valAx>
        <c:axId val="55439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90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t-EE"/>
              <a:t>POLICY IMPACTS AND BASELINE SCENARIO</a:t>
            </a:r>
            <a:endParaRPr lang="en-US"/>
          </a:p>
        </c:rich>
      </c:tx>
      <c:layout>
        <c:manualLayout>
          <c:xMode val="edge"/>
          <c:yMode val="edge"/>
          <c:x val="0.3010338850817695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TRANSPORT!$F$93</c:f>
              <c:strCache>
                <c:ptCount val="1"/>
                <c:pt idx="0">
                  <c:v>BUS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TRANSPORT!$K$92:$AN$92</c15:sqref>
                  </c15:fullRef>
                </c:ext>
              </c:extLst>
              <c:f>TRANSPORT!$L$92:$AN$92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TRANSPORT!$K$93:$AN$93</c15:sqref>
                  </c15:fullRef>
                </c:ext>
              </c:extLst>
              <c:f>TRANSPORT!$L$93:$AN$93</c:f>
              <c:numCache>
                <c:formatCode>0.0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1.7502779749286814</c:v>
                </c:pt>
                <c:pt idx="4">
                  <c:v>1.746794834680067</c:v>
                </c:pt>
                <c:pt idx="5">
                  <c:v>1.7433617775049779</c:v>
                </c:pt>
                <c:pt idx="6">
                  <c:v>1.7398964820221066</c:v>
                </c:pt>
                <c:pt idx="7">
                  <c:v>1.7364810153587702</c:v>
                </c:pt>
                <c:pt idx="8">
                  <c:v>1.7360357160428548</c:v>
                </c:pt>
                <c:pt idx="9">
                  <c:v>1.7261879965311779</c:v>
                </c:pt>
                <c:pt idx="10">
                  <c:v>1.7193318293065447</c:v>
                </c:pt>
                <c:pt idx="11">
                  <c:v>1.7125451422175522</c:v>
                </c:pt>
                <c:pt idx="12">
                  <c:v>1.7057492365641678</c:v>
                </c:pt>
                <c:pt idx="13">
                  <c:v>1.6990221541989066</c:v>
                </c:pt>
                <c:pt idx="14">
                  <c:v>1.6922865807986041</c:v>
                </c:pt>
                <c:pt idx="15">
                  <c:v>1.6856191690657309</c:v>
                </c:pt>
                <c:pt idx="16">
                  <c:v>1.6789439636513377</c:v>
                </c:pt>
                <c:pt idx="17">
                  <c:v>1.6722619710160074</c:v>
                </c:pt>
                <c:pt idx="18">
                  <c:v>1.6656477961209661</c:v>
                </c:pt>
                <c:pt idx="19">
                  <c:v>1.6590274724524623</c:v>
                </c:pt>
                <c:pt idx="20">
                  <c:v>1.6524742740051952</c:v>
                </c:pt>
                <c:pt idx="21">
                  <c:v>1.64591553777174</c:v>
                </c:pt>
                <c:pt idx="22">
                  <c:v>1.6394232321700652</c:v>
                </c:pt>
                <c:pt idx="23">
                  <c:v>1.6329259732701642</c:v>
                </c:pt>
                <c:pt idx="24">
                  <c:v>1.626494448884646</c:v>
                </c:pt>
                <c:pt idx="25">
                  <c:v>1.6200585301242802</c:v>
                </c:pt>
                <c:pt idx="26">
                  <c:v>1.6136191036967726</c:v>
                </c:pt>
                <c:pt idx="27">
                  <c:v>1.6072449706314154</c:v>
                </c:pt>
                <c:pt idx="28">
                  <c:v>1.6008678373608456</c:v>
                </c:pt>
              </c:numCache>
            </c:numRef>
          </c:val>
        </c:ser>
        <c:ser>
          <c:idx val="1"/>
          <c:order val="1"/>
          <c:tx>
            <c:strRef>
              <c:f>TRANSPORT!$F$94</c:f>
              <c:strCache>
                <c:ptCount val="1"/>
                <c:pt idx="0">
                  <c:v>PASSENGER CAR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TRANSPORT!$K$92:$AN$92</c15:sqref>
                  </c15:fullRef>
                </c:ext>
              </c:extLst>
              <c:f>TRANSPORT!$L$92:$AN$92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TRANSPORT!$K$94:$AN$94</c15:sqref>
                  </c15:fullRef>
                </c:ext>
              </c:extLst>
              <c:f>TRANSPORT!$L$94:$AN$94</c:f>
              <c:numCache>
                <c:formatCode>#,##0.000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2"/>
          <c:order val="2"/>
          <c:tx>
            <c:strRef>
              <c:f>TRANSPORT!$F$95</c:f>
              <c:strCache>
                <c:ptCount val="1"/>
                <c:pt idx="0">
                  <c:v>METRO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TRANSPORT!$K$92:$AN$92</c15:sqref>
                  </c15:fullRef>
                </c:ext>
              </c:extLst>
              <c:f>TRANSPORT!$L$92:$AN$92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TRANSPORT!$K$95:$AN$95</c15:sqref>
                  </c15:fullRef>
                </c:ext>
              </c:extLst>
              <c:f>TRANSPORT!$L$95:$AN$95</c:f>
              <c:numCache>
                <c:formatCode>#,##0.000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3"/>
          <c:order val="3"/>
          <c:tx>
            <c:strRef>
              <c:f>TRANSPORT!$F$96</c:f>
              <c:strCache>
                <c:ptCount val="1"/>
                <c:pt idx="0">
                  <c:v>TRAM</c:v>
                </c:pt>
              </c:strCache>
            </c:strRef>
          </c:tx>
          <c:spPr>
            <a:solidFill>
              <a:srgbClr val="FF3300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TRANSPORT!$K$92:$AN$92</c15:sqref>
                  </c15:fullRef>
                </c:ext>
              </c:extLst>
              <c:f>TRANSPORT!$L$92:$AN$92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TRANSPORT!$K$96:$AN$96</c15:sqref>
                  </c15:fullRef>
                </c:ext>
              </c:extLst>
              <c:f>TRANSPORT!$L$96:$AN$96</c:f>
              <c:numCache>
                <c:formatCode>#,##0.000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4"/>
          <c:order val="4"/>
          <c:tx>
            <c:strRef>
              <c:f>TRANSPORT!$F$97</c:f>
              <c:strCache>
                <c:ptCount val="1"/>
                <c:pt idx="0">
                  <c:v>PASSENGER TRAIN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TRANSPORT!$K$92:$AN$92</c15:sqref>
                  </c15:fullRef>
                </c:ext>
              </c:extLst>
              <c:f>TRANSPORT!$L$92:$AN$92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TRANSPORT!$K$97:$AN$97</c15:sqref>
                  </c15:fullRef>
                </c:ext>
              </c:extLst>
              <c:f>TRANSPORT!$L$97:$AN$97</c:f>
              <c:numCache>
                <c:formatCode>#,##0.000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5"/>
          <c:order val="5"/>
          <c:tx>
            <c:strRef>
              <c:f>TRANSPORT!$F$98</c:f>
              <c:strCache>
                <c:ptCount val="1"/>
                <c:pt idx="0">
                  <c:v>RAIL TRANSPORT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TRANSPORT!$K$92:$AN$92</c15:sqref>
                  </c15:fullRef>
                </c:ext>
              </c:extLst>
              <c:f>TRANSPORT!$L$92:$AN$92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TRANSPORT!$K$98:$AN$98</c15:sqref>
                  </c15:fullRef>
                </c:ext>
              </c:extLst>
              <c:f>TRANSPORT!$L$98:$AN$98</c:f>
              <c:numCache>
                <c:formatCode>#,##0.000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6"/>
          <c:order val="6"/>
          <c:tx>
            <c:strRef>
              <c:f>TRANSPORT!$F$99</c:f>
              <c:strCache>
                <c:ptCount val="1"/>
                <c:pt idx="0">
                  <c:v>ROAD TRANSPORT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TRANSPORT!$K$92:$AN$92</c15:sqref>
                  </c15:fullRef>
                </c:ext>
              </c:extLst>
              <c:f>TRANSPORT!$L$92:$AN$92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TRANSPORT!$K$99:$AN$99</c15:sqref>
                  </c15:fullRef>
                </c:ext>
              </c:extLst>
              <c:f>TRANSPORT!$L$99:$AN$99</c:f>
              <c:numCache>
                <c:formatCode>#,##0.000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7"/>
          <c:order val="7"/>
          <c:tx>
            <c:strRef>
              <c:f>TRANSPORT!$F$100</c:f>
              <c:strCache>
                <c:ptCount val="1"/>
                <c:pt idx="0">
                  <c:v>TRANSPORT ON WATERWAYS</c:v>
                </c:pt>
              </c:strCache>
            </c:strRef>
          </c:tx>
          <c:spPr>
            <a:solidFill>
              <a:srgbClr val="CC9900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TRANSPORT!$K$92:$AN$92</c15:sqref>
                  </c15:fullRef>
                </c:ext>
              </c:extLst>
              <c:f>TRANSPORT!$L$92:$AN$92</c:f>
              <c:numCache>
                <c:formatCode>General</c:formatCod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TRANSPORT!$K$100:$AN$100</c15:sqref>
                  </c15:fullRef>
                </c:ext>
              </c:extLst>
              <c:f>TRANSPORT!$L$100:$AN$100</c:f>
              <c:numCache>
                <c:formatCode>#,##0.000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"/>
        <c:overlap val="100"/>
        <c:axId val="554381640"/>
        <c:axId val="554392616"/>
      </c:barChart>
      <c:catAx>
        <c:axId val="554381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92616"/>
        <c:crosses val="autoZero"/>
        <c:auto val="1"/>
        <c:lblAlgn val="ctr"/>
        <c:lblOffset val="100"/>
        <c:noMultiLvlLbl val="0"/>
      </c:catAx>
      <c:valAx>
        <c:axId val="554392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81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t-EE" sz="1100"/>
              <a:t>LAND</a:t>
            </a:r>
            <a:r>
              <a:rPr lang="et-EE" sz="1100" baseline="0"/>
              <a:t> USE </a:t>
            </a:r>
            <a:r>
              <a:rPr lang="en-US" sz="1100"/>
              <a:t>BA</a:t>
            </a:r>
            <a:r>
              <a:rPr lang="et-EE" sz="1100"/>
              <a:t>SELINE</a:t>
            </a:r>
            <a:endParaRPr lang="en-US" sz="1100"/>
          </a:p>
        </c:rich>
      </c:tx>
      <c:layout>
        <c:manualLayout>
          <c:xMode val="edge"/>
          <c:yMode val="edge"/>
          <c:x val="0.50946964933500705"/>
          <c:y val="4.84359181784704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45156804152943486"/>
          <c:y val="0.15975606244340707"/>
          <c:w val="0.5376008644163256"/>
          <c:h val="0.6621796890773268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'LAND USE CHANGE'!$A$16:$A$21</c:f>
              <c:strCache>
                <c:ptCount val="6"/>
                <c:pt idx="0">
                  <c:v>Forestland</c:v>
                </c:pt>
                <c:pt idx="1">
                  <c:v>Cropland</c:v>
                </c:pt>
                <c:pt idx="2">
                  <c:v>Grassland</c:v>
                </c:pt>
                <c:pt idx="3">
                  <c:v>Wetland</c:v>
                </c:pt>
                <c:pt idx="4">
                  <c:v>Settlements</c:v>
                </c:pt>
                <c:pt idx="5">
                  <c:v>Other land</c:v>
                </c:pt>
              </c:strCache>
            </c:strRef>
          </c:cat>
          <c:val>
            <c:numRef>
              <c:f>'LAND USE CHANGE'!$B$16:$B$21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068400980264206E-4"/>
          <c:y val="0.25440065079878038"/>
          <c:w val="0.32451734391926773"/>
          <c:h val="0.607506183228333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t-EE"/>
              <a:t>LAND USE BASELINE (tCO2/capita,a)</a:t>
            </a:r>
            <a:endParaRPr lang="en-US"/>
          </a:p>
        </c:rich>
      </c:tx>
      <c:layout>
        <c:manualLayout>
          <c:xMode val="edge"/>
          <c:yMode val="edge"/>
          <c:x val="0.3010338850817695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'LAND USE CHANGE'!$M$9</c:f>
              <c:strCache>
                <c:ptCount val="1"/>
                <c:pt idx="0">
                  <c:v>Forestland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 USE CHANGE'!$N$8:$AQ$8</c:f>
              <c:numCache>
                <c:formatCode>General</c:formatCode>
                <c:ptCount val="3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2041</c:v>
                </c:pt>
                <c:pt idx="21">
                  <c:v>2042</c:v>
                </c:pt>
                <c:pt idx="22">
                  <c:v>2043</c:v>
                </c:pt>
                <c:pt idx="23">
                  <c:v>2044</c:v>
                </c:pt>
                <c:pt idx="24">
                  <c:v>2045</c:v>
                </c:pt>
                <c:pt idx="25">
                  <c:v>2046</c:v>
                </c:pt>
                <c:pt idx="26">
                  <c:v>2047</c:v>
                </c:pt>
                <c:pt idx="27">
                  <c:v>2048</c:v>
                </c:pt>
                <c:pt idx="28">
                  <c:v>2049</c:v>
                </c:pt>
                <c:pt idx="29">
                  <c:v>2050</c:v>
                </c:pt>
              </c:numCache>
            </c:numRef>
          </c:cat>
          <c:val>
            <c:numRef>
              <c:f>'LAND USE CHANGE'!$N$9:$AQ$9</c:f>
              <c:numCache>
                <c:formatCode>0</c:formatCode>
                <c:ptCount val="3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1"/>
          <c:order val="1"/>
          <c:tx>
            <c:strRef>
              <c:f>'LAND USE CHANGE'!$M$10</c:f>
              <c:strCache>
                <c:ptCount val="1"/>
                <c:pt idx="0">
                  <c:v>Cropland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 USE CHANGE'!$N$8:$AQ$8</c:f>
              <c:numCache>
                <c:formatCode>General</c:formatCode>
                <c:ptCount val="3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2041</c:v>
                </c:pt>
                <c:pt idx="21">
                  <c:v>2042</c:v>
                </c:pt>
                <c:pt idx="22">
                  <c:v>2043</c:v>
                </c:pt>
                <c:pt idx="23">
                  <c:v>2044</c:v>
                </c:pt>
                <c:pt idx="24">
                  <c:v>2045</c:v>
                </c:pt>
                <c:pt idx="25">
                  <c:v>2046</c:v>
                </c:pt>
                <c:pt idx="26">
                  <c:v>2047</c:v>
                </c:pt>
                <c:pt idx="27">
                  <c:v>2048</c:v>
                </c:pt>
                <c:pt idx="28">
                  <c:v>2049</c:v>
                </c:pt>
                <c:pt idx="29">
                  <c:v>2050</c:v>
                </c:pt>
              </c:numCache>
            </c:numRef>
          </c:cat>
          <c:val>
            <c:numRef>
              <c:f>'LAND USE CHANGE'!$N$10:$AQ$10</c:f>
              <c:numCache>
                <c:formatCode>0</c:formatCode>
                <c:ptCount val="3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2"/>
          <c:order val="2"/>
          <c:tx>
            <c:strRef>
              <c:f>'LAND USE CHANGE'!$M$11</c:f>
              <c:strCache>
                <c:ptCount val="1"/>
                <c:pt idx="0">
                  <c:v>Grassland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 USE CHANGE'!$N$8:$AQ$8</c:f>
              <c:numCache>
                <c:formatCode>General</c:formatCode>
                <c:ptCount val="3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2041</c:v>
                </c:pt>
                <c:pt idx="21">
                  <c:v>2042</c:v>
                </c:pt>
                <c:pt idx="22">
                  <c:v>2043</c:v>
                </c:pt>
                <c:pt idx="23">
                  <c:v>2044</c:v>
                </c:pt>
                <c:pt idx="24">
                  <c:v>2045</c:v>
                </c:pt>
                <c:pt idx="25">
                  <c:v>2046</c:v>
                </c:pt>
                <c:pt idx="26">
                  <c:v>2047</c:v>
                </c:pt>
                <c:pt idx="27">
                  <c:v>2048</c:v>
                </c:pt>
                <c:pt idx="28">
                  <c:v>2049</c:v>
                </c:pt>
                <c:pt idx="29">
                  <c:v>2050</c:v>
                </c:pt>
              </c:numCache>
            </c:numRef>
          </c:cat>
          <c:val>
            <c:numRef>
              <c:f>'LAND USE CHANGE'!$N$11:$AQ$11</c:f>
              <c:numCache>
                <c:formatCode>0</c:formatCode>
                <c:ptCount val="3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3"/>
          <c:order val="3"/>
          <c:tx>
            <c:strRef>
              <c:f>'LAND USE CHANGE'!$M$12</c:f>
              <c:strCache>
                <c:ptCount val="1"/>
                <c:pt idx="0">
                  <c:v>Wetland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 USE CHANGE'!$N$8:$AQ$8</c:f>
              <c:numCache>
                <c:formatCode>General</c:formatCode>
                <c:ptCount val="3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2041</c:v>
                </c:pt>
                <c:pt idx="21">
                  <c:v>2042</c:v>
                </c:pt>
                <c:pt idx="22">
                  <c:v>2043</c:v>
                </c:pt>
                <c:pt idx="23">
                  <c:v>2044</c:v>
                </c:pt>
                <c:pt idx="24">
                  <c:v>2045</c:v>
                </c:pt>
                <c:pt idx="25">
                  <c:v>2046</c:v>
                </c:pt>
                <c:pt idx="26">
                  <c:v>2047</c:v>
                </c:pt>
                <c:pt idx="27">
                  <c:v>2048</c:v>
                </c:pt>
                <c:pt idx="28">
                  <c:v>2049</c:v>
                </c:pt>
                <c:pt idx="29">
                  <c:v>2050</c:v>
                </c:pt>
              </c:numCache>
            </c:numRef>
          </c:cat>
          <c:val>
            <c:numRef>
              <c:f>'LAND USE CHANGE'!$N$12:$AQ$12</c:f>
              <c:numCache>
                <c:formatCode>0</c:formatCode>
                <c:ptCount val="3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4"/>
          <c:order val="4"/>
          <c:tx>
            <c:strRef>
              <c:f>'LAND USE CHANGE'!$M$13</c:f>
              <c:strCache>
                <c:ptCount val="1"/>
                <c:pt idx="0">
                  <c:v>Settlements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 USE CHANGE'!$N$8:$AQ$8</c:f>
              <c:numCache>
                <c:formatCode>General</c:formatCode>
                <c:ptCount val="3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2041</c:v>
                </c:pt>
                <c:pt idx="21">
                  <c:v>2042</c:v>
                </c:pt>
                <c:pt idx="22">
                  <c:v>2043</c:v>
                </c:pt>
                <c:pt idx="23">
                  <c:v>2044</c:v>
                </c:pt>
                <c:pt idx="24">
                  <c:v>2045</c:v>
                </c:pt>
                <c:pt idx="25">
                  <c:v>2046</c:v>
                </c:pt>
                <c:pt idx="26">
                  <c:v>2047</c:v>
                </c:pt>
                <c:pt idx="27">
                  <c:v>2048</c:v>
                </c:pt>
                <c:pt idx="28">
                  <c:v>2049</c:v>
                </c:pt>
                <c:pt idx="29">
                  <c:v>2050</c:v>
                </c:pt>
              </c:numCache>
            </c:numRef>
          </c:cat>
          <c:val>
            <c:numRef>
              <c:f>'LAND USE CHANGE'!$N$13:$AQ$13</c:f>
              <c:numCache>
                <c:formatCode>0</c:formatCode>
                <c:ptCount val="3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5"/>
          <c:order val="5"/>
          <c:tx>
            <c:strRef>
              <c:f>'LAND USE CHANGE'!$M$14</c:f>
              <c:strCache>
                <c:ptCount val="1"/>
                <c:pt idx="0">
                  <c:v>Other land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 USE CHANGE'!$N$8:$AQ$8</c:f>
              <c:numCache>
                <c:formatCode>General</c:formatCode>
                <c:ptCount val="3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2041</c:v>
                </c:pt>
                <c:pt idx="21">
                  <c:v>2042</c:v>
                </c:pt>
                <c:pt idx="22">
                  <c:v>2043</c:v>
                </c:pt>
                <c:pt idx="23">
                  <c:v>2044</c:v>
                </c:pt>
                <c:pt idx="24">
                  <c:v>2045</c:v>
                </c:pt>
                <c:pt idx="25">
                  <c:v>2046</c:v>
                </c:pt>
                <c:pt idx="26">
                  <c:v>2047</c:v>
                </c:pt>
                <c:pt idx="27">
                  <c:v>2048</c:v>
                </c:pt>
                <c:pt idx="28">
                  <c:v>2049</c:v>
                </c:pt>
                <c:pt idx="29">
                  <c:v>2050</c:v>
                </c:pt>
              </c:numCache>
            </c:numRef>
          </c:cat>
          <c:val>
            <c:numRef>
              <c:f>'LAND USE CHANGE'!$N$14:$AQ$14</c:f>
              <c:numCache>
                <c:formatCode>0</c:formatCode>
                <c:ptCount val="3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6"/>
          <c:order val="6"/>
          <c:tx>
            <c:strRef>
              <c:f>'LAND USE CHANGE'!$M$15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'LAND USE CHANGE'!$N$8:$AQ$8</c:f>
              <c:numCache>
                <c:formatCode>General</c:formatCode>
                <c:ptCount val="3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2041</c:v>
                </c:pt>
                <c:pt idx="21">
                  <c:v>2042</c:v>
                </c:pt>
                <c:pt idx="22">
                  <c:v>2043</c:v>
                </c:pt>
                <c:pt idx="23">
                  <c:v>2044</c:v>
                </c:pt>
                <c:pt idx="24">
                  <c:v>2045</c:v>
                </c:pt>
                <c:pt idx="25">
                  <c:v>2046</c:v>
                </c:pt>
                <c:pt idx="26">
                  <c:v>2047</c:v>
                </c:pt>
                <c:pt idx="27">
                  <c:v>2048</c:v>
                </c:pt>
                <c:pt idx="28">
                  <c:v>2049</c:v>
                </c:pt>
                <c:pt idx="29">
                  <c:v>2050</c:v>
                </c:pt>
              </c:numCache>
            </c:numRef>
          </c:cat>
          <c:val>
            <c:numRef>
              <c:f>'LAND USE CHANGE'!$N$15:$AQ$15</c:f>
              <c:numCache>
                <c:formatCode>0</c:formatCode>
                <c:ptCount val="3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"/>
        <c:overlap val="100"/>
        <c:axId val="352235848"/>
        <c:axId val="352236240"/>
      </c:barChart>
      <c:catAx>
        <c:axId val="352235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36240"/>
        <c:crosses val="autoZero"/>
        <c:auto val="1"/>
        <c:lblAlgn val="ctr"/>
        <c:lblOffset val="100"/>
        <c:noMultiLvlLbl val="0"/>
      </c:catAx>
      <c:valAx>
        <c:axId val="35223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35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t-EE" baseline="0"/>
              <a:t>LAND USE CHANGE (tCO2/a)</a:t>
            </a:r>
            <a:endParaRPr lang="en-US"/>
          </a:p>
        </c:rich>
      </c:tx>
      <c:layout>
        <c:manualLayout>
          <c:xMode val="edge"/>
          <c:yMode val="edge"/>
          <c:x val="0.32913879576934069"/>
          <c:y val="3.30390519366897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30"/>
          <c:order val="0"/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'LAND USE CHANGE'!$O$68:$AQ$68</c:f>
              <c:numCache>
                <c:formatCode>0.0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-5.3534150114908847</c:v>
                </c:pt>
                <c:pt idx="21">
                  <c:v>-5.3534150114908847</c:v>
                </c:pt>
                <c:pt idx="22">
                  <c:v>-5.3534150114908847</c:v>
                </c:pt>
                <c:pt idx="23">
                  <c:v>-5.3534150114908847</c:v>
                </c:pt>
                <c:pt idx="24">
                  <c:v>-5.3534150114908847</c:v>
                </c:pt>
                <c:pt idx="25">
                  <c:v>-5.3534150114908847</c:v>
                </c:pt>
                <c:pt idx="26">
                  <c:v>-5.3534150114908847</c:v>
                </c:pt>
                <c:pt idx="27">
                  <c:v>-5.3534150114908847</c:v>
                </c:pt>
                <c:pt idx="28">
                  <c:v>-5.3534150114908847</c:v>
                </c:pt>
              </c:numCache>
            </c:numRef>
          </c:val>
        </c:ser>
        <c:ser>
          <c:idx val="31"/>
          <c:order val="1"/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'LAND USE CHANGE'!$O$69:$AQ$69</c:f>
              <c:numCache>
                <c:formatCode>0.0</c:formatCode>
                <c:ptCount val="29"/>
                <c:pt idx="0">
                  <c:v>-606.13841810998508</c:v>
                </c:pt>
                <c:pt idx="1">
                  <c:v>-606.13841810998508</c:v>
                </c:pt>
                <c:pt idx="2">
                  <c:v>-606.13841810998508</c:v>
                </c:pt>
                <c:pt idx="3">
                  <c:v>-606.13841810998508</c:v>
                </c:pt>
                <c:pt idx="4">
                  <c:v>-606.13841810998508</c:v>
                </c:pt>
                <c:pt idx="5">
                  <c:v>-606.13841810998508</c:v>
                </c:pt>
                <c:pt idx="6">
                  <c:v>-606.13841810998508</c:v>
                </c:pt>
                <c:pt idx="7">
                  <c:v>-606.13841810998508</c:v>
                </c:pt>
                <c:pt idx="8">
                  <c:v>-606.13841810998508</c:v>
                </c:pt>
                <c:pt idx="9">
                  <c:v>-606.13841810998508</c:v>
                </c:pt>
                <c:pt idx="10">
                  <c:v>-606.13841810998508</c:v>
                </c:pt>
                <c:pt idx="11">
                  <c:v>-606.13841810998508</c:v>
                </c:pt>
                <c:pt idx="12">
                  <c:v>-606.13841810998508</c:v>
                </c:pt>
                <c:pt idx="13">
                  <c:v>-606.13841810998508</c:v>
                </c:pt>
                <c:pt idx="14">
                  <c:v>-606.13841810998508</c:v>
                </c:pt>
                <c:pt idx="15">
                  <c:v>-606.13841810998508</c:v>
                </c:pt>
                <c:pt idx="16">
                  <c:v>-606.13841810998508</c:v>
                </c:pt>
                <c:pt idx="17">
                  <c:v>-606.13841810998508</c:v>
                </c:pt>
                <c:pt idx="18">
                  <c:v>-606.13841810998508</c:v>
                </c:pt>
                <c:pt idx="19">
                  <c:v>-606.13841810998508</c:v>
                </c:pt>
                <c:pt idx="20">
                  <c:v>-178.08465641879221</c:v>
                </c:pt>
                <c:pt idx="21">
                  <c:v>-178.08465641879221</c:v>
                </c:pt>
                <c:pt idx="22">
                  <c:v>-178.08465641879221</c:v>
                </c:pt>
                <c:pt idx="23">
                  <c:v>-178.08465641879221</c:v>
                </c:pt>
                <c:pt idx="24">
                  <c:v>-178.08465641879221</c:v>
                </c:pt>
                <c:pt idx="25">
                  <c:v>-178.08465641879221</c:v>
                </c:pt>
                <c:pt idx="26">
                  <c:v>-178.08465641879221</c:v>
                </c:pt>
                <c:pt idx="27">
                  <c:v>-178.08465641879221</c:v>
                </c:pt>
                <c:pt idx="28">
                  <c:v>-178.08465641879221</c:v>
                </c:pt>
              </c:numCache>
            </c:numRef>
          </c:val>
        </c:ser>
        <c:ser>
          <c:idx val="32"/>
          <c:order val="2"/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'LAND USE CHANGE'!$O$70:$AQ$70</c:f>
              <c:numCache>
                <c:formatCode>0.0</c:formatCode>
                <c:ptCount val="29"/>
                <c:pt idx="0">
                  <c:v>-605.7827522835421</c:v>
                </c:pt>
                <c:pt idx="1">
                  <c:v>-605.7827522835421</c:v>
                </c:pt>
                <c:pt idx="2">
                  <c:v>-605.7827522835421</c:v>
                </c:pt>
                <c:pt idx="3">
                  <c:v>-605.7827522835421</c:v>
                </c:pt>
                <c:pt idx="4">
                  <c:v>-605.7827522835421</c:v>
                </c:pt>
                <c:pt idx="5">
                  <c:v>-605.7827522835421</c:v>
                </c:pt>
                <c:pt idx="6">
                  <c:v>-605.7827522835421</c:v>
                </c:pt>
                <c:pt idx="7">
                  <c:v>-605.7827522835421</c:v>
                </c:pt>
                <c:pt idx="8">
                  <c:v>-605.7827522835421</c:v>
                </c:pt>
                <c:pt idx="9">
                  <c:v>-605.7827522835421</c:v>
                </c:pt>
                <c:pt idx="10">
                  <c:v>-605.7827522835421</c:v>
                </c:pt>
                <c:pt idx="11">
                  <c:v>-605.7827522835421</c:v>
                </c:pt>
                <c:pt idx="12">
                  <c:v>-605.7827522835421</c:v>
                </c:pt>
                <c:pt idx="13">
                  <c:v>-605.7827522835421</c:v>
                </c:pt>
                <c:pt idx="14">
                  <c:v>-605.7827522835421</c:v>
                </c:pt>
                <c:pt idx="15">
                  <c:v>-605.7827522835421</c:v>
                </c:pt>
                <c:pt idx="16">
                  <c:v>-605.7827522835421</c:v>
                </c:pt>
                <c:pt idx="17">
                  <c:v>-605.7827522835421</c:v>
                </c:pt>
                <c:pt idx="18">
                  <c:v>-605.7827522835421</c:v>
                </c:pt>
                <c:pt idx="19">
                  <c:v>-605.7827522835421</c:v>
                </c:pt>
                <c:pt idx="20">
                  <c:v>-178.08465641879221</c:v>
                </c:pt>
                <c:pt idx="21">
                  <c:v>-178.08465641879221</c:v>
                </c:pt>
                <c:pt idx="22">
                  <c:v>-178.08465641879221</c:v>
                </c:pt>
                <c:pt idx="23">
                  <c:v>-178.08465641879221</c:v>
                </c:pt>
                <c:pt idx="24">
                  <c:v>-178.08465641879221</c:v>
                </c:pt>
                <c:pt idx="25">
                  <c:v>-178.08465641879221</c:v>
                </c:pt>
                <c:pt idx="26">
                  <c:v>-178.08465641879221</c:v>
                </c:pt>
                <c:pt idx="27">
                  <c:v>-178.08465641879221</c:v>
                </c:pt>
                <c:pt idx="28">
                  <c:v>-178.08465641879221</c:v>
                </c:pt>
              </c:numCache>
            </c:numRef>
          </c:val>
        </c:ser>
        <c:ser>
          <c:idx val="33"/>
          <c:order val="3"/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'LAND USE CHANGE'!$O$71:$AQ$71</c:f>
              <c:numCache>
                <c:formatCode>0.0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-5.3534150114908847</c:v>
                </c:pt>
                <c:pt idx="21">
                  <c:v>-5.3534150114908847</c:v>
                </c:pt>
                <c:pt idx="22">
                  <c:v>-5.3534150114908847</c:v>
                </c:pt>
                <c:pt idx="23">
                  <c:v>-5.3534150114908847</c:v>
                </c:pt>
                <c:pt idx="24">
                  <c:v>-5.3534150114908847</c:v>
                </c:pt>
                <c:pt idx="25">
                  <c:v>-5.3534150114908847</c:v>
                </c:pt>
                <c:pt idx="26">
                  <c:v>-5.3534150114908847</c:v>
                </c:pt>
                <c:pt idx="27">
                  <c:v>-5.3534150114908847</c:v>
                </c:pt>
                <c:pt idx="28">
                  <c:v>-5.3534150114908847</c:v>
                </c:pt>
              </c:numCache>
            </c:numRef>
          </c:val>
        </c:ser>
        <c:ser>
          <c:idx val="34"/>
          <c:order val="4"/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'LAND USE CHANGE'!$O$72:$AQ$72</c:f>
              <c:numCache>
                <c:formatCode>0.0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-5.3534150114908847</c:v>
                </c:pt>
                <c:pt idx="21">
                  <c:v>-5.3534150114908847</c:v>
                </c:pt>
                <c:pt idx="22">
                  <c:v>-5.3534150114908847</c:v>
                </c:pt>
                <c:pt idx="23">
                  <c:v>-5.3534150114908847</c:v>
                </c:pt>
                <c:pt idx="24">
                  <c:v>-5.3534150114908847</c:v>
                </c:pt>
                <c:pt idx="25">
                  <c:v>-5.3534150114908847</c:v>
                </c:pt>
                <c:pt idx="26">
                  <c:v>-5.3534150114908847</c:v>
                </c:pt>
                <c:pt idx="27">
                  <c:v>-5.3534150114908847</c:v>
                </c:pt>
                <c:pt idx="28">
                  <c:v>-5.3534150114908847</c:v>
                </c:pt>
              </c:numCache>
            </c:numRef>
          </c:val>
        </c:ser>
        <c:ser>
          <c:idx val="35"/>
          <c:order val="5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'LAND USE CHANGE'!$O$73:$AQ$73</c:f>
              <c:numCache>
                <c:formatCode>0.0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-0.13928082274505665</c:v>
                </c:pt>
                <c:pt idx="21">
                  <c:v>-0.13928082274505665</c:v>
                </c:pt>
                <c:pt idx="22">
                  <c:v>-0.13928082274505665</c:v>
                </c:pt>
                <c:pt idx="23">
                  <c:v>-0.13928082274505665</c:v>
                </c:pt>
                <c:pt idx="24">
                  <c:v>-0.13928082274505665</c:v>
                </c:pt>
                <c:pt idx="25">
                  <c:v>-0.13928082274505665</c:v>
                </c:pt>
                <c:pt idx="26">
                  <c:v>-0.13928082274505665</c:v>
                </c:pt>
                <c:pt idx="27">
                  <c:v>-0.13928082274505665</c:v>
                </c:pt>
                <c:pt idx="28">
                  <c:v>-0.13928082274505665</c:v>
                </c:pt>
              </c:numCache>
            </c:numRef>
          </c:val>
        </c:ser>
        <c:ser>
          <c:idx val="36"/>
          <c:order val="6"/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val>
            <c:numRef>
              <c:f>'LAND USE CHANGE'!$O$74:$AQ$74</c:f>
              <c:numCache>
                <c:formatCode>0.0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-0.13928082274505665</c:v>
                </c:pt>
                <c:pt idx="21">
                  <c:v>-0.13928082274505665</c:v>
                </c:pt>
                <c:pt idx="22">
                  <c:v>-0.13928082274505665</c:v>
                </c:pt>
                <c:pt idx="23">
                  <c:v>-0.13928082274505665</c:v>
                </c:pt>
                <c:pt idx="24">
                  <c:v>-0.13928082274505665</c:v>
                </c:pt>
                <c:pt idx="25">
                  <c:v>-0.13928082274505665</c:v>
                </c:pt>
                <c:pt idx="26">
                  <c:v>-0.13928082274505665</c:v>
                </c:pt>
                <c:pt idx="27">
                  <c:v>-0.13928082274505665</c:v>
                </c:pt>
                <c:pt idx="28">
                  <c:v>-0.13928082274505665</c:v>
                </c:pt>
              </c:numCache>
            </c:numRef>
          </c:val>
        </c:ser>
        <c:ser>
          <c:idx val="37"/>
          <c:order val="7"/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val>
            <c:numRef>
              <c:f>'LAND USE CHANGE'!$O$75:$AQ$75</c:f>
              <c:numCache>
                <c:formatCode>0.0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-0.13928082274505665</c:v>
                </c:pt>
                <c:pt idx="21">
                  <c:v>-0.13928082274505665</c:v>
                </c:pt>
                <c:pt idx="22">
                  <c:v>-0.13928082274505665</c:v>
                </c:pt>
                <c:pt idx="23">
                  <c:v>-0.13928082274505665</c:v>
                </c:pt>
                <c:pt idx="24">
                  <c:v>-0.13928082274505665</c:v>
                </c:pt>
                <c:pt idx="25">
                  <c:v>-0.13928082274505665</c:v>
                </c:pt>
                <c:pt idx="26">
                  <c:v>-0.13928082274505665</c:v>
                </c:pt>
                <c:pt idx="27">
                  <c:v>-0.13928082274505665</c:v>
                </c:pt>
                <c:pt idx="28">
                  <c:v>-0.13928082274505665</c:v>
                </c:pt>
              </c:numCache>
            </c:numRef>
          </c:val>
        </c:ser>
        <c:ser>
          <c:idx val="38"/>
          <c:order val="8"/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val>
            <c:numRef>
              <c:f>'LAND USE CHANGE'!$O$76:$AQ$76</c:f>
              <c:numCache>
                <c:formatCode>0.0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-0.13928082274505665</c:v>
                </c:pt>
                <c:pt idx="21">
                  <c:v>-0.13928082274505665</c:v>
                </c:pt>
                <c:pt idx="22">
                  <c:v>-0.13928082274505665</c:v>
                </c:pt>
                <c:pt idx="23">
                  <c:v>-0.13928082274505665</c:v>
                </c:pt>
                <c:pt idx="24">
                  <c:v>-0.13928082274505665</c:v>
                </c:pt>
                <c:pt idx="25">
                  <c:v>-0.13928082274505665</c:v>
                </c:pt>
                <c:pt idx="26">
                  <c:v>-0.13928082274505665</c:v>
                </c:pt>
                <c:pt idx="27">
                  <c:v>-0.13928082274505665</c:v>
                </c:pt>
                <c:pt idx="28">
                  <c:v>-0.13928082274505665</c:v>
                </c:pt>
              </c:numCache>
            </c:numRef>
          </c:val>
        </c:ser>
        <c:ser>
          <c:idx val="39"/>
          <c:order val="9"/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val>
            <c:numRef>
              <c:f>'LAND USE CHANGE'!$O$77:$AQ$77</c:f>
              <c:numCache>
                <c:formatCode>0.0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40"/>
          <c:order val="10"/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val>
            <c:numRef>
              <c:f>'LAND USE CHANGE'!$O$78:$AQ$78</c:f>
              <c:numCache>
                <c:formatCode>0.0</c:formatCode>
                <c:ptCount val="29"/>
                <c:pt idx="0">
                  <c:v>749.99444641709511</c:v>
                </c:pt>
                <c:pt idx="1">
                  <c:v>14.167779750428517</c:v>
                </c:pt>
                <c:pt idx="2">
                  <c:v>14.167779750428517</c:v>
                </c:pt>
                <c:pt idx="3">
                  <c:v>14.167779750428517</c:v>
                </c:pt>
                <c:pt idx="4">
                  <c:v>14.167779750428517</c:v>
                </c:pt>
                <c:pt idx="5">
                  <c:v>14.167779750428517</c:v>
                </c:pt>
                <c:pt idx="6">
                  <c:v>14.167779750428517</c:v>
                </c:pt>
                <c:pt idx="7">
                  <c:v>14.167779750428517</c:v>
                </c:pt>
                <c:pt idx="8">
                  <c:v>14.167779750428517</c:v>
                </c:pt>
                <c:pt idx="9">
                  <c:v>14.167779750428517</c:v>
                </c:pt>
                <c:pt idx="10">
                  <c:v>14.167779750428517</c:v>
                </c:pt>
                <c:pt idx="11">
                  <c:v>14.167779750428517</c:v>
                </c:pt>
                <c:pt idx="12">
                  <c:v>14.167779750428517</c:v>
                </c:pt>
                <c:pt idx="13">
                  <c:v>14.167779750428517</c:v>
                </c:pt>
                <c:pt idx="14">
                  <c:v>14.167779750428517</c:v>
                </c:pt>
                <c:pt idx="15">
                  <c:v>14.167779750428517</c:v>
                </c:pt>
                <c:pt idx="16">
                  <c:v>14.167779750428517</c:v>
                </c:pt>
                <c:pt idx="17">
                  <c:v>14.167779750428517</c:v>
                </c:pt>
                <c:pt idx="18">
                  <c:v>14.167779750428517</c:v>
                </c:pt>
                <c:pt idx="19">
                  <c:v>14.167779750428517</c:v>
                </c:pt>
                <c:pt idx="20">
                  <c:v>24.274250134003282</c:v>
                </c:pt>
                <c:pt idx="21">
                  <c:v>24.274250134003282</c:v>
                </c:pt>
                <c:pt idx="22">
                  <c:v>24.274250134003282</c:v>
                </c:pt>
                <c:pt idx="23">
                  <c:v>24.274250134003282</c:v>
                </c:pt>
                <c:pt idx="24">
                  <c:v>24.274250134003282</c:v>
                </c:pt>
                <c:pt idx="25">
                  <c:v>24.274250134003282</c:v>
                </c:pt>
                <c:pt idx="26">
                  <c:v>24.274250134003282</c:v>
                </c:pt>
                <c:pt idx="27">
                  <c:v>24.274250134003282</c:v>
                </c:pt>
                <c:pt idx="28">
                  <c:v>24.274250134003282</c:v>
                </c:pt>
              </c:numCache>
            </c:numRef>
          </c:val>
        </c:ser>
        <c:ser>
          <c:idx val="41"/>
          <c:order val="11"/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val>
            <c:numRef>
              <c:f>'LAND USE CHANGE'!$O$79:$AQ$79</c:f>
              <c:numCache>
                <c:formatCode>0.0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24.274250134003282</c:v>
                </c:pt>
                <c:pt idx="21">
                  <c:v>24.274250134003282</c:v>
                </c:pt>
                <c:pt idx="22">
                  <c:v>24.274250134003282</c:v>
                </c:pt>
                <c:pt idx="23">
                  <c:v>24.274250134003282</c:v>
                </c:pt>
                <c:pt idx="24">
                  <c:v>24.274250134003282</c:v>
                </c:pt>
                <c:pt idx="25">
                  <c:v>24.274250134003282</c:v>
                </c:pt>
                <c:pt idx="26">
                  <c:v>24.274250134003282</c:v>
                </c:pt>
                <c:pt idx="27">
                  <c:v>24.274250134003282</c:v>
                </c:pt>
                <c:pt idx="28">
                  <c:v>24.274250134003282</c:v>
                </c:pt>
              </c:numCache>
            </c:numRef>
          </c:val>
        </c:ser>
        <c:ser>
          <c:idx val="42"/>
          <c:order val="12"/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val>
            <c:numRef>
              <c:f>'LAND USE CHANGE'!$O$80:$AQ$80</c:f>
              <c:numCache>
                <c:formatCode>0.0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24.274250134003282</c:v>
                </c:pt>
                <c:pt idx="21">
                  <c:v>24.274250134003282</c:v>
                </c:pt>
                <c:pt idx="22">
                  <c:v>24.274250134003282</c:v>
                </c:pt>
                <c:pt idx="23">
                  <c:v>24.274250134003282</c:v>
                </c:pt>
                <c:pt idx="24">
                  <c:v>24.274250134003282</c:v>
                </c:pt>
                <c:pt idx="25">
                  <c:v>24.274250134003282</c:v>
                </c:pt>
                <c:pt idx="26">
                  <c:v>24.274250134003282</c:v>
                </c:pt>
                <c:pt idx="27">
                  <c:v>24.274250134003282</c:v>
                </c:pt>
                <c:pt idx="28">
                  <c:v>24.274250134003282</c:v>
                </c:pt>
              </c:numCache>
            </c:numRef>
          </c:val>
        </c:ser>
        <c:ser>
          <c:idx val="43"/>
          <c:order val="13"/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val>
            <c:numRef>
              <c:f>'LAND USE CHANGE'!$O$81:$AQ$81</c:f>
              <c:numCache>
                <c:formatCode>0.0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24.274250134003282</c:v>
                </c:pt>
                <c:pt idx="21">
                  <c:v>24.274250134003282</c:v>
                </c:pt>
                <c:pt idx="22">
                  <c:v>24.274250134003282</c:v>
                </c:pt>
                <c:pt idx="23">
                  <c:v>24.274250134003282</c:v>
                </c:pt>
                <c:pt idx="24">
                  <c:v>24.274250134003282</c:v>
                </c:pt>
                <c:pt idx="25">
                  <c:v>24.274250134003282</c:v>
                </c:pt>
                <c:pt idx="26">
                  <c:v>24.274250134003282</c:v>
                </c:pt>
                <c:pt idx="27">
                  <c:v>24.274250134003282</c:v>
                </c:pt>
                <c:pt idx="28">
                  <c:v>24.274250134003282</c:v>
                </c:pt>
              </c:numCache>
            </c:numRef>
          </c:val>
        </c:ser>
        <c:ser>
          <c:idx val="44"/>
          <c:order val="14"/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val>
            <c:numRef>
              <c:f>'LAND USE CHANGE'!$O$82:$AQ$82</c:f>
              <c:numCache>
                <c:formatCode>0.0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45"/>
          <c:order val="15"/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val>
            <c:numRef>
              <c:f>'LAND USE CHANGE'!$O$83:$AQ$83</c:f>
              <c:numCache>
                <c:formatCode>0.0</c:formatCode>
                <c:ptCount val="29"/>
                <c:pt idx="0">
                  <c:v>15.806568321513016</c:v>
                </c:pt>
                <c:pt idx="1">
                  <c:v>15.806568321513016</c:v>
                </c:pt>
                <c:pt idx="2">
                  <c:v>15.806568321513016</c:v>
                </c:pt>
                <c:pt idx="3">
                  <c:v>15.806568321513016</c:v>
                </c:pt>
                <c:pt idx="4">
                  <c:v>15.806568321513016</c:v>
                </c:pt>
                <c:pt idx="5">
                  <c:v>10.521834177239661</c:v>
                </c:pt>
                <c:pt idx="6">
                  <c:v>10.521834177239661</c:v>
                </c:pt>
                <c:pt idx="7">
                  <c:v>10.521834177239661</c:v>
                </c:pt>
                <c:pt idx="8">
                  <c:v>10.521834177239661</c:v>
                </c:pt>
                <c:pt idx="9">
                  <c:v>10.521834177239661</c:v>
                </c:pt>
                <c:pt idx="10">
                  <c:v>10.521834177239661</c:v>
                </c:pt>
                <c:pt idx="11">
                  <c:v>10.521834177239661</c:v>
                </c:pt>
                <c:pt idx="12">
                  <c:v>10.521834177239661</c:v>
                </c:pt>
                <c:pt idx="13">
                  <c:v>10.521834177239661</c:v>
                </c:pt>
                <c:pt idx="14">
                  <c:v>10.521834177239661</c:v>
                </c:pt>
                <c:pt idx="15">
                  <c:v>10.521834177239661</c:v>
                </c:pt>
                <c:pt idx="16">
                  <c:v>10.521834177239661</c:v>
                </c:pt>
                <c:pt idx="17">
                  <c:v>10.521834177239661</c:v>
                </c:pt>
                <c:pt idx="18">
                  <c:v>10.521834177239661</c:v>
                </c:pt>
                <c:pt idx="19">
                  <c:v>10.521834177239661</c:v>
                </c:pt>
                <c:pt idx="20">
                  <c:v>10.521834177239661</c:v>
                </c:pt>
                <c:pt idx="21">
                  <c:v>10.521834177239661</c:v>
                </c:pt>
                <c:pt idx="22">
                  <c:v>10.521834177239661</c:v>
                </c:pt>
                <c:pt idx="23">
                  <c:v>10.521834177239661</c:v>
                </c:pt>
                <c:pt idx="24">
                  <c:v>10.521834177239661</c:v>
                </c:pt>
                <c:pt idx="25">
                  <c:v>10.521834177239661</c:v>
                </c:pt>
                <c:pt idx="26">
                  <c:v>10.521834177239661</c:v>
                </c:pt>
                <c:pt idx="27">
                  <c:v>10.521834177239661</c:v>
                </c:pt>
                <c:pt idx="28">
                  <c:v>10.521834177239661</c:v>
                </c:pt>
              </c:numCache>
            </c:numRef>
          </c:val>
        </c:ser>
        <c:ser>
          <c:idx val="46"/>
          <c:order val="16"/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val>
            <c:numRef>
              <c:f>'LAND USE CHANGE'!$O$84:$AQ$84</c:f>
              <c:numCache>
                <c:formatCode>0.0</c:formatCode>
                <c:ptCount val="29"/>
                <c:pt idx="0">
                  <c:v>-1.5766666666666667</c:v>
                </c:pt>
                <c:pt idx="1">
                  <c:v>-1.5766666666666667</c:v>
                </c:pt>
                <c:pt idx="2">
                  <c:v>-1.5766666666666667</c:v>
                </c:pt>
                <c:pt idx="3">
                  <c:v>-1.5766666666666667</c:v>
                </c:pt>
                <c:pt idx="4">
                  <c:v>-1.5766666666666667</c:v>
                </c:pt>
                <c:pt idx="5">
                  <c:v>-1.5766666666666667</c:v>
                </c:pt>
                <c:pt idx="6">
                  <c:v>-1.5766666666666667</c:v>
                </c:pt>
                <c:pt idx="7">
                  <c:v>-1.5766666666666667</c:v>
                </c:pt>
                <c:pt idx="8">
                  <c:v>-1.5766666666666667</c:v>
                </c:pt>
                <c:pt idx="9">
                  <c:v>-1.5766666666666667</c:v>
                </c:pt>
                <c:pt idx="10">
                  <c:v>-1.5766666666666667</c:v>
                </c:pt>
                <c:pt idx="11">
                  <c:v>-1.5766666666666667</c:v>
                </c:pt>
                <c:pt idx="12">
                  <c:v>-1.5766666666666667</c:v>
                </c:pt>
                <c:pt idx="13">
                  <c:v>-1.5766666666666667</c:v>
                </c:pt>
                <c:pt idx="14">
                  <c:v>-1.5766666666666667</c:v>
                </c:pt>
                <c:pt idx="15">
                  <c:v>-1.5766666666666667</c:v>
                </c:pt>
                <c:pt idx="16">
                  <c:v>-1.5766666666666667</c:v>
                </c:pt>
                <c:pt idx="17">
                  <c:v>-1.5766666666666667</c:v>
                </c:pt>
                <c:pt idx="18">
                  <c:v>-1.5766666666666667</c:v>
                </c:pt>
                <c:pt idx="19">
                  <c:v>-1.5766666666666667</c:v>
                </c:pt>
                <c:pt idx="20">
                  <c:v>-1.5766666666666667</c:v>
                </c:pt>
                <c:pt idx="21">
                  <c:v>-1.5766666666666667</c:v>
                </c:pt>
                <c:pt idx="22">
                  <c:v>-1.5766666666666667</c:v>
                </c:pt>
                <c:pt idx="23">
                  <c:v>-1.5766666666666667</c:v>
                </c:pt>
                <c:pt idx="24">
                  <c:v>-1.5766666666666667</c:v>
                </c:pt>
                <c:pt idx="25">
                  <c:v>-1.5766666666666667</c:v>
                </c:pt>
                <c:pt idx="26">
                  <c:v>-1.5766666666666667</c:v>
                </c:pt>
                <c:pt idx="27">
                  <c:v>-1.5766666666666667</c:v>
                </c:pt>
                <c:pt idx="28">
                  <c:v>-1.5766666666666667</c:v>
                </c:pt>
              </c:numCache>
            </c:numRef>
          </c:val>
        </c:ser>
        <c:ser>
          <c:idx val="47"/>
          <c:order val="17"/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val>
            <c:numRef>
              <c:f>'LAND USE CHANGE'!$O$85:$AQ$85</c:f>
              <c:numCache>
                <c:formatCode>0.0</c:formatCode>
                <c:ptCount val="29"/>
                <c:pt idx="0">
                  <c:v>1.8074630223439534</c:v>
                </c:pt>
                <c:pt idx="1">
                  <c:v>1.8074630223439534</c:v>
                </c:pt>
                <c:pt idx="2">
                  <c:v>1.8074630223439534</c:v>
                </c:pt>
                <c:pt idx="3">
                  <c:v>1.8074630223439534</c:v>
                </c:pt>
                <c:pt idx="4">
                  <c:v>1.8074630223439534</c:v>
                </c:pt>
                <c:pt idx="5">
                  <c:v>1.8074630223439534</c:v>
                </c:pt>
                <c:pt idx="6">
                  <c:v>1.8074630223439534</c:v>
                </c:pt>
                <c:pt idx="7">
                  <c:v>1.8074630223439534</c:v>
                </c:pt>
                <c:pt idx="8">
                  <c:v>1.8074630223439534</c:v>
                </c:pt>
                <c:pt idx="9">
                  <c:v>1.8074630223439534</c:v>
                </c:pt>
                <c:pt idx="10">
                  <c:v>1.8074630223439534</c:v>
                </c:pt>
                <c:pt idx="11">
                  <c:v>1.8074630223439534</c:v>
                </c:pt>
                <c:pt idx="12">
                  <c:v>1.8074630223439534</c:v>
                </c:pt>
                <c:pt idx="13">
                  <c:v>1.8074630223439534</c:v>
                </c:pt>
                <c:pt idx="14">
                  <c:v>1.8074630223439534</c:v>
                </c:pt>
                <c:pt idx="15">
                  <c:v>1.8074630223439534</c:v>
                </c:pt>
                <c:pt idx="16">
                  <c:v>1.8074630223439534</c:v>
                </c:pt>
                <c:pt idx="17">
                  <c:v>1.8074630223439534</c:v>
                </c:pt>
                <c:pt idx="18">
                  <c:v>1.8074630223439534</c:v>
                </c:pt>
                <c:pt idx="19">
                  <c:v>1.8074630223439534</c:v>
                </c:pt>
                <c:pt idx="20">
                  <c:v>1.5590450363686366</c:v>
                </c:pt>
                <c:pt idx="21">
                  <c:v>1.5590450363686366</c:v>
                </c:pt>
                <c:pt idx="22">
                  <c:v>1.5590450363686366</c:v>
                </c:pt>
                <c:pt idx="23">
                  <c:v>1.5590450363686366</c:v>
                </c:pt>
                <c:pt idx="24">
                  <c:v>1.5590450363686366</c:v>
                </c:pt>
                <c:pt idx="25">
                  <c:v>1.5590450363686366</c:v>
                </c:pt>
                <c:pt idx="26">
                  <c:v>1.5590450363686366</c:v>
                </c:pt>
                <c:pt idx="27">
                  <c:v>1.5590450363686366</c:v>
                </c:pt>
                <c:pt idx="28">
                  <c:v>1.5590450363686366</c:v>
                </c:pt>
              </c:numCache>
            </c:numRef>
          </c:val>
        </c:ser>
        <c:ser>
          <c:idx val="48"/>
          <c:order val="18"/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'LAND USE CHANGE'!$O$86:$AQ$86</c:f>
              <c:numCache>
                <c:formatCode>0.0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1.5590450363686366</c:v>
                </c:pt>
                <c:pt idx="21">
                  <c:v>1.5590450363686366</c:v>
                </c:pt>
                <c:pt idx="22">
                  <c:v>1.5590450363686366</c:v>
                </c:pt>
                <c:pt idx="23">
                  <c:v>1.5590450363686366</c:v>
                </c:pt>
                <c:pt idx="24">
                  <c:v>1.5590450363686366</c:v>
                </c:pt>
                <c:pt idx="25">
                  <c:v>1.5590450363686366</c:v>
                </c:pt>
                <c:pt idx="26">
                  <c:v>1.5590450363686366</c:v>
                </c:pt>
                <c:pt idx="27">
                  <c:v>1.5590450363686366</c:v>
                </c:pt>
                <c:pt idx="28">
                  <c:v>1.5590450363686366</c:v>
                </c:pt>
              </c:numCache>
            </c:numRef>
          </c:val>
        </c:ser>
        <c:ser>
          <c:idx val="49"/>
          <c:order val="19"/>
          <c:spPr>
            <a:solidFill>
              <a:schemeClr val="accent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'LAND USE CHANGE'!$O$87:$AQ$87</c:f>
              <c:numCache>
                <c:formatCode>0.0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1.5590450363686366</c:v>
                </c:pt>
                <c:pt idx="21">
                  <c:v>1.5590450363686366</c:v>
                </c:pt>
                <c:pt idx="22">
                  <c:v>1.5590450363686366</c:v>
                </c:pt>
                <c:pt idx="23">
                  <c:v>1.5590450363686366</c:v>
                </c:pt>
                <c:pt idx="24">
                  <c:v>1.5590450363686366</c:v>
                </c:pt>
                <c:pt idx="25">
                  <c:v>1.5590450363686366</c:v>
                </c:pt>
                <c:pt idx="26">
                  <c:v>1.5590450363686366</c:v>
                </c:pt>
                <c:pt idx="27">
                  <c:v>1.5590450363686366</c:v>
                </c:pt>
                <c:pt idx="28">
                  <c:v>1.5590450363686366</c:v>
                </c:pt>
              </c:numCache>
            </c:numRef>
          </c:val>
        </c:ser>
        <c:ser>
          <c:idx val="50"/>
          <c:order val="20"/>
          <c:spPr>
            <a:solidFill>
              <a:schemeClr val="accent3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'LAND USE CHANGE'!$O$88:$AQ$88</c:f>
              <c:numCache>
                <c:formatCode>0.0</c:formatCode>
                <c:ptCount val="29"/>
                <c:pt idx="0">
                  <c:v>741.9215968845466</c:v>
                </c:pt>
                <c:pt idx="1">
                  <c:v>6.0949302178800195</c:v>
                </c:pt>
                <c:pt idx="2">
                  <c:v>6.0949302178800195</c:v>
                </c:pt>
                <c:pt idx="3">
                  <c:v>6.0949302178800195</c:v>
                </c:pt>
                <c:pt idx="4">
                  <c:v>6.0949302178800195</c:v>
                </c:pt>
                <c:pt idx="5">
                  <c:v>6.0949302178800195</c:v>
                </c:pt>
                <c:pt idx="6">
                  <c:v>6.0949302178800195</c:v>
                </c:pt>
                <c:pt idx="7">
                  <c:v>6.0949302178800195</c:v>
                </c:pt>
                <c:pt idx="8">
                  <c:v>6.0949302178800195</c:v>
                </c:pt>
                <c:pt idx="9">
                  <c:v>6.0949302178800195</c:v>
                </c:pt>
                <c:pt idx="10">
                  <c:v>6.0949302178800195</c:v>
                </c:pt>
                <c:pt idx="11">
                  <c:v>6.0949302178800195</c:v>
                </c:pt>
                <c:pt idx="12">
                  <c:v>6.0949302178800195</c:v>
                </c:pt>
                <c:pt idx="13">
                  <c:v>6.0949302178800195</c:v>
                </c:pt>
                <c:pt idx="14">
                  <c:v>6.0949302178800195</c:v>
                </c:pt>
                <c:pt idx="15">
                  <c:v>6.0949302178800195</c:v>
                </c:pt>
                <c:pt idx="16">
                  <c:v>6.0949302178800195</c:v>
                </c:pt>
                <c:pt idx="17">
                  <c:v>6.0949302178800195</c:v>
                </c:pt>
                <c:pt idx="18">
                  <c:v>6.0949302178800195</c:v>
                </c:pt>
                <c:pt idx="19">
                  <c:v>6.0949302178800195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51"/>
          <c:order val="21"/>
          <c:spPr>
            <a:solidFill>
              <a:schemeClr val="accent4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'LAND USE CHANGE'!$O$89:$AQ$89</c:f>
              <c:numCache>
                <c:formatCode>0.0</c:formatCode>
                <c:ptCount val="29"/>
                <c:pt idx="0">
                  <c:v>3.7240199912014367</c:v>
                </c:pt>
                <c:pt idx="1">
                  <c:v>3.7240199912014367</c:v>
                </c:pt>
                <c:pt idx="2">
                  <c:v>3.7240199912014367</c:v>
                </c:pt>
                <c:pt idx="3">
                  <c:v>3.7240199912014367</c:v>
                </c:pt>
                <c:pt idx="4">
                  <c:v>3.7240199912014367</c:v>
                </c:pt>
                <c:pt idx="5">
                  <c:v>3.7240199912014367</c:v>
                </c:pt>
                <c:pt idx="6">
                  <c:v>3.7240199912014367</c:v>
                </c:pt>
                <c:pt idx="7">
                  <c:v>3.7240199912014367</c:v>
                </c:pt>
                <c:pt idx="8">
                  <c:v>3.7240199912014367</c:v>
                </c:pt>
                <c:pt idx="9">
                  <c:v>3.7240199912014367</c:v>
                </c:pt>
                <c:pt idx="10">
                  <c:v>3.7240199912014367</c:v>
                </c:pt>
                <c:pt idx="11">
                  <c:v>3.7240199912014367</c:v>
                </c:pt>
                <c:pt idx="12">
                  <c:v>3.7240199912014367</c:v>
                </c:pt>
                <c:pt idx="13">
                  <c:v>3.7240199912014367</c:v>
                </c:pt>
                <c:pt idx="14">
                  <c:v>3.7240199912014367</c:v>
                </c:pt>
                <c:pt idx="15">
                  <c:v>3.7240199912014367</c:v>
                </c:pt>
                <c:pt idx="16">
                  <c:v>3.7240199912014367</c:v>
                </c:pt>
                <c:pt idx="17">
                  <c:v>3.7240199912014367</c:v>
                </c:pt>
                <c:pt idx="18">
                  <c:v>3.7240199912014367</c:v>
                </c:pt>
                <c:pt idx="19">
                  <c:v>3.7240199912014367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52"/>
          <c:order val="22"/>
          <c:spPr>
            <a:solidFill>
              <a:schemeClr val="accent5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'LAND USE CHANGE'!$O$90:$AQ$90</c:f>
              <c:numCache>
                <c:formatCode>0.0</c:formatCode>
                <c:ptCount val="29"/>
                <c:pt idx="0">
                  <c:v>6.2465272160942567</c:v>
                </c:pt>
                <c:pt idx="1">
                  <c:v>6.2465272160942567</c:v>
                </c:pt>
                <c:pt idx="2">
                  <c:v>6.2465272160942567</c:v>
                </c:pt>
                <c:pt idx="3">
                  <c:v>6.2465272160942567</c:v>
                </c:pt>
                <c:pt idx="4">
                  <c:v>6.2465272160942567</c:v>
                </c:pt>
                <c:pt idx="5">
                  <c:v>6.2465272160942567</c:v>
                </c:pt>
                <c:pt idx="6">
                  <c:v>6.2465272160942567</c:v>
                </c:pt>
                <c:pt idx="7">
                  <c:v>6.2465272160942567</c:v>
                </c:pt>
                <c:pt idx="8">
                  <c:v>6.2465272160942567</c:v>
                </c:pt>
                <c:pt idx="9">
                  <c:v>6.2465272160942567</c:v>
                </c:pt>
                <c:pt idx="10">
                  <c:v>6.2465272160942567</c:v>
                </c:pt>
                <c:pt idx="11">
                  <c:v>6.2465272160942567</c:v>
                </c:pt>
                <c:pt idx="12">
                  <c:v>6.2465272160942567</c:v>
                </c:pt>
                <c:pt idx="13">
                  <c:v>6.2465272160942567</c:v>
                </c:pt>
                <c:pt idx="14">
                  <c:v>6.2465272160942567</c:v>
                </c:pt>
                <c:pt idx="15">
                  <c:v>6.2465272160942567</c:v>
                </c:pt>
                <c:pt idx="16">
                  <c:v>6.2465272160942567</c:v>
                </c:pt>
                <c:pt idx="17">
                  <c:v>6.2465272160942567</c:v>
                </c:pt>
                <c:pt idx="18">
                  <c:v>6.2465272160942567</c:v>
                </c:pt>
                <c:pt idx="19">
                  <c:v>6.2465272160942567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53"/>
          <c:order val="23"/>
          <c:spPr>
            <a:solidFill>
              <a:schemeClr val="accent6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'LAND USE CHANGE'!$O$91:$AQ$91</c:f>
              <c:numCache>
                <c:formatCode>0.0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54"/>
          <c:order val="24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'LAND USE CHANGE'!$O$92:$AQ$92</c:f>
              <c:numCache>
                <c:formatCode>0.0</c:formatCode>
                <c:ptCount val="29"/>
                <c:pt idx="0">
                  <c:v>6.0627476064897872</c:v>
                </c:pt>
                <c:pt idx="1">
                  <c:v>6.0627476064897872</c:v>
                </c:pt>
                <c:pt idx="2">
                  <c:v>6.0627476064897872</c:v>
                </c:pt>
                <c:pt idx="3">
                  <c:v>6.0627476064897872</c:v>
                </c:pt>
                <c:pt idx="4">
                  <c:v>6.0627476064897872</c:v>
                </c:pt>
                <c:pt idx="5">
                  <c:v>6.0627476064897872</c:v>
                </c:pt>
                <c:pt idx="6">
                  <c:v>6.0627476064897872</c:v>
                </c:pt>
                <c:pt idx="7">
                  <c:v>6.0627476064897872</c:v>
                </c:pt>
                <c:pt idx="8">
                  <c:v>6.0627476064897872</c:v>
                </c:pt>
                <c:pt idx="9">
                  <c:v>6.0627476064897872</c:v>
                </c:pt>
                <c:pt idx="10">
                  <c:v>6.0627476064897872</c:v>
                </c:pt>
                <c:pt idx="11">
                  <c:v>6.0627476064897872</c:v>
                </c:pt>
                <c:pt idx="12">
                  <c:v>6.0627476064897872</c:v>
                </c:pt>
                <c:pt idx="13">
                  <c:v>6.0627476064897872</c:v>
                </c:pt>
                <c:pt idx="14">
                  <c:v>6.0627476064897872</c:v>
                </c:pt>
                <c:pt idx="15">
                  <c:v>6.0627476064897872</c:v>
                </c:pt>
                <c:pt idx="16">
                  <c:v>6.0627476064897872</c:v>
                </c:pt>
                <c:pt idx="17">
                  <c:v>6.0627476064897872</c:v>
                </c:pt>
                <c:pt idx="18">
                  <c:v>6.0627476064897872</c:v>
                </c:pt>
                <c:pt idx="19">
                  <c:v>6.0627476064897872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55"/>
          <c:order val="25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'LAND USE CHANGE'!$O$93:$AQ$93</c:f>
              <c:numCache>
                <c:formatCode>0.0</c:formatCode>
                <c:ptCount val="29"/>
                <c:pt idx="0">
                  <c:v>742.2249163310961</c:v>
                </c:pt>
                <c:pt idx="1">
                  <c:v>6.3982496644295175</c:v>
                </c:pt>
                <c:pt idx="2">
                  <c:v>6.3982496644295175</c:v>
                </c:pt>
                <c:pt idx="3">
                  <c:v>6.3982496644295175</c:v>
                </c:pt>
                <c:pt idx="4">
                  <c:v>6.3982496644295175</c:v>
                </c:pt>
                <c:pt idx="5">
                  <c:v>6.3982496644295175</c:v>
                </c:pt>
                <c:pt idx="6">
                  <c:v>6.3982496644295175</c:v>
                </c:pt>
                <c:pt idx="7">
                  <c:v>6.3982496644295175</c:v>
                </c:pt>
                <c:pt idx="8">
                  <c:v>6.3982496644295175</c:v>
                </c:pt>
                <c:pt idx="9">
                  <c:v>6.3982496644295175</c:v>
                </c:pt>
                <c:pt idx="10">
                  <c:v>6.3982496644295175</c:v>
                </c:pt>
                <c:pt idx="11">
                  <c:v>6.3982496644295175</c:v>
                </c:pt>
                <c:pt idx="12">
                  <c:v>6.3982496644295175</c:v>
                </c:pt>
                <c:pt idx="13">
                  <c:v>6.3982496644295175</c:v>
                </c:pt>
                <c:pt idx="14">
                  <c:v>6.3982496644295175</c:v>
                </c:pt>
                <c:pt idx="15">
                  <c:v>6.3982496644295175</c:v>
                </c:pt>
                <c:pt idx="16">
                  <c:v>6.3982496644295175</c:v>
                </c:pt>
                <c:pt idx="17">
                  <c:v>6.3982496644295175</c:v>
                </c:pt>
                <c:pt idx="18">
                  <c:v>6.3982496644295175</c:v>
                </c:pt>
                <c:pt idx="19">
                  <c:v>6.3982496644295175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56"/>
          <c:order val="26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'LAND USE CHANGE'!$O$94:$AQ$94</c:f>
              <c:numCache>
                <c:formatCode>0.0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57"/>
          <c:order val="27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'LAND USE CHANGE'!$O$95:$AQ$95</c:f>
              <c:numCache>
                <c:formatCode>0.0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58"/>
          <c:order val="28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'LAND USE CHANGE'!$O$96:$AQ$96</c:f>
              <c:numCache>
                <c:formatCode>0.0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59"/>
          <c:order val="29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'LAND USE CHANGE'!$O$97:$AQ$97</c:f>
              <c:numCache>
                <c:formatCode>0.0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"/>
        <c:overlap val="100"/>
        <c:axId val="352239376"/>
        <c:axId val="352240944"/>
      </c:barChart>
      <c:catAx>
        <c:axId val="35223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40944"/>
        <c:crosses val="autoZero"/>
        <c:auto val="1"/>
        <c:lblAlgn val="ctr"/>
        <c:lblOffset val="100"/>
        <c:noMultiLvlLbl val="0"/>
      </c:catAx>
      <c:valAx>
        <c:axId val="35224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239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5" fmlaLink="B3" fmlaRange="'DEFAULT DATA'!$A$9:$A$41" sel="32" val="25"/>
</file>

<file path=xl/ctrlProps/ctrlProp2.xml><?xml version="1.0" encoding="utf-8"?>
<formControlPr xmlns="http://schemas.microsoft.com/office/spreadsheetml/2009/9/main" objectType="Drop" dropLines="5" dropStyle="combo" dx="25" fmlaLink="B2" fmlaRange="'MENU OPTIONS'!$A$1:$A$29" sel="4" val="0"/>
</file>

<file path=xl/ctrlProps/ctrlProp3.xml><?xml version="1.0" encoding="utf-8"?>
<formControlPr xmlns="http://schemas.microsoft.com/office/spreadsheetml/2009/9/main" objectType="Drop" dropLines="5" dropStyle="combo" dx="25" fmlaLink="D3" fmlaRange="'DEFAULT DATA'!$A$42:$A$104" sel="2" val="0"/>
</file>

<file path=xl/ctrlProps/ctrlProp4.xml><?xml version="1.0" encoding="utf-8"?>
<formControlPr xmlns="http://schemas.microsoft.com/office/spreadsheetml/2009/9/main" objectType="Drop" dropLines="3" dropStyle="combo" dx="25" fmlaLink="C19" fmlaRange="$E$288:$E$290" sel="2" val="0"/>
</file>

<file path=xl/ctrlProps/ctrlProp5.xml><?xml version="1.0" encoding="utf-8"?>
<formControlPr xmlns="http://schemas.microsoft.com/office/spreadsheetml/2009/9/main" objectType="Drop" dropLines="5" dropStyle="combo" dx="25" fmlaLink="C20" fmlaRange="#REF!" sel="0" val="0"/>
</file>

<file path=xl/ctrlProps/ctrlProp6.xml><?xml version="1.0" encoding="utf-8"?>
<formControlPr xmlns="http://schemas.microsoft.com/office/spreadsheetml/2009/9/main" objectType="Drop" dropLines="5" dropStyle="combo" dx="25" fmlaLink="C21" fmlaRange="#REF!" sel="0" val="0"/>
</file>

<file path=xl/ctrlProps/ctrlProp7.xml><?xml version="1.0" encoding="utf-8"?>
<formControlPr xmlns="http://schemas.microsoft.com/office/spreadsheetml/2009/9/main" objectType="Drop" dropLines="5" dropStyle="combo" dx="25" fmlaLink="C22" fmlaRange="#REF!" sel="0" val="0"/>
</file>

<file path=xl/ctrlProps/ctrlProp8.xml><?xml version="1.0" encoding="utf-8"?>
<formControlPr xmlns="http://schemas.microsoft.com/office/spreadsheetml/2009/9/main" objectType="Drop" dropLines="5" dropStyle="combo" dx="25" fmlaLink="$B$117" fmlaRange="'MENU OPTIONS'!$A$1:$A$29" sel="2" val="0"/>
</file>

<file path=xl/ctrlProps/ctrlProp9.xml><?xml version="1.0" encoding="utf-8"?>
<formControlPr xmlns="http://schemas.microsoft.com/office/spreadsheetml/2009/9/main" objectType="Drop" dropLines="5" dropStyle="combo" dx="25" fmlaLink="$C$117" fmlaRange="'MENU OPTIONS'!$A$1:$A$29" sel="9" val="8"/>
</file>

<file path=xl/ctrlProps/ctrlProp10.xml><?xml version="1.0" encoding="utf-8"?>
<formControlPr xmlns="http://schemas.microsoft.com/office/spreadsheetml/2009/9/main" objectType="Drop" dropLines="5" dropStyle="combo" dx="25" fmlaLink="$B$184" fmlaRange="'MENU OPTIONS'!$A$1:$A$29" sel="2" val="2"/>
</file>

<file path=xl/ctrlProps/ctrlProp11.xml><?xml version="1.0" encoding="utf-8"?>
<formControlPr xmlns="http://schemas.microsoft.com/office/spreadsheetml/2009/9/main" objectType="Drop" dropLines="5" dropStyle="combo" dx="25" fmlaLink="$C$184" fmlaRange="'MENU OPTIONS'!$A$1:$A$29" sel="4" val="6"/>
</file>

<file path=xl/ctrlProps/ctrlProp12.xml><?xml version="1.0" encoding="utf-8"?>
<formControlPr xmlns="http://schemas.microsoft.com/office/spreadsheetml/2009/9/main" objectType="Drop" dropLines="5" dropStyle="combo" dx="25" fmlaLink="$C$222" fmlaRange="'MENU OPTIONS'!$A$1:$A$29" sel="4" val="6"/>
</file>

<file path=xl/ctrlProps/ctrlProp13.xml><?xml version="1.0" encoding="utf-8"?>
<formControlPr xmlns="http://schemas.microsoft.com/office/spreadsheetml/2009/9/main" objectType="Drop" dropLines="5" dropStyle="combo" dx="25" fmlaLink="$B$222" fmlaRange="'MENU OPTIONS'!$A$1:$A$29" sel="1" val="0"/>
</file>

<file path=xl/ctrlProps/ctrlProp14.xml><?xml version="1.0" encoding="utf-8"?>
<formControlPr xmlns="http://schemas.microsoft.com/office/spreadsheetml/2009/9/main" objectType="Drop" dropLines="5" dropStyle="combo" dx="25" fmlaLink="$B$193" fmlaRange="'MENU OPTIONS'!$A$1:$A$29" sel="2" val="2"/>
</file>

<file path=xl/ctrlProps/ctrlProp15.xml><?xml version="1.0" encoding="utf-8"?>
<formControlPr xmlns="http://schemas.microsoft.com/office/spreadsheetml/2009/9/main" objectType="Drop" dropLines="5" dropStyle="combo" dx="25" fmlaLink="$C$193" fmlaRange="'MENU OPTIONS'!$A$1:$A$29" sel="4" val="6"/>
</file>

<file path=xl/ctrlProps/ctrlProp16.xml><?xml version="1.0" encoding="utf-8"?>
<formControlPr xmlns="http://schemas.microsoft.com/office/spreadsheetml/2009/9/main" objectType="Drop" dropLines="5" dropStyle="combo" dx="25" fmlaLink="$C$232" fmlaRange="'MENU OPTIONS'!$A$1:$A$29" sel="4" val="6"/>
</file>

<file path=xl/ctrlProps/ctrlProp17.xml><?xml version="1.0" encoding="utf-8"?>
<formControlPr xmlns="http://schemas.microsoft.com/office/spreadsheetml/2009/9/main" objectType="Drop" dropLines="5" dropStyle="combo" dx="25" fmlaLink="$B$232" fmlaRange="'MENU OPTIONS'!$A$1:$A$29" sel="1" val="0"/>
</file>

<file path=xl/ctrlProps/ctrlProp18.xml><?xml version="1.0" encoding="utf-8"?>
<formControlPr xmlns="http://schemas.microsoft.com/office/spreadsheetml/2009/9/main" objectType="Drop" dropLines="5" dropStyle="combo" dx="25" fmlaLink="$C$243" fmlaRange="'MENU OPTIONS'!$A$1:$A$29" sel="4" val="6"/>
</file>

<file path=xl/ctrlProps/ctrlProp19.xml><?xml version="1.0" encoding="utf-8"?>
<formControlPr xmlns="http://schemas.microsoft.com/office/spreadsheetml/2009/9/main" objectType="Drop" dropLines="5" dropStyle="combo" dx="25" fmlaLink="$B$243" fmlaRange="'MENU OPTIONS'!$A$1:$A$29" sel="1" val="0"/>
</file>

<file path=xl/ctrlProps/ctrlProp20.xml><?xml version="1.0" encoding="utf-8"?>
<formControlPr xmlns="http://schemas.microsoft.com/office/spreadsheetml/2009/9/main" objectType="Drop" dropLines="5" dropStyle="combo" dx="25" fmlaLink="$C$265" fmlaRange="'MENU OPTIONS'!$A$1:$A$29" sel="4" val="6"/>
</file>

<file path=xl/ctrlProps/ctrlProp21.xml><?xml version="1.0" encoding="utf-8"?>
<formControlPr xmlns="http://schemas.microsoft.com/office/spreadsheetml/2009/9/main" objectType="Drop" dropLines="5" dropStyle="combo" dx="25" fmlaLink="$B$265" fmlaRange="'MENU OPTIONS'!$A$1:$A$29" sel="1" val="0"/>
</file>

<file path=xl/ctrlProps/ctrlProp22.xml><?xml version="1.0" encoding="utf-8"?>
<formControlPr xmlns="http://schemas.microsoft.com/office/spreadsheetml/2009/9/main" objectType="Drop" dropLines="5" dropStyle="combo" dx="25" fmlaLink="$C$273" fmlaRange="'MENU OPTIONS'!$A$1:$A$29" sel="4" val="6"/>
</file>

<file path=xl/ctrlProps/ctrlProp23.xml><?xml version="1.0" encoding="utf-8"?>
<formControlPr xmlns="http://schemas.microsoft.com/office/spreadsheetml/2009/9/main" objectType="Drop" dropLines="5" dropStyle="combo" dx="25" fmlaLink="$B$273" fmlaRange="'MENU OPTIONS'!$A$1:$A$29" sel="1" val="0"/>
</file>

<file path=xl/ctrlProps/ctrlProp24.xml><?xml version="1.0" encoding="utf-8"?>
<formControlPr xmlns="http://schemas.microsoft.com/office/spreadsheetml/2009/9/main" objectType="Drop" dropLines="5" dropStyle="combo" dx="25" fmlaLink="G46" fmlaRange="'MENU OPTIONS'!$A$1:$A$29" sel="1" val="0"/>
</file>

<file path=xl/ctrlProps/ctrlProp25.xml><?xml version="1.0" encoding="utf-8"?>
<formControlPr xmlns="http://schemas.microsoft.com/office/spreadsheetml/2009/9/main" objectType="Drop" dropLines="5" dropStyle="combo" dx="25" fmlaLink="G47" fmlaRange="'MENU OPTIONS'!$A$1:$A$29" sel="1" val="0"/>
</file>

<file path=xl/ctrlProps/ctrlProp26.xml><?xml version="1.0" encoding="utf-8"?>
<formControlPr xmlns="http://schemas.microsoft.com/office/spreadsheetml/2009/9/main" objectType="Drop" dropLines="5" dropStyle="combo" dx="25" fmlaLink="G48" fmlaRange="'MENU OPTIONS'!$A$1:$A$29" sel="1" val="0"/>
</file>

<file path=xl/ctrlProps/ctrlProp27.xml><?xml version="1.0" encoding="utf-8"?>
<formControlPr xmlns="http://schemas.microsoft.com/office/spreadsheetml/2009/9/main" objectType="Drop" dropLines="5" dropStyle="combo" dx="25" fmlaLink="G49" fmlaRange="'MENU OPTIONS'!$A$1:$A$29" sel="1" val="0"/>
</file>

<file path=xl/ctrlProps/ctrlProp28.xml><?xml version="1.0" encoding="utf-8"?>
<formControlPr xmlns="http://schemas.microsoft.com/office/spreadsheetml/2009/9/main" objectType="Drop" dropLines="5" dropStyle="combo" dx="25" fmlaLink="G50" fmlaRange="'MENU OPTIONS'!$A$1:$A$29" sel="1" val="0"/>
</file>

<file path=xl/ctrlProps/ctrlProp29.xml><?xml version="1.0" encoding="utf-8"?>
<formControlPr xmlns="http://schemas.microsoft.com/office/spreadsheetml/2009/9/main" objectType="Drop" dropLines="5" dropStyle="combo" dx="25" fmlaLink="G51" fmlaRange="'MENU OPTIONS'!$A$1:$A$29" sel="1" val="0"/>
</file>

<file path=xl/ctrlProps/ctrlProp30.xml><?xml version="1.0" encoding="utf-8"?>
<formControlPr xmlns="http://schemas.microsoft.com/office/spreadsheetml/2009/9/main" objectType="Drop" dropLines="5" dropStyle="combo" dx="25" fmlaLink="G52" fmlaRange="'MENU OPTIONS'!$A$1:$A$29" sel="1" val="0"/>
</file>

<file path=xl/ctrlProps/ctrlProp31.xml><?xml version="1.0" encoding="utf-8"?>
<formControlPr xmlns="http://schemas.microsoft.com/office/spreadsheetml/2009/9/main" objectType="Drop" dropLines="5" dropStyle="combo" dx="25" fmlaLink="G53" fmlaRange="'MENU OPTIONS'!$A$1:$A$29" sel="1" val="0"/>
</file>

<file path=xl/ctrlProps/ctrlProp32.xml><?xml version="1.0" encoding="utf-8"?>
<formControlPr xmlns="http://schemas.microsoft.com/office/spreadsheetml/2009/9/main" objectType="Drop" dropLines="5" dropStyle="combo" dx="25" fmlaLink="G54" fmlaRange="'MENU OPTIONS'!$A$1:$A$29" sel="1" val="0"/>
</file>

<file path=xl/ctrlProps/ctrlProp33.xml><?xml version="1.0" encoding="utf-8"?>
<formControlPr xmlns="http://schemas.microsoft.com/office/spreadsheetml/2009/9/main" objectType="Drop" dropLines="5" dropStyle="combo" dx="25" fmlaLink="G55" fmlaRange="'MENU OPTIONS'!$A$1:$A$29" sel="1" val="0"/>
</file>

<file path=xl/ctrlProps/ctrlProp34.xml><?xml version="1.0" encoding="utf-8"?>
<formControlPr xmlns="http://schemas.microsoft.com/office/spreadsheetml/2009/9/main" objectType="Drop" dropLines="5" dropStyle="combo" dx="25" fmlaLink="G56" fmlaRange="'MENU OPTIONS'!$A$1:$A$29" sel="1" val="0"/>
</file>

<file path=xl/ctrlProps/ctrlProp35.xml><?xml version="1.0" encoding="utf-8"?>
<formControlPr xmlns="http://schemas.microsoft.com/office/spreadsheetml/2009/9/main" objectType="Drop" dropLines="5" dropStyle="combo" dx="25" fmlaLink="G57" fmlaRange="'MENU OPTIONS'!$A$1:$A$29" sel="1" val="0"/>
</file>

<file path=xl/ctrlProps/ctrlProp36.xml><?xml version="1.0" encoding="utf-8"?>
<formControlPr xmlns="http://schemas.microsoft.com/office/spreadsheetml/2009/9/main" objectType="Drop" dropLines="5" dropStyle="combo" dx="25" fmlaLink="G58" fmlaRange="'MENU OPTIONS'!$A$1:$A$29" sel="1" val="0"/>
</file>

<file path=xl/ctrlProps/ctrlProp37.xml><?xml version="1.0" encoding="utf-8"?>
<formControlPr xmlns="http://schemas.microsoft.com/office/spreadsheetml/2009/9/main" objectType="Drop" dropLines="5" dropStyle="combo" dx="25" fmlaLink="G59" fmlaRange="'MENU OPTIONS'!$A$1:$A$29" sel="1" val="0"/>
</file>

<file path=xl/ctrlProps/ctrlProp38.xml><?xml version="1.0" encoding="utf-8"?>
<formControlPr xmlns="http://schemas.microsoft.com/office/spreadsheetml/2009/9/main" objectType="Drop" dropLines="5" dropStyle="combo" dx="25" fmlaLink="G60" fmlaRange="'MENU OPTIONS'!$A$1:$A$29" sel="1" val="0"/>
</file>

<file path=xl/ctrlProps/ctrlProp39.xml><?xml version="1.0" encoding="utf-8"?>
<formControlPr xmlns="http://schemas.microsoft.com/office/spreadsheetml/2009/9/main" objectType="Drop" dropLines="5" dropStyle="combo" dx="25" fmlaLink="G61" fmlaRange="'MENU OPTIONS'!$A$1:$A$29" sel="1" val="0"/>
</file>

<file path=xl/ctrlProps/ctrlProp40.xml><?xml version="1.0" encoding="utf-8"?>
<formControlPr xmlns="http://schemas.microsoft.com/office/spreadsheetml/2009/9/main" objectType="Drop" dropLines="5" dropStyle="combo" dx="25" fmlaLink="G62" fmlaRange="'MENU OPTIONS'!$A$1:$A$29" sel="1" val="0"/>
</file>

<file path=xl/ctrlProps/ctrlProp41.xml><?xml version="1.0" encoding="utf-8"?>
<formControlPr xmlns="http://schemas.microsoft.com/office/spreadsheetml/2009/9/main" objectType="Drop" dropLines="5" dropStyle="combo" dx="25" fmlaLink="G63" fmlaRange="'MENU OPTIONS'!$A$1:$A$29" sel="1" val="0"/>
</file>

<file path=xl/ctrlProps/ctrlProp42.xml><?xml version="1.0" encoding="utf-8"?>
<formControlPr xmlns="http://schemas.microsoft.com/office/spreadsheetml/2009/9/main" objectType="Drop" dropLines="5" dropStyle="combo" dx="25" fmlaLink="G64" fmlaRange="'MENU OPTIONS'!$A$1:$A$29" sel="1" val="0"/>
</file>

<file path=xl/ctrlProps/ctrlProp43.xml><?xml version="1.0" encoding="utf-8"?>
<formControlPr xmlns="http://schemas.microsoft.com/office/spreadsheetml/2009/9/main" objectType="Drop" dropLines="5" dropStyle="combo" dx="25" fmlaLink="G65" fmlaRange="'MENU OPTIONS'!$A$1:$A$29" sel="1" val="0"/>
</file>

<file path=xl/ctrlProps/ctrlProp44.xml><?xml version="1.0" encoding="utf-8"?>
<formControlPr xmlns="http://schemas.microsoft.com/office/spreadsheetml/2009/9/main" objectType="Drop" dropLines="5" dropStyle="combo" dx="25" fmlaLink="G66" fmlaRange="'MENU OPTIONS'!$A$1:$A$29" sel="1" val="0"/>
</file>

<file path=xl/ctrlProps/ctrlProp45.xml><?xml version="1.0" encoding="utf-8"?>
<formControlPr xmlns="http://schemas.microsoft.com/office/spreadsheetml/2009/9/main" objectType="Drop" dropLines="5" dropStyle="combo" dx="25" fmlaLink="G67" fmlaRange="'MENU OPTIONS'!$A$1:$A$29" sel="1" val="0"/>
</file>

<file path=xl/ctrlProps/ctrlProp46.xml><?xml version="1.0" encoding="utf-8"?>
<formControlPr xmlns="http://schemas.microsoft.com/office/spreadsheetml/2009/9/main" objectType="Drop" dropLines="5" dropStyle="combo" dx="25" fmlaLink="G68" fmlaRange="'MENU OPTIONS'!$A$1:$A$29" sel="1" val="0"/>
</file>

<file path=xl/ctrlProps/ctrlProp47.xml><?xml version="1.0" encoding="utf-8"?>
<formControlPr xmlns="http://schemas.microsoft.com/office/spreadsheetml/2009/9/main" objectType="Drop" dropLines="5" dropStyle="combo" dx="25" fmlaLink="G69" fmlaRange="'MENU OPTIONS'!$A$1:$A$29" sel="1" val="0"/>
</file>

<file path=xl/ctrlProps/ctrlProp48.xml><?xml version="1.0" encoding="utf-8"?>
<formControlPr xmlns="http://schemas.microsoft.com/office/spreadsheetml/2009/9/main" objectType="Drop" dropLines="5" dropStyle="combo" dx="25" fmlaLink="G70" fmlaRange="'MENU OPTIONS'!$A$1:$A$29" sel="1" val="0"/>
</file>

<file path=xl/ctrlProps/ctrlProp49.xml><?xml version="1.0" encoding="utf-8"?>
<formControlPr xmlns="http://schemas.microsoft.com/office/spreadsheetml/2009/9/main" objectType="Drop" dropLines="5" dropStyle="combo" dx="25" fmlaLink="G71" fmlaRange="'MENU OPTIONS'!$A$1:$A$29" sel="1" val="0"/>
</file>

<file path=xl/ctrlProps/ctrlProp50.xml><?xml version="1.0" encoding="utf-8"?>
<formControlPr xmlns="http://schemas.microsoft.com/office/spreadsheetml/2009/9/main" objectType="Drop" dropLines="5" dropStyle="combo" dx="25" fmlaLink="G72" fmlaRange="'MENU OPTIONS'!$A$1:$A$29" sel="1" val="0"/>
</file>

<file path=xl/ctrlProps/ctrlProp51.xml><?xml version="1.0" encoding="utf-8"?>
<formControlPr xmlns="http://schemas.microsoft.com/office/spreadsheetml/2009/9/main" objectType="Drop" dropLines="5" dropStyle="combo" dx="25" fmlaLink="G73" fmlaRange="'MENU OPTIONS'!$A$1:$A$29" sel="1" val="0"/>
</file>

<file path=xl/ctrlProps/ctrlProp52.xml><?xml version="1.0" encoding="utf-8"?>
<formControlPr xmlns="http://schemas.microsoft.com/office/spreadsheetml/2009/9/main" objectType="Drop" dropLines="5" dropStyle="combo" dx="25" fmlaLink="G74" fmlaRange="'MENU OPTIONS'!$A$1:$A$29" sel="1" val="0"/>
</file>

<file path=xl/ctrlProps/ctrlProp53.xml><?xml version="1.0" encoding="utf-8"?>
<formControlPr xmlns="http://schemas.microsoft.com/office/spreadsheetml/2009/9/main" objectType="Drop" dropLines="5" dropStyle="combo" dx="25" fmlaLink="G75" fmlaRange="'MENU OPTIONS'!$A$1:$A$29" sel="1" val="0"/>
</file>

<file path=xl/ctrlProps/ctrlProp54.xml><?xml version="1.0" encoding="utf-8"?>
<formControlPr xmlns="http://schemas.microsoft.com/office/spreadsheetml/2009/9/main" objectType="Drop" dropStyle="combo" dx="25" fmlaLink="'LOCAL DATASET'!B4" fmlaRange="'DEFAULT DATA'!$A$9:$A$40" sel="15" val="1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UILDINGS!A1"/><Relationship Id="rId2" Type="http://schemas.openxmlformats.org/officeDocument/2006/relationships/hyperlink" Target="#'LAND USE CHANGE'!A1"/><Relationship Id="rId1" Type="http://schemas.openxmlformats.org/officeDocument/2006/relationships/hyperlink" Target="#TRANSPORT!A1"/><Relationship Id="rId5" Type="http://schemas.openxmlformats.org/officeDocument/2006/relationships/hyperlink" Target="https://www.youtube.com/watch?v=BcMUDxOC5Tg" TargetMode="External"/><Relationship Id="rId4" Type="http://schemas.openxmlformats.org/officeDocument/2006/relationships/hyperlink" Target="#RESULT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START!A1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8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RESULTS!A1"/><Relationship Id="rId5" Type="http://schemas.openxmlformats.org/officeDocument/2006/relationships/chart" Target="../charts/chart5.xml"/><Relationship Id="rId10" Type="http://schemas.openxmlformats.org/officeDocument/2006/relationships/hyperlink" Target="#BUILDINGS!A1"/><Relationship Id="rId4" Type="http://schemas.openxmlformats.org/officeDocument/2006/relationships/chart" Target="../charts/chart4.xml"/><Relationship Id="rId9" Type="http://schemas.openxmlformats.org/officeDocument/2006/relationships/hyperlink" Target="#'LAND USE CHANGE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BUILDINGS!A1"/><Relationship Id="rId7" Type="http://schemas.openxmlformats.org/officeDocument/2006/relationships/chart" Target="../charts/chart11.xml"/><Relationship Id="rId2" Type="http://schemas.openxmlformats.org/officeDocument/2006/relationships/hyperlink" Target="#TRANSPORT!A1"/><Relationship Id="rId1" Type="http://schemas.openxmlformats.org/officeDocument/2006/relationships/hyperlink" Target="#START!A1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hyperlink" Target="#RESULT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BUILDINGS!A1"/><Relationship Id="rId2" Type="http://schemas.openxmlformats.org/officeDocument/2006/relationships/hyperlink" Target="#'LAND USE CHANGE'!A1"/><Relationship Id="rId1" Type="http://schemas.openxmlformats.org/officeDocument/2006/relationships/hyperlink" Target="#TRANSPORT!A1"/><Relationship Id="rId5" Type="http://schemas.openxmlformats.org/officeDocument/2006/relationships/hyperlink" Target="https://www.youtube.com/watch?v=BcMUDxOC5Tg" TargetMode="External"/><Relationship Id="rId4" Type="http://schemas.openxmlformats.org/officeDocument/2006/relationships/hyperlink" Target="#RESULTS!A1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238125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0</xdr:colOff>
          <xdr:row>1</xdr:row>
          <xdr:rowOff>238125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590550</xdr:colOff>
      <xdr:row>0</xdr:row>
      <xdr:rowOff>85726</xdr:rowOff>
    </xdr:from>
    <xdr:to>
      <xdr:col>3</xdr:col>
      <xdr:colOff>581025</xdr:colOff>
      <xdr:row>0</xdr:row>
      <xdr:rowOff>314326</xdr:rowOff>
    </xdr:to>
    <xdr:sp macro="" textlink="">
      <xdr:nvSpPr>
        <xdr:cNvPr id="2" name="Rectangle 1">
          <a:hlinkClick xmlns:r="http://schemas.openxmlformats.org/officeDocument/2006/relationships" r:id="rId1"/>
        </xdr:cNvPr>
        <xdr:cNvSpPr/>
      </xdr:nvSpPr>
      <xdr:spPr>
        <a:xfrm>
          <a:off x="4019550" y="85726"/>
          <a:ext cx="1371600" cy="22860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TRANSPORT</a:t>
          </a:r>
        </a:p>
      </xdr:txBody>
    </xdr:sp>
    <xdr:clientData/>
  </xdr:twoCellAnchor>
  <xdr:twoCellAnchor>
    <xdr:from>
      <xdr:col>3</xdr:col>
      <xdr:colOff>647700</xdr:colOff>
      <xdr:row>0</xdr:row>
      <xdr:rowOff>85726</xdr:rowOff>
    </xdr:from>
    <xdr:to>
      <xdr:col>5</xdr:col>
      <xdr:colOff>28575</xdr:colOff>
      <xdr:row>0</xdr:row>
      <xdr:rowOff>314326</xdr:rowOff>
    </xdr:to>
    <xdr:sp macro="" textlink="">
      <xdr:nvSpPr>
        <xdr:cNvPr id="7" name="Rectangle 6">
          <a:hlinkClick xmlns:r="http://schemas.openxmlformats.org/officeDocument/2006/relationships" r:id="rId2"/>
        </xdr:cNvPr>
        <xdr:cNvSpPr/>
      </xdr:nvSpPr>
      <xdr:spPr>
        <a:xfrm>
          <a:off x="5457825" y="85726"/>
          <a:ext cx="1371600" cy="22860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LAND</a:t>
          </a:r>
          <a:r>
            <a:rPr lang="en-US" sz="1100" baseline="0">
              <a:solidFill>
                <a:schemeClr val="bg1"/>
              </a:solidFill>
            </a:rPr>
            <a:t> USE CHANGE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85725</xdr:colOff>
      <xdr:row>0</xdr:row>
      <xdr:rowOff>85725</xdr:rowOff>
    </xdr:from>
    <xdr:to>
      <xdr:col>7</xdr:col>
      <xdr:colOff>238125</xdr:colOff>
      <xdr:row>0</xdr:row>
      <xdr:rowOff>314325</xdr:rowOff>
    </xdr:to>
    <xdr:sp macro="" textlink="">
      <xdr:nvSpPr>
        <xdr:cNvPr id="8" name="Rectangle 7">
          <a:hlinkClick xmlns:r="http://schemas.openxmlformats.org/officeDocument/2006/relationships" r:id="rId3"/>
        </xdr:cNvPr>
        <xdr:cNvSpPr/>
      </xdr:nvSpPr>
      <xdr:spPr>
        <a:xfrm>
          <a:off x="6886575" y="85725"/>
          <a:ext cx="1371600" cy="22860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BUILDINGS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9525</xdr:rowOff>
        </xdr:from>
        <xdr:to>
          <xdr:col>4</xdr:col>
          <xdr:colOff>0</xdr:colOff>
          <xdr:row>2</xdr:row>
          <xdr:rowOff>238125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295275</xdr:colOff>
      <xdr:row>0</xdr:row>
      <xdr:rowOff>85725</xdr:rowOff>
    </xdr:from>
    <xdr:to>
      <xdr:col>9</xdr:col>
      <xdr:colOff>447675</xdr:colOff>
      <xdr:row>0</xdr:row>
      <xdr:rowOff>314325</xdr:rowOff>
    </xdr:to>
    <xdr:sp macro="" textlink="">
      <xdr:nvSpPr>
        <xdr:cNvPr id="9" name="Rectangle 8">
          <a:hlinkClick xmlns:r="http://schemas.openxmlformats.org/officeDocument/2006/relationships" r:id="rId4"/>
        </xdr:cNvPr>
        <xdr:cNvSpPr/>
      </xdr:nvSpPr>
      <xdr:spPr>
        <a:xfrm>
          <a:off x="8315325" y="85725"/>
          <a:ext cx="1371600" cy="22860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t-EE" sz="1100">
              <a:solidFill>
                <a:schemeClr val="bg1"/>
              </a:solidFill>
            </a:rPr>
            <a:t>RESULTS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504825</xdr:colOff>
      <xdr:row>0</xdr:row>
      <xdr:rowOff>85725</xdr:rowOff>
    </xdr:from>
    <xdr:to>
      <xdr:col>12</xdr:col>
      <xdr:colOff>47625</xdr:colOff>
      <xdr:row>0</xdr:row>
      <xdr:rowOff>314325</xdr:rowOff>
    </xdr:to>
    <xdr:sp macro="" textlink="">
      <xdr:nvSpPr>
        <xdr:cNvPr id="10" name="Rectangle 9">
          <a:hlinkClick xmlns:r="http://schemas.openxmlformats.org/officeDocument/2006/relationships" r:id="rId5"/>
        </xdr:cNvPr>
        <xdr:cNvSpPr/>
      </xdr:nvSpPr>
      <xdr:spPr>
        <a:xfrm>
          <a:off x="9744075" y="85725"/>
          <a:ext cx="1371600" cy="22860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t-EE" sz="1100">
              <a:solidFill>
                <a:schemeClr val="bg1"/>
              </a:solidFill>
            </a:rPr>
            <a:t>USER</a:t>
          </a:r>
          <a:r>
            <a:rPr lang="et-EE" sz="1100" baseline="0">
              <a:solidFill>
                <a:schemeClr val="bg1"/>
              </a:solidFill>
            </a:rPr>
            <a:t> GUIDE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1406261</xdr:colOff>
      <xdr:row>212</xdr:row>
      <xdr:rowOff>234158</xdr:rowOff>
    </xdr:from>
    <xdr:to>
      <xdr:col>5</xdr:col>
      <xdr:colOff>46303</xdr:colOff>
      <xdr:row>220</xdr:row>
      <xdr:rowOff>212990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212</xdr:row>
      <xdr:rowOff>63500</xdr:rowOff>
    </xdr:from>
    <xdr:to>
      <xdr:col>4</xdr:col>
      <xdr:colOff>2594429</xdr:colOff>
      <xdr:row>220</xdr:row>
      <xdr:rowOff>7863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483393</xdr:colOff>
      <xdr:row>73</xdr:row>
      <xdr:rowOff>21431</xdr:rowOff>
    </xdr:from>
    <xdr:to>
      <xdr:col>4</xdr:col>
      <xdr:colOff>3705225</xdr:colOff>
      <xdr:row>83</xdr:row>
      <xdr:rowOff>133350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86</xdr:row>
      <xdr:rowOff>9525</xdr:rowOff>
    </xdr:from>
    <xdr:to>
      <xdr:col>4</xdr:col>
      <xdr:colOff>4009718</xdr:colOff>
      <xdr:row>101</xdr:row>
      <xdr:rowOff>94329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57151</xdr:colOff>
      <xdr:row>2</xdr:row>
      <xdr:rowOff>228600</xdr:rowOff>
    </xdr:from>
    <xdr:to>
      <xdr:col>4</xdr:col>
      <xdr:colOff>3181350</xdr:colOff>
      <xdr:row>10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0</xdr:rowOff>
        </xdr:from>
        <xdr:to>
          <xdr:col>2</xdr:col>
          <xdr:colOff>685800</xdr:colOff>
          <xdr:row>15</xdr:row>
          <xdr:rowOff>219075</xdr:rowOff>
        </xdr:to>
        <xdr:sp macro="" textlink="">
          <xdr:nvSpPr>
            <xdr:cNvPr id="7452" name="Drop Down 284" hidden="1">
              <a:extLst>
                <a:ext uri="{63B3BB69-23CF-44E3-9099-C40C66FF867C}">
                  <a14:compatExt spid="_x0000_s7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685800</xdr:colOff>
          <xdr:row>16</xdr:row>
          <xdr:rowOff>219075</xdr:rowOff>
        </xdr:to>
        <xdr:sp macro="" textlink="">
          <xdr:nvSpPr>
            <xdr:cNvPr id="7453" name="Drop Down 285" hidden="1">
              <a:extLst>
                <a:ext uri="{63B3BB69-23CF-44E3-9099-C40C66FF867C}">
                  <a14:compatExt spid="_x0000_s7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0</xdr:rowOff>
        </xdr:from>
        <xdr:to>
          <xdr:col>2</xdr:col>
          <xdr:colOff>685800</xdr:colOff>
          <xdr:row>17</xdr:row>
          <xdr:rowOff>219075</xdr:rowOff>
        </xdr:to>
        <xdr:sp macro="" textlink="">
          <xdr:nvSpPr>
            <xdr:cNvPr id="7454" name="Drop Down 286" hidden="1">
              <a:extLst>
                <a:ext uri="{63B3BB69-23CF-44E3-9099-C40C66FF867C}">
                  <a14:compatExt spid="_x0000_s7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685800</xdr:colOff>
          <xdr:row>18</xdr:row>
          <xdr:rowOff>219075</xdr:rowOff>
        </xdr:to>
        <xdr:sp macro="" textlink="">
          <xdr:nvSpPr>
            <xdr:cNvPr id="7455" name="Drop Down 287" hidden="1">
              <a:extLst>
                <a:ext uri="{63B3BB69-23CF-44E3-9099-C40C66FF867C}">
                  <a14:compatExt spid="_x0000_s7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1847850</xdr:colOff>
          <xdr:row>116</xdr:row>
          <xdr:rowOff>9525</xdr:rowOff>
        </xdr:from>
        <xdr:to>
          <xdr:col>1</xdr:col>
          <xdr:colOff>704850</xdr:colOff>
          <xdr:row>117</xdr:row>
          <xdr:rowOff>0</xdr:rowOff>
        </xdr:to>
        <xdr:sp macro="" textlink="">
          <xdr:nvSpPr>
            <xdr:cNvPr id="7458" name="Drop Down 290" hidden="1">
              <a:extLst>
                <a:ext uri="{63B3BB69-23CF-44E3-9099-C40C66FF867C}">
                  <a14:compatExt spid="_x0000_s7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116</xdr:row>
          <xdr:rowOff>9525</xdr:rowOff>
        </xdr:from>
        <xdr:to>
          <xdr:col>3</xdr:col>
          <xdr:colOff>190500</xdr:colOff>
          <xdr:row>117</xdr:row>
          <xdr:rowOff>0</xdr:rowOff>
        </xdr:to>
        <xdr:sp macro="" textlink="">
          <xdr:nvSpPr>
            <xdr:cNvPr id="7459" name="Drop Down 291" hidden="1">
              <a:extLst>
                <a:ext uri="{63B3BB69-23CF-44E3-9099-C40C66FF867C}">
                  <a14:compatExt spid="_x0000_s7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47626</xdr:colOff>
      <xdr:row>123</xdr:row>
      <xdr:rowOff>116897</xdr:rowOff>
    </xdr:from>
    <xdr:to>
      <xdr:col>4</xdr:col>
      <xdr:colOff>3171825</xdr:colOff>
      <xdr:row>131</xdr:row>
      <xdr:rowOff>2597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285751</xdr:colOff>
      <xdr:row>115</xdr:row>
      <xdr:rowOff>104775</xdr:rowOff>
    </xdr:from>
    <xdr:to>
      <xdr:col>4</xdr:col>
      <xdr:colOff>4000501</xdr:colOff>
      <xdr:row>124</xdr:row>
      <xdr:rowOff>209549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1847850</xdr:colOff>
          <xdr:row>183</xdr:row>
          <xdr:rowOff>9525</xdr:rowOff>
        </xdr:from>
        <xdr:to>
          <xdr:col>1</xdr:col>
          <xdr:colOff>704850</xdr:colOff>
          <xdr:row>184</xdr:row>
          <xdr:rowOff>0</xdr:rowOff>
        </xdr:to>
        <xdr:sp macro="" textlink="">
          <xdr:nvSpPr>
            <xdr:cNvPr id="7462" name="Drop Down 294" hidden="1">
              <a:extLst>
                <a:ext uri="{63B3BB69-23CF-44E3-9099-C40C66FF867C}">
                  <a14:compatExt spid="_x0000_s7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183</xdr:row>
          <xdr:rowOff>9525</xdr:rowOff>
        </xdr:from>
        <xdr:to>
          <xdr:col>3</xdr:col>
          <xdr:colOff>190500</xdr:colOff>
          <xdr:row>184</xdr:row>
          <xdr:rowOff>0</xdr:rowOff>
        </xdr:to>
        <xdr:sp macro="" textlink="">
          <xdr:nvSpPr>
            <xdr:cNvPr id="7463" name="Drop Down 295" hidden="1">
              <a:extLst>
                <a:ext uri="{63B3BB69-23CF-44E3-9099-C40C66FF867C}">
                  <a14:compatExt spid="_x0000_s7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221</xdr:row>
          <xdr:rowOff>9525</xdr:rowOff>
        </xdr:from>
        <xdr:to>
          <xdr:col>3</xdr:col>
          <xdr:colOff>190500</xdr:colOff>
          <xdr:row>222</xdr:row>
          <xdr:rowOff>0</xdr:rowOff>
        </xdr:to>
        <xdr:sp macro="" textlink="">
          <xdr:nvSpPr>
            <xdr:cNvPr id="7475" name="Drop Down 307" hidden="1">
              <a:extLst>
                <a:ext uri="{63B3BB69-23CF-44E3-9099-C40C66FF867C}">
                  <a14:compatExt spid="_x0000_s7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1866900</xdr:colOff>
          <xdr:row>221</xdr:row>
          <xdr:rowOff>19050</xdr:rowOff>
        </xdr:from>
        <xdr:to>
          <xdr:col>2</xdr:col>
          <xdr:colOff>0</xdr:colOff>
          <xdr:row>222</xdr:row>
          <xdr:rowOff>9525</xdr:rowOff>
        </xdr:to>
        <xdr:sp macro="" textlink="">
          <xdr:nvSpPr>
            <xdr:cNvPr id="7476" name="Drop Down 308" hidden="1">
              <a:extLst>
                <a:ext uri="{63B3BB69-23CF-44E3-9099-C40C66FF867C}">
                  <a14:compatExt spid="_x0000_s7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1847850</xdr:colOff>
          <xdr:row>192</xdr:row>
          <xdr:rowOff>9525</xdr:rowOff>
        </xdr:from>
        <xdr:to>
          <xdr:col>1</xdr:col>
          <xdr:colOff>704850</xdr:colOff>
          <xdr:row>193</xdr:row>
          <xdr:rowOff>0</xdr:rowOff>
        </xdr:to>
        <xdr:sp macro="" textlink="">
          <xdr:nvSpPr>
            <xdr:cNvPr id="7486" name="Drop Down 318" hidden="1">
              <a:extLst>
                <a:ext uri="{63B3BB69-23CF-44E3-9099-C40C66FF867C}">
                  <a14:compatExt spid="_x0000_s7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192</xdr:row>
          <xdr:rowOff>9525</xdr:rowOff>
        </xdr:from>
        <xdr:to>
          <xdr:col>3</xdr:col>
          <xdr:colOff>190500</xdr:colOff>
          <xdr:row>193</xdr:row>
          <xdr:rowOff>0</xdr:rowOff>
        </xdr:to>
        <xdr:sp macro="" textlink="">
          <xdr:nvSpPr>
            <xdr:cNvPr id="7487" name="Drop Down 319" hidden="1">
              <a:extLst>
                <a:ext uri="{63B3BB69-23CF-44E3-9099-C40C66FF867C}">
                  <a14:compatExt spid="_x0000_s7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552450</xdr:colOff>
      <xdr:row>0</xdr:row>
      <xdr:rowOff>85726</xdr:rowOff>
    </xdr:from>
    <xdr:to>
      <xdr:col>4</xdr:col>
      <xdr:colOff>1209675</xdr:colOff>
      <xdr:row>0</xdr:row>
      <xdr:rowOff>314326</xdr:rowOff>
    </xdr:to>
    <xdr:sp macro="" textlink="">
      <xdr:nvSpPr>
        <xdr:cNvPr id="31" name="Rectangle 30">
          <a:hlinkClick xmlns:r="http://schemas.openxmlformats.org/officeDocument/2006/relationships" r:id="rId8"/>
        </xdr:cNvPr>
        <xdr:cNvSpPr/>
      </xdr:nvSpPr>
      <xdr:spPr>
        <a:xfrm>
          <a:off x="4029075" y="85726"/>
          <a:ext cx="1371600" cy="22860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t-EE" sz="1100">
              <a:solidFill>
                <a:schemeClr val="bg1"/>
              </a:solidFill>
            </a:rPr>
            <a:t>STAR</a:t>
          </a:r>
          <a:r>
            <a:rPr lang="en-US" sz="1100">
              <a:solidFill>
                <a:schemeClr val="bg1"/>
              </a:solidFill>
            </a:rPr>
            <a:t>T</a:t>
          </a:r>
        </a:p>
      </xdr:txBody>
    </xdr:sp>
    <xdr:clientData/>
  </xdr:twoCellAnchor>
  <xdr:twoCellAnchor>
    <xdr:from>
      <xdr:col>4</xdr:col>
      <xdr:colOff>1276350</xdr:colOff>
      <xdr:row>0</xdr:row>
      <xdr:rowOff>85726</xdr:rowOff>
    </xdr:from>
    <xdr:to>
      <xdr:col>4</xdr:col>
      <xdr:colOff>2647950</xdr:colOff>
      <xdr:row>0</xdr:row>
      <xdr:rowOff>314326</xdr:rowOff>
    </xdr:to>
    <xdr:sp macro="" textlink="">
      <xdr:nvSpPr>
        <xdr:cNvPr id="32" name="Rectangle 31">
          <a:hlinkClick xmlns:r="http://schemas.openxmlformats.org/officeDocument/2006/relationships" r:id="rId9"/>
        </xdr:cNvPr>
        <xdr:cNvSpPr/>
      </xdr:nvSpPr>
      <xdr:spPr>
        <a:xfrm>
          <a:off x="5467350" y="85726"/>
          <a:ext cx="1371600" cy="22860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LAND</a:t>
          </a:r>
          <a:r>
            <a:rPr lang="en-US" sz="1100" baseline="0">
              <a:solidFill>
                <a:schemeClr val="bg1"/>
              </a:solidFill>
            </a:rPr>
            <a:t> USE CHANGE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2705100</xdr:colOff>
      <xdr:row>0</xdr:row>
      <xdr:rowOff>85725</xdr:rowOff>
    </xdr:from>
    <xdr:to>
      <xdr:col>5</xdr:col>
      <xdr:colOff>28575</xdr:colOff>
      <xdr:row>0</xdr:row>
      <xdr:rowOff>314325</xdr:rowOff>
    </xdr:to>
    <xdr:sp macro="" textlink="">
      <xdr:nvSpPr>
        <xdr:cNvPr id="33" name="Rectangle 32">
          <a:hlinkClick xmlns:r="http://schemas.openxmlformats.org/officeDocument/2006/relationships" r:id="rId10"/>
        </xdr:cNvPr>
        <xdr:cNvSpPr/>
      </xdr:nvSpPr>
      <xdr:spPr>
        <a:xfrm>
          <a:off x="6896100" y="85725"/>
          <a:ext cx="1371600" cy="22860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BUILDINGS</a:t>
          </a:r>
        </a:p>
      </xdr:txBody>
    </xdr:sp>
    <xdr:clientData/>
  </xdr:twoCellAnchor>
  <xdr:twoCellAnchor>
    <xdr:from>
      <xdr:col>5</xdr:col>
      <xdr:colOff>85725</xdr:colOff>
      <xdr:row>0</xdr:row>
      <xdr:rowOff>85725</xdr:rowOff>
    </xdr:from>
    <xdr:to>
      <xdr:col>5</xdr:col>
      <xdr:colOff>1457325</xdr:colOff>
      <xdr:row>0</xdr:row>
      <xdr:rowOff>314325</xdr:rowOff>
    </xdr:to>
    <xdr:sp macro="" textlink="">
      <xdr:nvSpPr>
        <xdr:cNvPr id="34" name="Rectangle 33">
          <a:hlinkClick xmlns:r="http://schemas.openxmlformats.org/officeDocument/2006/relationships" r:id="rId11"/>
        </xdr:cNvPr>
        <xdr:cNvSpPr/>
      </xdr:nvSpPr>
      <xdr:spPr>
        <a:xfrm>
          <a:off x="8324850" y="85725"/>
          <a:ext cx="1371600" cy="22860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t-EE" sz="1100">
              <a:solidFill>
                <a:schemeClr val="bg1"/>
              </a:solidFill>
            </a:rPr>
            <a:t>RESULTS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300</xdr:row>
      <xdr:rowOff>9525</xdr:rowOff>
    </xdr:from>
    <xdr:to>
      <xdr:col>4</xdr:col>
      <xdr:colOff>4009718</xdr:colOff>
      <xdr:row>315</xdr:row>
      <xdr:rowOff>94329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231</xdr:row>
          <xdr:rowOff>9525</xdr:rowOff>
        </xdr:from>
        <xdr:to>
          <xdr:col>3</xdr:col>
          <xdr:colOff>190500</xdr:colOff>
          <xdr:row>231</xdr:row>
          <xdr:rowOff>247650</xdr:rowOff>
        </xdr:to>
        <xdr:sp macro="" textlink="">
          <xdr:nvSpPr>
            <xdr:cNvPr id="7522" name="Drop Down 354" hidden="1">
              <a:extLst>
                <a:ext uri="{63B3BB69-23CF-44E3-9099-C40C66FF867C}">
                  <a14:compatExt spid="_x0000_s7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1866900</xdr:colOff>
          <xdr:row>231</xdr:row>
          <xdr:rowOff>19050</xdr:rowOff>
        </xdr:from>
        <xdr:to>
          <xdr:col>2</xdr:col>
          <xdr:colOff>0</xdr:colOff>
          <xdr:row>232</xdr:row>
          <xdr:rowOff>9525</xdr:rowOff>
        </xdr:to>
        <xdr:sp macro="" textlink="">
          <xdr:nvSpPr>
            <xdr:cNvPr id="7523" name="Drop Down 355" hidden="1">
              <a:extLst>
                <a:ext uri="{63B3BB69-23CF-44E3-9099-C40C66FF867C}">
                  <a14:compatExt spid="_x0000_s7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242</xdr:row>
          <xdr:rowOff>19050</xdr:rowOff>
        </xdr:from>
        <xdr:to>
          <xdr:col>3</xdr:col>
          <xdr:colOff>190500</xdr:colOff>
          <xdr:row>243</xdr:row>
          <xdr:rowOff>9525</xdr:rowOff>
        </xdr:to>
        <xdr:sp macro="" textlink="">
          <xdr:nvSpPr>
            <xdr:cNvPr id="7526" name="Drop Down 358" hidden="1">
              <a:extLst>
                <a:ext uri="{63B3BB69-23CF-44E3-9099-C40C66FF867C}">
                  <a14:compatExt spid="_x0000_s7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1866900</xdr:colOff>
          <xdr:row>242</xdr:row>
          <xdr:rowOff>19050</xdr:rowOff>
        </xdr:from>
        <xdr:to>
          <xdr:col>2</xdr:col>
          <xdr:colOff>0</xdr:colOff>
          <xdr:row>243</xdr:row>
          <xdr:rowOff>9525</xdr:rowOff>
        </xdr:to>
        <xdr:sp macro="" textlink="">
          <xdr:nvSpPr>
            <xdr:cNvPr id="7527" name="Drop Down 359" hidden="1">
              <a:extLst>
                <a:ext uri="{63B3BB69-23CF-44E3-9099-C40C66FF867C}">
                  <a14:compatExt spid="_x0000_s7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264</xdr:row>
          <xdr:rowOff>19050</xdr:rowOff>
        </xdr:from>
        <xdr:to>
          <xdr:col>3</xdr:col>
          <xdr:colOff>190500</xdr:colOff>
          <xdr:row>265</xdr:row>
          <xdr:rowOff>9525</xdr:rowOff>
        </xdr:to>
        <xdr:sp macro="" textlink="">
          <xdr:nvSpPr>
            <xdr:cNvPr id="7530" name="Drop Down 362" hidden="1">
              <a:extLst>
                <a:ext uri="{63B3BB69-23CF-44E3-9099-C40C66FF867C}">
                  <a14:compatExt spid="_x0000_s7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1866900</xdr:colOff>
          <xdr:row>264</xdr:row>
          <xdr:rowOff>19050</xdr:rowOff>
        </xdr:from>
        <xdr:to>
          <xdr:col>2</xdr:col>
          <xdr:colOff>0</xdr:colOff>
          <xdr:row>265</xdr:row>
          <xdr:rowOff>9525</xdr:rowOff>
        </xdr:to>
        <xdr:sp macro="" textlink="">
          <xdr:nvSpPr>
            <xdr:cNvPr id="7531" name="Drop Down 363" hidden="1">
              <a:extLst>
                <a:ext uri="{63B3BB69-23CF-44E3-9099-C40C66FF867C}">
                  <a14:compatExt spid="_x0000_s7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272</xdr:row>
          <xdr:rowOff>19050</xdr:rowOff>
        </xdr:from>
        <xdr:to>
          <xdr:col>3</xdr:col>
          <xdr:colOff>219075</xdr:colOff>
          <xdr:row>273</xdr:row>
          <xdr:rowOff>9525</xdr:rowOff>
        </xdr:to>
        <xdr:sp macro="" textlink="">
          <xdr:nvSpPr>
            <xdr:cNvPr id="7534" name="Drop Down 366" hidden="1">
              <a:extLst>
                <a:ext uri="{63B3BB69-23CF-44E3-9099-C40C66FF867C}">
                  <a14:compatExt spid="_x0000_s7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1866900</xdr:colOff>
          <xdr:row>272</xdr:row>
          <xdr:rowOff>19050</xdr:rowOff>
        </xdr:from>
        <xdr:to>
          <xdr:col>2</xdr:col>
          <xdr:colOff>19050</xdr:colOff>
          <xdr:row>273</xdr:row>
          <xdr:rowOff>9525</xdr:rowOff>
        </xdr:to>
        <xdr:sp macro="" textlink="">
          <xdr:nvSpPr>
            <xdr:cNvPr id="7535" name="Drop Down 367" hidden="1">
              <a:extLst>
                <a:ext uri="{63B3BB69-23CF-44E3-9099-C40C66FF867C}">
                  <a14:compatExt spid="_x0000_s7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295275</xdr:colOff>
      <xdr:row>0</xdr:row>
      <xdr:rowOff>85726</xdr:rowOff>
    </xdr:from>
    <xdr:to>
      <xdr:col>4</xdr:col>
      <xdr:colOff>819150</xdr:colOff>
      <xdr:row>0</xdr:row>
      <xdr:rowOff>314326</xdr:rowOff>
    </xdr:to>
    <xdr:sp macro="" textlink="">
      <xdr:nvSpPr>
        <xdr:cNvPr id="4" name="Rectangle 3">
          <a:hlinkClick xmlns:r="http://schemas.openxmlformats.org/officeDocument/2006/relationships" r:id="rId1"/>
        </xdr:cNvPr>
        <xdr:cNvSpPr/>
      </xdr:nvSpPr>
      <xdr:spPr>
        <a:xfrm>
          <a:off x="4038600" y="85726"/>
          <a:ext cx="1371600" cy="22860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S</a:t>
          </a:r>
          <a:r>
            <a:rPr lang="et-EE" sz="1100">
              <a:solidFill>
                <a:schemeClr val="bg1"/>
              </a:solidFill>
            </a:rPr>
            <a:t>TA</a:t>
          </a:r>
          <a:r>
            <a:rPr lang="en-US" sz="1100">
              <a:solidFill>
                <a:schemeClr val="bg1"/>
              </a:solidFill>
            </a:rPr>
            <a:t>RT</a:t>
          </a:r>
        </a:p>
      </xdr:txBody>
    </xdr:sp>
    <xdr:clientData/>
  </xdr:twoCellAnchor>
  <xdr:twoCellAnchor>
    <xdr:from>
      <xdr:col>5</xdr:col>
      <xdr:colOff>38100</xdr:colOff>
      <xdr:row>0</xdr:row>
      <xdr:rowOff>85726</xdr:rowOff>
    </xdr:from>
    <xdr:to>
      <xdr:col>6</xdr:col>
      <xdr:colOff>561975</xdr:colOff>
      <xdr:row>0</xdr:row>
      <xdr:rowOff>314326</xdr:rowOff>
    </xdr:to>
    <xdr:sp macro="" textlink="">
      <xdr:nvSpPr>
        <xdr:cNvPr id="5" name="Rectangle 4">
          <a:hlinkClick xmlns:r="http://schemas.openxmlformats.org/officeDocument/2006/relationships" r:id="rId2"/>
        </xdr:cNvPr>
        <xdr:cNvSpPr/>
      </xdr:nvSpPr>
      <xdr:spPr>
        <a:xfrm>
          <a:off x="5476875" y="85726"/>
          <a:ext cx="1371600" cy="22860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t-EE" sz="1100">
              <a:solidFill>
                <a:schemeClr val="bg1"/>
              </a:solidFill>
            </a:rPr>
            <a:t>TRANSPORT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619125</xdr:colOff>
      <xdr:row>0</xdr:row>
      <xdr:rowOff>85725</xdr:rowOff>
    </xdr:from>
    <xdr:to>
      <xdr:col>8</xdr:col>
      <xdr:colOff>533400</xdr:colOff>
      <xdr:row>0</xdr:row>
      <xdr:rowOff>314325</xdr:rowOff>
    </xdr:to>
    <xdr:sp macro="" textlink="">
      <xdr:nvSpPr>
        <xdr:cNvPr id="6" name="Rectangle 5">
          <a:hlinkClick xmlns:r="http://schemas.openxmlformats.org/officeDocument/2006/relationships" r:id="rId3"/>
        </xdr:cNvPr>
        <xdr:cNvSpPr/>
      </xdr:nvSpPr>
      <xdr:spPr>
        <a:xfrm>
          <a:off x="6905625" y="85725"/>
          <a:ext cx="1371600" cy="22860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BUILDINGS</a:t>
          </a:r>
        </a:p>
      </xdr:txBody>
    </xdr:sp>
    <xdr:clientData/>
  </xdr:twoCellAnchor>
  <xdr:twoCellAnchor>
    <xdr:from>
      <xdr:col>8</xdr:col>
      <xdr:colOff>592918</xdr:colOff>
      <xdr:row>0</xdr:row>
      <xdr:rowOff>85725</xdr:rowOff>
    </xdr:from>
    <xdr:to>
      <xdr:col>11</xdr:col>
      <xdr:colOff>123018</xdr:colOff>
      <xdr:row>0</xdr:row>
      <xdr:rowOff>314325</xdr:rowOff>
    </xdr:to>
    <xdr:sp macro="" textlink="">
      <xdr:nvSpPr>
        <xdr:cNvPr id="8" name="Rectangle 7">
          <a:hlinkClick xmlns:r="http://schemas.openxmlformats.org/officeDocument/2006/relationships" r:id="rId4"/>
        </xdr:cNvPr>
        <xdr:cNvSpPr/>
      </xdr:nvSpPr>
      <xdr:spPr>
        <a:xfrm>
          <a:off x="8339918" y="85725"/>
          <a:ext cx="1371600" cy="22860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t-EE" sz="1100">
              <a:solidFill>
                <a:schemeClr val="bg1"/>
              </a:solidFill>
            </a:rPr>
            <a:t>RESULTS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126207</xdr:colOff>
      <xdr:row>12</xdr:row>
      <xdr:rowOff>111919</xdr:rowOff>
    </xdr:from>
    <xdr:to>
      <xdr:col>6</xdr:col>
      <xdr:colOff>183357</xdr:colOff>
      <xdr:row>22</xdr:row>
      <xdr:rowOff>111919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23</xdr:row>
      <xdr:rowOff>0</xdr:rowOff>
    </xdr:from>
    <xdr:to>
      <xdr:col>7</xdr:col>
      <xdr:colOff>561975</xdr:colOff>
      <xdr:row>38</xdr:row>
      <xdr:rowOff>57150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76</xdr:row>
      <xdr:rowOff>200025</xdr:rowOff>
    </xdr:from>
    <xdr:to>
      <xdr:col>7</xdr:col>
      <xdr:colOff>561975</xdr:colOff>
      <xdr:row>92</xdr:row>
      <xdr:rowOff>9525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45</xdr:row>
          <xdr:rowOff>0</xdr:rowOff>
        </xdr:from>
        <xdr:to>
          <xdr:col>6</xdr:col>
          <xdr:colOff>828675</xdr:colOff>
          <xdr:row>45</xdr:row>
          <xdr:rowOff>238125</xdr:rowOff>
        </xdr:to>
        <xdr:sp macro="" textlink="">
          <xdr:nvSpPr>
            <xdr:cNvPr id="10270" name="Drop Down 30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46</xdr:row>
          <xdr:rowOff>0</xdr:rowOff>
        </xdr:from>
        <xdr:to>
          <xdr:col>6</xdr:col>
          <xdr:colOff>828675</xdr:colOff>
          <xdr:row>46</xdr:row>
          <xdr:rowOff>238125</xdr:rowOff>
        </xdr:to>
        <xdr:sp macro="" textlink="">
          <xdr:nvSpPr>
            <xdr:cNvPr id="10271" name="Drop Down 31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47</xdr:row>
          <xdr:rowOff>0</xdr:rowOff>
        </xdr:from>
        <xdr:to>
          <xdr:col>6</xdr:col>
          <xdr:colOff>828675</xdr:colOff>
          <xdr:row>47</xdr:row>
          <xdr:rowOff>238125</xdr:rowOff>
        </xdr:to>
        <xdr:sp macro="" textlink="">
          <xdr:nvSpPr>
            <xdr:cNvPr id="10272" name="Drop Down 32" hidden="1">
              <a:extLst>
                <a:ext uri="{63B3BB69-23CF-44E3-9099-C40C66FF867C}">
                  <a14:compatExt spid="_x0000_s10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48</xdr:row>
          <xdr:rowOff>0</xdr:rowOff>
        </xdr:from>
        <xdr:to>
          <xdr:col>6</xdr:col>
          <xdr:colOff>828675</xdr:colOff>
          <xdr:row>48</xdr:row>
          <xdr:rowOff>238125</xdr:rowOff>
        </xdr:to>
        <xdr:sp macro="" textlink="">
          <xdr:nvSpPr>
            <xdr:cNvPr id="10273" name="Drop Down 33" hidden="1">
              <a:extLst>
                <a:ext uri="{63B3BB69-23CF-44E3-9099-C40C66FF867C}">
                  <a14:compatExt spid="_x0000_s10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49</xdr:row>
          <xdr:rowOff>0</xdr:rowOff>
        </xdr:from>
        <xdr:to>
          <xdr:col>6</xdr:col>
          <xdr:colOff>828675</xdr:colOff>
          <xdr:row>49</xdr:row>
          <xdr:rowOff>238125</xdr:rowOff>
        </xdr:to>
        <xdr:sp macro="" textlink="">
          <xdr:nvSpPr>
            <xdr:cNvPr id="10274" name="Drop Down 34" hidden="1">
              <a:extLst>
                <a:ext uri="{63B3BB69-23CF-44E3-9099-C40C66FF867C}">
                  <a14:compatExt spid="_x0000_s10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50</xdr:row>
          <xdr:rowOff>0</xdr:rowOff>
        </xdr:from>
        <xdr:to>
          <xdr:col>6</xdr:col>
          <xdr:colOff>828675</xdr:colOff>
          <xdr:row>50</xdr:row>
          <xdr:rowOff>238125</xdr:rowOff>
        </xdr:to>
        <xdr:sp macro="" textlink="">
          <xdr:nvSpPr>
            <xdr:cNvPr id="10275" name="Drop Down 35" hidden="1">
              <a:extLst>
                <a:ext uri="{63B3BB69-23CF-44E3-9099-C40C66FF867C}">
                  <a14:compatExt spid="_x0000_s10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51</xdr:row>
          <xdr:rowOff>0</xdr:rowOff>
        </xdr:from>
        <xdr:to>
          <xdr:col>6</xdr:col>
          <xdr:colOff>828675</xdr:colOff>
          <xdr:row>51</xdr:row>
          <xdr:rowOff>238125</xdr:rowOff>
        </xdr:to>
        <xdr:sp macro="" textlink="">
          <xdr:nvSpPr>
            <xdr:cNvPr id="10276" name="Drop Down 36" hidden="1">
              <a:extLst>
                <a:ext uri="{63B3BB69-23CF-44E3-9099-C40C66FF867C}">
                  <a14:compatExt spid="_x0000_s10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52</xdr:row>
          <xdr:rowOff>0</xdr:rowOff>
        </xdr:from>
        <xdr:to>
          <xdr:col>6</xdr:col>
          <xdr:colOff>828675</xdr:colOff>
          <xdr:row>52</xdr:row>
          <xdr:rowOff>238125</xdr:rowOff>
        </xdr:to>
        <xdr:sp macro="" textlink="">
          <xdr:nvSpPr>
            <xdr:cNvPr id="10277" name="Drop Down 37" hidden="1">
              <a:extLst>
                <a:ext uri="{63B3BB69-23CF-44E3-9099-C40C66FF867C}">
                  <a14:compatExt spid="_x0000_s10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53</xdr:row>
          <xdr:rowOff>0</xdr:rowOff>
        </xdr:from>
        <xdr:to>
          <xdr:col>6</xdr:col>
          <xdr:colOff>828675</xdr:colOff>
          <xdr:row>53</xdr:row>
          <xdr:rowOff>238125</xdr:rowOff>
        </xdr:to>
        <xdr:sp macro="" textlink="">
          <xdr:nvSpPr>
            <xdr:cNvPr id="10278" name="Drop Down 38" hidden="1">
              <a:extLst>
                <a:ext uri="{63B3BB69-23CF-44E3-9099-C40C66FF867C}">
                  <a14:compatExt spid="_x0000_s10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54</xdr:row>
          <xdr:rowOff>0</xdr:rowOff>
        </xdr:from>
        <xdr:to>
          <xdr:col>6</xdr:col>
          <xdr:colOff>828675</xdr:colOff>
          <xdr:row>54</xdr:row>
          <xdr:rowOff>238125</xdr:rowOff>
        </xdr:to>
        <xdr:sp macro="" textlink="">
          <xdr:nvSpPr>
            <xdr:cNvPr id="10279" name="Drop Down 39" hidden="1">
              <a:extLst>
                <a:ext uri="{63B3BB69-23CF-44E3-9099-C40C66FF867C}">
                  <a14:compatExt spid="_x0000_s10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55</xdr:row>
          <xdr:rowOff>0</xdr:rowOff>
        </xdr:from>
        <xdr:to>
          <xdr:col>6</xdr:col>
          <xdr:colOff>828675</xdr:colOff>
          <xdr:row>55</xdr:row>
          <xdr:rowOff>238125</xdr:rowOff>
        </xdr:to>
        <xdr:sp macro="" textlink="">
          <xdr:nvSpPr>
            <xdr:cNvPr id="10280" name="Drop Down 40" hidden="1">
              <a:extLst>
                <a:ext uri="{63B3BB69-23CF-44E3-9099-C40C66FF867C}">
                  <a14:compatExt spid="_x0000_s10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56</xdr:row>
          <xdr:rowOff>0</xdr:rowOff>
        </xdr:from>
        <xdr:to>
          <xdr:col>6</xdr:col>
          <xdr:colOff>828675</xdr:colOff>
          <xdr:row>56</xdr:row>
          <xdr:rowOff>238125</xdr:rowOff>
        </xdr:to>
        <xdr:sp macro="" textlink="">
          <xdr:nvSpPr>
            <xdr:cNvPr id="10281" name="Drop Down 41" hidden="1">
              <a:extLst>
                <a:ext uri="{63B3BB69-23CF-44E3-9099-C40C66FF867C}">
                  <a14:compatExt spid="_x0000_s10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57</xdr:row>
          <xdr:rowOff>0</xdr:rowOff>
        </xdr:from>
        <xdr:to>
          <xdr:col>6</xdr:col>
          <xdr:colOff>828675</xdr:colOff>
          <xdr:row>57</xdr:row>
          <xdr:rowOff>238125</xdr:rowOff>
        </xdr:to>
        <xdr:sp macro="" textlink="">
          <xdr:nvSpPr>
            <xdr:cNvPr id="10282" name="Drop Down 42" hidden="1">
              <a:extLst>
                <a:ext uri="{63B3BB69-23CF-44E3-9099-C40C66FF867C}">
                  <a14:compatExt spid="_x0000_s10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58</xdr:row>
          <xdr:rowOff>0</xdr:rowOff>
        </xdr:from>
        <xdr:to>
          <xdr:col>6</xdr:col>
          <xdr:colOff>828675</xdr:colOff>
          <xdr:row>58</xdr:row>
          <xdr:rowOff>238125</xdr:rowOff>
        </xdr:to>
        <xdr:sp macro="" textlink="">
          <xdr:nvSpPr>
            <xdr:cNvPr id="10283" name="Drop Down 43" hidden="1">
              <a:extLst>
                <a:ext uri="{63B3BB69-23CF-44E3-9099-C40C66FF867C}">
                  <a14:compatExt spid="_x0000_s10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59</xdr:row>
          <xdr:rowOff>0</xdr:rowOff>
        </xdr:from>
        <xdr:to>
          <xdr:col>6</xdr:col>
          <xdr:colOff>828675</xdr:colOff>
          <xdr:row>59</xdr:row>
          <xdr:rowOff>238125</xdr:rowOff>
        </xdr:to>
        <xdr:sp macro="" textlink="">
          <xdr:nvSpPr>
            <xdr:cNvPr id="10284" name="Drop Down 44" hidden="1">
              <a:extLst>
                <a:ext uri="{63B3BB69-23CF-44E3-9099-C40C66FF867C}">
                  <a14:compatExt spid="_x0000_s10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60</xdr:row>
          <xdr:rowOff>0</xdr:rowOff>
        </xdr:from>
        <xdr:to>
          <xdr:col>6</xdr:col>
          <xdr:colOff>828675</xdr:colOff>
          <xdr:row>60</xdr:row>
          <xdr:rowOff>238125</xdr:rowOff>
        </xdr:to>
        <xdr:sp macro="" textlink="">
          <xdr:nvSpPr>
            <xdr:cNvPr id="10285" name="Drop Down 45" hidden="1">
              <a:extLst>
                <a:ext uri="{63B3BB69-23CF-44E3-9099-C40C66FF867C}">
                  <a14:compatExt spid="_x0000_s10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61</xdr:row>
          <xdr:rowOff>0</xdr:rowOff>
        </xdr:from>
        <xdr:to>
          <xdr:col>6</xdr:col>
          <xdr:colOff>828675</xdr:colOff>
          <xdr:row>61</xdr:row>
          <xdr:rowOff>238125</xdr:rowOff>
        </xdr:to>
        <xdr:sp macro="" textlink="">
          <xdr:nvSpPr>
            <xdr:cNvPr id="10286" name="Drop Down 46" hidden="1">
              <a:extLst>
                <a:ext uri="{63B3BB69-23CF-44E3-9099-C40C66FF867C}">
                  <a14:compatExt spid="_x0000_s10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62</xdr:row>
          <xdr:rowOff>0</xdr:rowOff>
        </xdr:from>
        <xdr:to>
          <xdr:col>6</xdr:col>
          <xdr:colOff>828675</xdr:colOff>
          <xdr:row>62</xdr:row>
          <xdr:rowOff>238125</xdr:rowOff>
        </xdr:to>
        <xdr:sp macro="" textlink="">
          <xdr:nvSpPr>
            <xdr:cNvPr id="10287" name="Drop Down 47" hidden="1">
              <a:extLst>
                <a:ext uri="{63B3BB69-23CF-44E3-9099-C40C66FF867C}">
                  <a14:compatExt spid="_x0000_s10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63</xdr:row>
          <xdr:rowOff>0</xdr:rowOff>
        </xdr:from>
        <xdr:to>
          <xdr:col>6</xdr:col>
          <xdr:colOff>828675</xdr:colOff>
          <xdr:row>63</xdr:row>
          <xdr:rowOff>238125</xdr:rowOff>
        </xdr:to>
        <xdr:sp macro="" textlink="">
          <xdr:nvSpPr>
            <xdr:cNvPr id="10288" name="Drop Down 48" hidden="1">
              <a:extLst>
                <a:ext uri="{63B3BB69-23CF-44E3-9099-C40C66FF867C}">
                  <a14:compatExt spid="_x0000_s10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64</xdr:row>
          <xdr:rowOff>0</xdr:rowOff>
        </xdr:from>
        <xdr:to>
          <xdr:col>6</xdr:col>
          <xdr:colOff>828675</xdr:colOff>
          <xdr:row>64</xdr:row>
          <xdr:rowOff>238125</xdr:rowOff>
        </xdr:to>
        <xdr:sp macro="" textlink="">
          <xdr:nvSpPr>
            <xdr:cNvPr id="10289" name="Drop Down 49" hidden="1">
              <a:extLst>
                <a:ext uri="{63B3BB69-23CF-44E3-9099-C40C66FF867C}">
                  <a14:compatExt spid="_x0000_s10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65</xdr:row>
          <xdr:rowOff>0</xdr:rowOff>
        </xdr:from>
        <xdr:to>
          <xdr:col>6</xdr:col>
          <xdr:colOff>828675</xdr:colOff>
          <xdr:row>65</xdr:row>
          <xdr:rowOff>238125</xdr:rowOff>
        </xdr:to>
        <xdr:sp macro="" textlink="">
          <xdr:nvSpPr>
            <xdr:cNvPr id="10290" name="Drop Down 50" hidden="1">
              <a:extLst>
                <a:ext uri="{63B3BB69-23CF-44E3-9099-C40C66FF867C}">
                  <a14:compatExt spid="_x0000_s10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66</xdr:row>
          <xdr:rowOff>0</xdr:rowOff>
        </xdr:from>
        <xdr:to>
          <xdr:col>6</xdr:col>
          <xdr:colOff>828675</xdr:colOff>
          <xdr:row>66</xdr:row>
          <xdr:rowOff>238125</xdr:rowOff>
        </xdr:to>
        <xdr:sp macro="" textlink="">
          <xdr:nvSpPr>
            <xdr:cNvPr id="10291" name="Drop Down 51" hidden="1">
              <a:extLst>
                <a:ext uri="{63B3BB69-23CF-44E3-9099-C40C66FF867C}">
                  <a14:compatExt spid="_x0000_s10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67</xdr:row>
          <xdr:rowOff>0</xdr:rowOff>
        </xdr:from>
        <xdr:to>
          <xdr:col>6</xdr:col>
          <xdr:colOff>828675</xdr:colOff>
          <xdr:row>67</xdr:row>
          <xdr:rowOff>238125</xdr:rowOff>
        </xdr:to>
        <xdr:sp macro="" textlink="">
          <xdr:nvSpPr>
            <xdr:cNvPr id="10292" name="Drop Down 52" hidden="1">
              <a:extLst>
                <a:ext uri="{63B3BB69-23CF-44E3-9099-C40C66FF867C}">
                  <a14:compatExt spid="_x0000_s10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68</xdr:row>
          <xdr:rowOff>0</xdr:rowOff>
        </xdr:from>
        <xdr:to>
          <xdr:col>6</xdr:col>
          <xdr:colOff>828675</xdr:colOff>
          <xdr:row>68</xdr:row>
          <xdr:rowOff>238125</xdr:rowOff>
        </xdr:to>
        <xdr:sp macro="" textlink="">
          <xdr:nvSpPr>
            <xdr:cNvPr id="10293" name="Drop Down 53" hidden="1">
              <a:extLst>
                <a:ext uri="{63B3BB69-23CF-44E3-9099-C40C66FF867C}">
                  <a14:compatExt spid="_x0000_s10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69</xdr:row>
          <xdr:rowOff>0</xdr:rowOff>
        </xdr:from>
        <xdr:to>
          <xdr:col>6</xdr:col>
          <xdr:colOff>828675</xdr:colOff>
          <xdr:row>69</xdr:row>
          <xdr:rowOff>238125</xdr:rowOff>
        </xdr:to>
        <xdr:sp macro="" textlink="">
          <xdr:nvSpPr>
            <xdr:cNvPr id="10294" name="Drop Down 54" hidden="1">
              <a:extLst>
                <a:ext uri="{63B3BB69-23CF-44E3-9099-C40C66FF867C}">
                  <a14:compatExt spid="_x0000_s10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70</xdr:row>
          <xdr:rowOff>0</xdr:rowOff>
        </xdr:from>
        <xdr:to>
          <xdr:col>6</xdr:col>
          <xdr:colOff>828675</xdr:colOff>
          <xdr:row>70</xdr:row>
          <xdr:rowOff>238125</xdr:rowOff>
        </xdr:to>
        <xdr:sp macro="" textlink="">
          <xdr:nvSpPr>
            <xdr:cNvPr id="10295" name="Drop Down 55" hidden="1">
              <a:extLst>
                <a:ext uri="{63B3BB69-23CF-44E3-9099-C40C66FF867C}">
                  <a14:compatExt spid="_x0000_s10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71</xdr:row>
          <xdr:rowOff>0</xdr:rowOff>
        </xdr:from>
        <xdr:to>
          <xdr:col>6</xdr:col>
          <xdr:colOff>828675</xdr:colOff>
          <xdr:row>71</xdr:row>
          <xdr:rowOff>238125</xdr:rowOff>
        </xdr:to>
        <xdr:sp macro="" textlink="">
          <xdr:nvSpPr>
            <xdr:cNvPr id="10296" name="Drop Down 56" hidden="1">
              <a:extLst>
                <a:ext uri="{63B3BB69-23CF-44E3-9099-C40C66FF867C}">
                  <a14:compatExt spid="_x0000_s10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72</xdr:row>
          <xdr:rowOff>0</xdr:rowOff>
        </xdr:from>
        <xdr:to>
          <xdr:col>6</xdr:col>
          <xdr:colOff>828675</xdr:colOff>
          <xdr:row>72</xdr:row>
          <xdr:rowOff>238125</xdr:rowOff>
        </xdr:to>
        <xdr:sp macro="" textlink="">
          <xdr:nvSpPr>
            <xdr:cNvPr id="10297" name="Drop Down 57" hidden="1">
              <a:extLst>
                <a:ext uri="{63B3BB69-23CF-44E3-9099-C40C66FF867C}">
                  <a14:compatExt spid="_x0000_s10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73</xdr:row>
          <xdr:rowOff>0</xdr:rowOff>
        </xdr:from>
        <xdr:to>
          <xdr:col>6</xdr:col>
          <xdr:colOff>828675</xdr:colOff>
          <xdr:row>73</xdr:row>
          <xdr:rowOff>238125</xdr:rowOff>
        </xdr:to>
        <xdr:sp macro="" textlink="">
          <xdr:nvSpPr>
            <xdr:cNvPr id="10298" name="Drop Down 58" hidden="1">
              <a:extLst>
                <a:ext uri="{63B3BB69-23CF-44E3-9099-C40C66FF867C}">
                  <a14:compatExt spid="_x0000_s10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74</xdr:row>
          <xdr:rowOff>0</xdr:rowOff>
        </xdr:from>
        <xdr:to>
          <xdr:col>6</xdr:col>
          <xdr:colOff>828675</xdr:colOff>
          <xdr:row>74</xdr:row>
          <xdr:rowOff>238125</xdr:rowOff>
        </xdr:to>
        <xdr:sp macro="" textlink="">
          <xdr:nvSpPr>
            <xdr:cNvPr id="10299" name="Drop Down 59" hidden="1">
              <a:extLst>
                <a:ext uri="{63B3BB69-23CF-44E3-9099-C40C66FF867C}">
                  <a14:compatExt spid="_x0000_s10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19050</xdr:rowOff>
    </xdr:from>
    <xdr:to>
      <xdr:col>2</xdr:col>
      <xdr:colOff>657225</xdr:colOff>
      <xdr:row>4</xdr:row>
      <xdr:rowOff>0</xdr:rowOff>
    </xdr:to>
    <xdr:sp macro="" textlink="">
      <xdr:nvSpPr>
        <xdr:cNvPr id="11265" name="Drop Down 1" hidden="1">
          <a:extLst>
            <a:ext uri="{63B3BB69-23CF-44E3-9099-C40C66FF867C}">
              <a14:compatExt xmlns:a14="http://schemas.microsoft.com/office/drawing/2010/main" spid="_x0000_s1126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600075</xdr:colOff>
      <xdr:row>0</xdr:row>
      <xdr:rowOff>76201</xdr:rowOff>
    </xdr:from>
    <xdr:to>
      <xdr:col>5</xdr:col>
      <xdr:colOff>142875</xdr:colOff>
      <xdr:row>0</xdr:row>
      <xdr:rowOff>304801</xdr:rowOff>
    </xdr:to>
    <xdr:sp macro="" textlink="">
      <xdr:nvSpPr>
        <xdr:cNvPr id="3" name="Rectangle 2">
          <a:hlinkClick xmlns:r="http://schemas.openxmlformats.org/officeDocument/2006/relationships" r:id="rId1"/>
        </xdr:cNvPr>
        <xdr:cNvSpPr/>
      </xdr:nvSpPr>
      <xdr:spPr>
        <a:xfrm>
          <a:off x="4029075" y="76201"/>
          <a:ext cx="1371600" cy="22860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TRANSPORT</a:t>
          </a:r>
        </a:p>
      </xdr:txBody>
    </xdr:sp>
    <xdr:clientData/>
  </xdr:twoCellAnchor>
  <xdr:twoCellAnchor>
    <xdr:from>
      <xdr:col>5</xdr:col>
      <xdr:colOff>209550</xdr:colOff>
      <xdr:row>0</xdr:row>
      <xdr:rowOff>76201</xdr:rowOff>
    </xdr:from>
    <xdr:to>
      <xdr:col>7</xdr:col>
      <xdr:colOff>361950</xdr:colOff>
      <xdr:row>0</xdr:row>
      <xdr:rowOff>304801</xdr:rowOff>
    </xdr:to>
    <xdr:sp macro="" textlink="">
      <xdr:nvSpPr>
        <xdr:cNvPr id="4" name="Rectangle 3">
          <a:hlinkClick xmlns:r="http://schemas.openxmlformats.org/officeDocument/2006/relationships" r:id="rId2"/>
        </xdr:cNvPr>
        <xdr:cNvSpPr/>
      </xdr:nvSpPr>
      <xdr:spPr>
        <a:xfrm>
          <a:off x="5467350" y="76201"/>
          <a:ext cx="1371600" cy="22860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LAND</a:t>
          </a:r>
          <a:r>
            <a:rPr lang="en-US" sz="1100" baseline="0">
              <a:solidFill>
                <a:schemeClr val="bg1"/>
              </a:solidFill>
            </a:rPr>
            <a:t> USE CHANGE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419100</xdr:colOff>
      <xdr:row>0</xdr:row>
      <xdr:rowOff>76200</xdr:rowOff>
    </xdr:from>
    <xdr:to>
      <xdr:col>9</xdr:col>
      <xdr:colOff>571500</xdr:colOff>
      <xdr:row>0</xdr:row>
      <xdr:rowOff>304800</xdr:rowOff>
    </xdr:to>
    <xdr:sp macro="" textlink="">
      <xdr:nvSpPr>
        <xdr:cNvPr id="5" name="Rectangle 4">
          <a:hlinkClick xmlns:r="http://schemas.openxmlformats.org/officeDocument/2006/relationships" r:id="rId3"/>
        </xdr:cNvPr>
        <xdr:cNvSpPr/>
      </xdr:nvSpPr>
      <xdr:spPr>
        <a:xfrm>
          <a:off x="6896100" y="76200"/>
          <a:ext cx="1371600" cy="22860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BUILDINGS</a:t>
          </a:r>
        </a:p>
      </xdr:txBody>
    </xdr:sp>
    <xdr:clientData/>
  </xdr:twoCellAnchor>
  <xdr:twoCellAnchor>
    <xdr:from>
      <xdr:col>10</xdr:col>
      <xdr:colOff>19050</xdr:colOff>
      <xdr:row>0</xdr:row>
      <xdr:rowOff>76200</xdr:rowOff>
    </xdr:from>
    <xdr:to>
      <xdr:col>12</xdr:col>
      <xdr:colOff>171450</xdr:colOff>
      <xdr:row>0</xdr:row>
      <xdr:rowOff>304800</xdr:rowOff>
    </xdr:to>
    <xdr:sp macro="" textlink="">
      <xdr:nvSpPr>
        <xdr:cNvPr id="6" name="Rectangle 5">
          <a:hlinkClick xmlns:r="http://schemas.openxmlformats.org/officeDocument/2006/relationships" r:id="rId4"/>
        </xdr:cNvPr>
        <xdr:cNvSpPr/>
      </xdr:nvSpPr>
      <xdr:spPr>
        <a:xfrm>
          <a:off x="8324850" y="76200"/>
          <a:ext cx="1371600" cy="22860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t-EE" sz="1100">
              <a:solidFill>
                <a:schemeClr val="bg1"/>
              </a:solidFill>
            </a:rPr>
            <a:t>RESULTS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228600</xdr:colOff>
      <xdr:row>0</xdr:row>
      <xdr:rowOff>76200</xdr:rowOff>
    </xdr:from>
    <xdr:to>
      <xdr:col>14</xdr:col>
      <xdr:colOff>381000</xdr:colOff>
      <xdr:row>0</xdr:row>
      <xdr:rowOff>304800</xdr:rowOff>
    </xdr:to>
    <xdr:sp macro="" textlink="">
      <xdr:nvSpPr>
        <xdr:cNvPr id="7" name="Rectangle 6">
          <a:hlinkClick xmlns:r="http://schemas.openxmlformats.org/officeDocument/2006/relationships" r:id="rId5"/>
        </xdr:cNvPr>
        <xdr:cNvSpPr/>
      </xdr:nvSpPr>
      <xdr:spPr>
        <a:xfrm>
          <a:off x="9753600" y="76200"/>
          <a:ext cx="1371600" cy="22860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t-EE" sz="1100">
              <a:solidFill>
                <a:schemeClr val="bg1"/>
              </a:solidFill>
            </a:rPr>
            <a:t>USER</a:t>
          </a:r>
          <a:r>
            <a:rPr lang="et-EE" sz="1100" baseline="0">
              <a:solidFill>
                <a:schemeClr val="bg1"/>
              </a:solidFill>
            </a:rPr>
            <a:t> GUIDE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485775</xdr:colOff>
      <xdr:row>180</xdr:row>
      <xdr:rowOff>0</xdr:rowOff>
    </xdr:from>
    <xdr:to>
      <xdr:col>0</xdr:col>
      <xdr:colOff>2105025</xdr:colOff>
      <xdr:row>181</xdr:row>
      <xdr:rowOff>209550</xdr:rowOff>
    </xdr:to>
    <xdr:sp macro="" textlink="">
      <xdr:nvSpPr>
        <xdr:cNvPr id="11266" name="CommandButton1" hidden="1">
          <a:extLst>
            <a:ext uri="{63B3BB69-23CF-44E3-9099-C40C66FF867C}">
              <a14:compatExt xmlns:a14="http://schemas.microsoft.com/office/drawing/2010/main" spid="_x0000_s1126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19050</xdr:rowOff>
        </xdr:from>
        <xdr:to>
          <xdr:col>2</xdr:col>
          <xdr:colOff>657225</xdr:colOff>
          <xdr:row>4</xdr:row>
          <xdr:rowOff>0</xdr:rowOff>
        </xdr:to>
        <xdr:sp macro="" textlink="">
          <xdr:nvSpPr>
            <xdr:cNvPr id="2" name="Drop Dow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177</xdr:row>
          <xdr:rowOff>238125</xdr:rowOff>
        </xdr:from>
        <xdr:to>
          <xdr:col>0</xdr:col>
          <xdr:colOff>2076450</xdr:colOff>
          <xdr:row>179</xdr:row>
          <xdr:rowOff>180975</xdr:rowOff>
        </xdr:to>
        <xdr:sp macro="" textlink="">
          <xdr:nvSpPr>
            <xdr:cNvPr id="11268" name="CommandButton1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485775</xdr:colOff>
      <xdr:row>180</xdr:row>
      <xdr:rowOff>0</xdr:rowOff>
    </xdr:from>
    <xdr:ext cx="1619250" cy="457200"/>
    <xdr:sp macro="" textlink="">
      <xdr:nvSpPr>
        <xdr:cNvPr id="11" name="CommandButton1" hidden="1">
          <a:extLst>
            <a:ext uri="{63B3BB69-23CF-44E3-9099-C40C66FF867C}">
              <a14:compatExt xmlns:a14="http://schemas.microsoft.com/office/drawing/2010/main" spid="_x0000_s11266"/>
            </a:ext>
          </a:extLst>
        </xdr:cNvPr>
        <xdr:cNvSpPr/>
      </xdr:nvSpPr>
      <xdr:spPr bwMode="auto">
        <a:xfrm>
          <a:off x="485775" y="44710350"/>
          <a:ext cx="1619250" cy="4572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542925</xdr:colOff>
          <xdr:row>177</xdr:row>
          <xdr:rowOff>238125</xdr:rowOff>
        </xdr:from>
        <xdr:ext cx="1533525" cy="438150"/>
        <xdr:sp macro="" textlink="">
          <xdr:nvSpPr>
            <xdr:cNvPr id="11269" name="CommandButton2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485775</xdr:colOff>
      <xdr:row>13</xdr:row>
      <xdr:rowOff>0</xdr:rowOff>
    </xdr:from>
    <xdr:to>
      <xdr:col>3</xdr:col>
      <xdr:colOff>276225</xdr:colOff>
      <xdr:row>15</xdr:row>
      <xdr:rowOff>76200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1266"/>
            </a:ext>
          </a:extLst>
        </xdr:cNvPr>
        <xdr:cNvSpPr/>
      </xdr:nvSpPr>
      <xdr:spPr bwMode="auto">
        <a:xfrm>
          <a:off x="485775" y="44710350"/>
          <a:ext cx="1619250" cy="4572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GasSP%20TRANSPORT%20ver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R INPUTS"/>
      <sheetName val="DEFAULT"/>
      <sheetName val="LOCAL DATASET INPUTS"/>
    </sheetNames>
    <sheetDataSet>
      <sheetData sheetId="0"/>
      <sheetData sheetId="1"/>
      <sheetData sheetId="2">
        <row r="161">
          <cell r="A161" t="str">
            <v>-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</row>
        <row r="162">
          <cell r="A162" t="str">
            <v>-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</row>
        <row r="163">
          <cell r="A163" t="str">
            <v>-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</row>
        <row r="164">
          <cell r="A164" t="str">
            <v>-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</row>
        <row r="165"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</row>
        <row r="166">
          <cell r="A166" t="str">
            <v>-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</row>
        <row r="198">
          <cell r="A198" t="str">
            <v>-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</row>
        <row r="199">
          <cell r="A199" t="str">
            <v>-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</row>
        <row r="200">
          <cell r="A200" t="str">
            <v>-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</row>
        <row r="201">
          <cell r="A201" t="str">
            <v>-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</row>
        <row r="202">
          <cell r="A202" t="str">
            <v>-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</row>
        <row r="203">
          <cell r="A203" t="str">
            <v>-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</row>
        <row r="204">
          <cell r="A204" t="str">
            <v>-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</row>
        <row r="205">
          <cell r="A205" t="str">
            <v>-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</row>
        <row r="206">
          <cell r="A206" t="str">
            <v>-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</row>
        <row r="207">
          <cell r="A207" t="str">
            <v>-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</row>
        <row r="208">
          <cell r="A208" t="str">
            <v>-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</row>
        <row r="209">
          <cell r="A209" t="str">
            <v>-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</row>
        <row r="210">
          <cell r="A210" t="str">
            <v>-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</row>
        <row r="211">
          <cell r="A211" t="str">
            <v>trams, million vehicle-km/a</v>
          </cell>
          <cell r="E211" t="e">
            <v>#VALUE!</v>
          </cell>
          <cell r="F211" t="e">
            <v>#VALUE!</v>
          </cell>
          <cell r="G211" t="e">
            <v>#VALUE!</v>
          </cell>
          <cell r="H211" t="e">
            <v>#VALUE!</v>
          </cell>
          <cell r="I211" t="e">
            <v>#VALUE!</v>
          </cell>
          <cell r="J211" t="e">
            <v>#VALUE!</v>
          </cell>
          <cell r="K211" t="e">
            <v>#VALUE!</v>
          </cell>
          <cell r="L211" t="e">
            <v>#VALUE!</v>
          </cell>
          <cell r="M211" t="e">
            <v>#VALUE!</v>
          </cell>
          <cell r="N211" t="e">
            <v>#VALUE!</v>
          </cell>
          <cell r="O211" t="e">
            <v>#VALUE!</v>
          </cell>
          <cell r="P211" t="e">
            <v>#VALUE!</v>
          </cell>
          <cell r="Q211" t="e">
            <v>#VALUE!</v>
          </cell>
          <cell r="R211" t="e">
            <v>#VALUE!</v>
          </cell>
          <cell r="S211" t="e">
            <v>#VALUE!</v>
          </cell>
          <cell r="T211" t="e">
            <v>#VALUE!</v>
          </cell>
          <cell r="U211" t="e">
            <v>#VALUE!</v>
          </cell>
          <cell r="V211" t="e">
            <v>#VALUE!</v>
          </cell>
          <cell r="W211" t="e">
            <v>#VALUE!</v>
          </cell>
          <cell r="X211" t="e">
            <v>#VALUE!</v>
          </cell>
          <cell r="Y211" t="e">
            <v>#VALUE!</v>
          </cell>
          <cell r="Z211" t="e">
            <v>#VALUE!</v>
          </cell>
          <cell r="AA211" t="e">
            <v>#VALUE!</v>
          </cell>
          <cell r="AB211" t="e">
            <v>#VALUE!</v>
          </cell>
          <cell r="AC211" t="e">
            <v>#VALUE!</v>
          </cell>
          <cell r="AD211" t="e">
            <v>#VALUE!</v>
          </cell>
          <cell r="AE211" t="e">
            <v>#VALUE!</v>
          </cell>
          <cell r="AF211" t="e">
            <v>#VALUE!</v>
          </cell>
          <cell r="AG211" t="e">
            <v>#VALUE!</v>
          </cell>
          <cell r="AH211" t="e">
            <v>#VALUE!</v>
          </cell>
        </row>
        <row r="213">
          <cell r="E213">
            <v>2021</v>
          </cell>
          <cell r="F213">
            <v>2022</v>
          </cell>
          <cell r="G213">
            <v>2023</v>
          </cell>
          <cell r="H213">
            <v>2024</v>
          </cell>
          <cell r="I213">
            <v>2025</v>
          </cell>
          <cell r="J213">
            <v>2026</v>
          </cell>
          <cell r="K213">
            <v>2027</v>
          </cell>
          <cell r="L213">
            <v>2028</v>
          </cell>
          <cell r="M213">
            <v>2029</v>
          </cell>
          <cell r="N213">
            <v>2030</v>
          </cell>
          <cell r="O213">
            <v>2031</v>
          </cell>
          <cell r="P213">
            <v>2032</v>
          </cell>
          <cell r="Q213">
            <v>2033</v>
          </cell>
          <cell r="R213">
            <v>2034</v>
          </cell>
          <cell r="S213">
            <v>2035</v>
          </cell>
          <cell r="T213">
            <v>2036</v>
          </cell>
          <cell r="U213">
            <v>2037</v>
          </cell>
          <cell r="V213">
            <v>2038</v>
          </cell>
          <cell r="W213">
            <v>2039</v>
          </cell>
          <cell r="X213">
            <v>2040</v>
          </cell>
          <cell r="Y213">
            <v>2041</v>
          </cell>
          <cell r="Z213">
            <v>2042</v>
          </cell>
          <cell r="AA213">
            <v>2043</v>
          </cell>
          <cell r="AB213">
            <v>2044</v>
          </cell>
          <cell r="AC213">
            <v>2045</v>
          </cell>
          <cell r="AD213">
            <v>2046</v>
          </cell>
          <cell r="AE213">
            <v>2047</v>
          </cell>
          <cell r="AF213">
            <v>2048</v>
          </cell>
          <cell r="AG213">
            <v>2049</v>
          </cell>
          <cell r="AH213">
            <v>2050</v>
          </cell>
        </row>
        <row r="214">
          <cell r="E214">
            <v>2.3476920697674415</v>
          </cell>
          <cell r="F214">
            <v>2.3476920697674415</v>
          </cell>
          <cell r="G214">
            <v>2.3476920697674415</v>
          </cell>
          <cell r="H214">
            <v>2.3476920697674415</v>
          </cell>
          <cell r="I214">
            <v>2.3476920697674415</v>
          </cell>
          <cell r="J214">
            <v>2.3476920697674415</v>
          </cell>
          <cell r="K214">
            <v>2.3476920697674415</v>
          </cell>
          <cell r="L214">
            <v>2.3476920697674415</v>
          </cell>
          <cell r="M214">
            <v>2.3476920697674415</v>
          </cell>
          <cell r="N214">
            <v>2.3476920697674415</v>
          </cell>
          <cell r="O214">
            <v>2.3476920697674415</v>
          </cell>
          <cell r="P214">
            <v>2.3476920697674415</v>
          </cell>
          <cell r="Q214">
            <v>2.3476920697674415</v>
          </cell>
          <cell r="R214">
            <v>2.3476920697674415</v>
          </cell>
          <cell r="S214">
            <v>2.3476920697674415</v>
          </cell>
          <cell r="T214">
            <v>2.3476920697674415</v>
          </cell>
          <cell r="U214">
            <v>2.3476920697674415</v>
          </cell>
          <cell r="V214">
            <v>2.3476920697674415</v>
          </cell>
          <cell r="W214">
            <v>2.3476920697674415</v>
          </cell>
          <cell r="X214">
            <v>2.3359536094186044</v>
          </cell>
          <cell r="Y214">
            <v>2.3242738413715114</v>
          </cell>
          <cell r="Z214">
            <v>2.312652472164654</v>
          </cell>
          <cell r="AA214">
            <v>2.3010892098038305</v>
          </cell>
          <cell r="AB214">
            <v>2.2895837637548113</v>
          </cell>
          <cell r="AC214">
            <v>2.2781358449360374</v>
          </cell>
          <cell r="AD214">
            <v>2.2667451657113569</v>
          </cell>
          <cell r="AE214">
            <v>2.2554114398827996</v>
          </cell>
          <cell r="AF214">
            <v>2.2441343826833862</v>
          </cell>
          <cell r="AG214">
            <v>2.232913710769969</v>
          </cell>
          <cell r="AH214">
            <v>2.2217491422161193</v>
          </cell>
        </row>
        <row r="215">
          <cell r="A215" t="str">
            <v>transport activity</v>
          </cell>
          <cell r="E215" t="e">
            <v>#VALUE!</v>
          </cell>
          <cell r="F215" t="e">
            <v>#VALUE!</v>
          </cell>
          <cell r="G215" t="e">
            <v>#VALUE!</v>
          </cell>
          <cell r="H215" t="e">
            <v>#VALUE!</v>
          </cell>
          <cell r="I215" t="e">
            <v>#VALUE!</v>
          </cell>
          <cell r="J215" t="e">
            <v>#VALUE!</v>
          </cell>
          <cell r="K215" t="e">
            <v>#VALUE!</v>
          </cell>
          <cell r="L215" t="e">
            <v>#VALUE!</v>
          </cell>
          <cell r="M215" t="e">
            <v>#VALUE!</v>
          </cell>
          <cell r="N215" t="e">
            <v>#VALUE!</v>
          </cell>
          <cell r="O215" t="e">
            <v>#VALUE!</v>
          </cell>
          <cell r="P215" t="e">
            <v>#VALUE!</v>
          </cell>
          <cell r="Q215" t="e">
            <v>#VALUE!</v>
          </cell>
          <cell r="R215" t="e">
            <v>#VALUE!</v>
          </cell>
          <cell r="S215" t="e">
            <v>#VALUE!</v>
          </cell>
          <cell r="T215" t="e">
            <v>#VALUE!</v>
          </cell>
          <cell r="U215" t="e">
            <v>#VALUE!</v>
          </cell>
          <cell r="V215" t="e">
            <v>#VALUE!</v>
          </cell>
          <cell r="W215" t="e">
            <v>#VALUE!</v>
          </cell>
          <cell r="X215" t="e">
            <v>#VALUE!</v>
          </cell>
          <cell r="Y215" t="e">
            <v>#VALUE!</v>
          </cell>
          <cell r="Z215" t="e">
            <v>#VALUE!</v>
          </cell>
          <cell r="AA215" t="e">
            <v>#VALUE!</v>
          </cell>
          <cell r="AB215" t="e">
            <v>#VALUE!</v>
          </cell>
          <cell r="AC215" t="e">
            <v>#VALUE!</v>
          </cell>
          <cell r="AD215" t="e">
            <v>#VALUE!</v>
          </cell>
          <cell r="AE215" t="e">
            <v>#VALUE!</v>
          </cell>
          <cell r="AF215" t="e">
            <v>#VALUE!</v>
          </cell>
          <cell r="AG215" t="e">
            <v>#VALUE!</v>
          </cell>
          <cell r="AH215" t="e">
            <v>#VALUE!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1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omments" Target="../comments2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13" Type="http://schemas.openxmlformats.org/officeDocument/2006/relationships/ctrlProp" Target="../ctrlProps/ctrlProp33.xml"/><Relationship Id="rId18" Type="http://schemas.openxmlformats.org/officeDocument/2006/relationships/ctrlProp" Target="../ctrlProps/ctrlProp38.xml"/><Relationship Id="rId26" Type="http://schemas.openxmlformats.org/officeDocument/2006/relationships/ctrlProp" Target="../ctrlProps/ctrlProp4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1.xml"/><Relationship Id="rId7" Type="http://schemas.openxmlformats.org/officeDocument/2006/relationships/ctrlProp" Target="../ctrlProps/ctrlProp27.xml"/><Relationship Id="rId12" Type="http://schemas.openxmlformats.org/officeDocument/2006/relationships/ctrlProp" Target="../ctrlProps/ctrlProp32.xml"/><Relationship Id="rId17" Type="http://schemas.openxmlformats.org/officeDocument/2006/relationships/ctrlProp" Target="../ctrlProps/ctrlProp37.xml"/><Relationship Id="rId25" Type="http://schemas.openxmlformats.org/officeDocument/2006/relationships/ctrlProp" Target="../ctrlProps/ctrlProp45.xml"/><Relationship Id="rId33" Type="http://schemas.openxmlformats.org/officeDocument/2006/relationships/ctrlProp" Target="../ctrlProps/ctrlProp5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36.xml"/><Relationship Id="rId20" Type="http://schemas.openxmlformats.org/officeDocument/2006/relationships/ctrlProp" Target="../ctrlProps/ctrlProp40.xml"/><Relationship Id="rId29" Type="http://schemas.openxmlformats.org/officeDocument/2006/relationships/ctrlProp" Target="../ctrlProps/ctrlProp4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6.xml"/><Relationship Id="rId11" Type="http://schemas.openxmlformats.org/officeDocument/2006/relationships/ctrlProp" Target="../ctrlProps/ctrlProp31.xml"/><Relationship Id="rId24" Type="http://schemas.openxmlformats.org/officeDocument/2006/relationships/ctrlProp" Target="../ctrlProps/ctrlProp44.xml"/><Relationship Id="rId32" Type="http://schemas.openxmlformats.org/officeDocument/2006/relationships/ctrlProp" Target="../ctrlProps/ctrlProp52.xml"/><Relationship Id="rId5" Type="http://schemas.openxmlformats.org/officeDocument/2006/relationships/ctrlProp" Target="../ctrlProps/ctrlProp25.xml"/><Relationship Id="rId15" Type="http://schemas.openxmlformats.org/officeDocument/2006/relationships/ctrlProp" Target="../ctrlProps/ctrlProp35.xml"/><Relationship Id="rId23" Type="http://schemas.openxmlformats.org/officeDocument/2006/relationships/ctrlProp" Target="../ctrlProps/ctrlProp43.xml"/><Relationship Id="rId28" Type="http://schemas.openxmlformats.org/officeDocument/2006/relationships/ctrlProp" Target="../ctrlProps/ctrlProp48.xml"/><Relationship Id="rId10" Type="http://schemas.openxmlformats.org/officeDocument/2006/relationships/ctrlProp" Target="../ctrlProps/ctrlProp30.xml"/><Relationship Id="rId19" Type="http://schemas.openxmlformats.org/officeDocument/2006/relationships/ctrlProp" Target="../ctrlProps/ctrlProp39.xml"/><Relationship Id="rId31" Type="http://schemas.openxmlformats.org/officeDocument/2006/relationships/ctrlProp" Target="../ctrlProps/ctrlProp51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Relationship Id="rId14" Type="http://schemas.openxmlformats.org/officeDocument/2006/relationships/ctrlProp" Target="../ctrlProps/ctrlProp34.xml"/><Relationship Id="rId22" Type="http://schemas.openxmlformats.org/officeDocument/2006/relationships/ctrlProp" Target="../ctrlProps/ctrlProp42.xml"/><Relationship Id="rId27" Type="http://schemas.openxmlformats.org/officeDocument/2006/relationships/ctrlProp" Target="../ctrlProps/ctrlProp47.xml"/><Relationship Id="rId30" Type="http://schemas.openxmlformats.org/officeDocument/2006/relationships/ctrlProp" Target="../ctrlProps/ctrlProp5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 tint="-0.34998626667073579"/>
  </sheetPr>
  <dimension ref="A1:E7"/>
  <sheetViews>
    <sheetView workbookViewId="0"/>
  </sheetViews>
  <sheetFormatPr defaultRowHeight="20.100000000000001" customHeight="1"/>
  <cols>
    <col min="1" max="1" width="30.7109375" style="24" customWidth="1"/>
    <col min="2" max="4" width="20.7109375" style="24" customWidth="1"/>
    <col min="5" max="16384" width="9.140625" style="24"/>
  </cols>
  <sheetData>
    <row r="1" spans="1:5" s="22" customFormat="1" ht="30" customHeight="1">
      <c r="A1" s="21" t="s">
        <v>139</v>
      </c>
    </row>
    <row r="2" spans="1:5" ht="20.100000000000001" customHeight="1">
      <c r="A2" s="23" t="s">
        <v>138</v>
      </c>
      <c r="B2" s="24">
        <v>4</v>
      </c>
      <c r="E2" s="25"/>
    </row>
    <row r="3" spans="1:5" ht="20.100000000000001" customHeight="1">
      <c r="A3" s="26" t="s">
        <v>33</v>
      </c>
      <c r="B3" s="27">
        <v>32</v>
      </c>
      <c r="C3" s="29" t="str">
        <f>IF(B3=33,"Select local dataset","Ignore this selection")</f>
        <v>Ignore this selection</v>
      </c>
      <c r="D3" s="24">
        <v>2</v>
      </c>
      <c r="E3" s="27"/>
    </row>
    <row r="4" spans="1:5" ht="20.100000000000001" customHeight="1">
      <c r="A4" s="26" t="s">
        <v>31</v>
      </c>
      <c r="B4" s="28">
        <v>21000</v>
      </c>
      <c r="C4" s="27"/>
      <c r="D4" s="27"/>
    </row>
    <row r="5" spans="1:5" ht="20.100000000000001" customHeight="1">
      <c r="A5" s="296"/>
    </row>
    <row r="7" spans="1:5" ht="20.100000000000001" customHeight="1">
      <c r="E7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Drop Down 2">
              <controlPr defaultSize="0" autoLine="0" autoPict="0">
                <anchor mov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2</xdr:col>
                    <xdr:colOff>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Drop Down 3">
              <controlPr defaultSize="0" autoLine="0" autoPict="0">
                <anchor mov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2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Drop Down 6">
              <controlPr defaultSize="0" autoLine="0" autoPict="0">
                <anchor moveWithCells="1">
                  <from>
                    <xdr:col>3</xdr:col>
                    <xdr:colOff>9525</xdr:colOff>
                    <xdr:row>2</xdr:row>
                    <xdr:rowOff>9525</xdr:rowOff>
                  </from>
                  <to>
                    <xdr:col>4</xdr:col>
                    <xdr:colOff>0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ul1">
    <tabColor theme="5"/>
  </sheetPr>
  <dimension ref="A1:AQ327"/>
  <sheetViews>
    <sheetView zoomScaleNormal="100" zoomScaleSheetLayoutView="100" workbookViewId="0"/>
  </sheetViews>
  <sheetFormatPr defaultRowHeight="20.100000000000001" customHeight="1"/>
  <cols>
    <col min="1" max="1" width="30.7109375" style="32" customWidth="1"/>
    <col min="2" max="4" width="10.7109375" style="32" customWidth="1"/>
    <col min="5" max="5" width="60.7109375" style="32" customWidth="1"/>
    <col min="6" max="6" width="30.7109375" style="32" customWidth="1"/>
    <col min="7" max="7" width="65.7109375" style="32" customWidth="1"/>
    <col min="8" max="71" width="13.7109375" style="32" customWidth="1"/>
    <col min="72" max="16384" width="9.140625" style="32"/>
  </cols>
  <sheetData>
    <row r="1" spans="1:40" s="31" customFormat="1" ht="30" customHeight="1">
      <c r="A1" s="234" t="s">
        <v>301</v>
      </c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2" spans="1:40" s="33" customFormat="1" ht="20.100000000000001" customHeight="1" thickBot="1">
      <c r="A2" s="605" t="s">
        <v>34</v>
      </c>
      <c r="B2" s="605"/>
      <c r="C2" s="605"/>
      <c r="D2" s="605"/>
      <c r="E2" s="605"/>
      <c r="F2" s="605" t="s">
        <v>274</v>
      </c>
      <c r="G2" s="605"/>
      <c r="H2" s="605"/>
      <c r="I2" s="605"/>
      <c r="J2" s="605"/>
      <c r="K2" s="605"/>
      <c r="L2" s="605"/>
      <c r="M2" s="605"/>
      <c r="N2" s="605"/>
      <c r="O2" s="605"/>
      <c r="P2" s="605"/>
      <c r="Q2" s="605"/>
      <c r="R2" s="605"/>
      <c r="S2"/>
      <c r="T2"/>
    </row>
    <row r="3" spans="1:40" ht="20.100000000000001" customHeight="1">
      <c r="A3" s="34" t="str">
        <f>IF(START!B3=33,INDEX('DEFAULT DATA'!A42:A104,START!D3,1),INDEX('DEFAULT DATA'!A9:A41,START!B3,1))</f>
        <v>UK</v>
      </c>
      <c r="B3" s="35"/>
      <c r="C3" s="36">
        <f>INDEX('MENU OPTIONS'!A1:A29,START!B2,1)</f>
        <v>2025</v>
      </c>
      <c r="D3" s="36"/>
      <c r="E3" s="37"/>
      <c r="F3" s="38" t="s">
        <v>302</v>
      </c>
    </row>
    <row r="4" spans="1:40" ht="20.100000000000001" customHeight="1">
      <c r="A4" s="39" t="s">
        <v>150</v>
      </c>
      <c r="B4" s="40"/>
      <c r="C4" s="41" t="s">
        <v>89</v>
      </c>
      <c r="D4" s="41"/>
      <c r="E4" s="42"/>
      <c r="F4" s="466" t="s">
        <v>303</v>
      </c>
      <c r="G4" s="467"/>
    </row>
    <row r="5" spans="1:40" ht="20.100000000000001" customHeight="1">
      <c r="A5" s="583" t="s">
        <v>84</v>
      </c>
      <c r="B5" s="584"/>
      <c r="C5" s="43">
        <v>75</v>
      </c>
      <c r="D5" s="30"/>
      <c r="E5" s="44"/>
      <c r="F5" s="468" t="s">
        <v>1040</v>
      </c>
      <c r="G5" s="469"/>
    </row>
    <row r="6" spans="1:40" ht="20.100000000000001" customHeight="1">
      <c r="A6" s="583" t="s">
        <v>85</v>
      </c>
      <c r="B6" s="584"/>
      <c r="C6" s="45">
        <v>25</v>
      </c>
      <c r="D6" s="30"/>
      <c r="E6" s="44"/>
    </row>
    <row r="7" spans="1:40" ht="20.100000000000001" customHeight="1">
      <c r="A7" s="583" t="s">
        <v>86</v>
      </c>
      <c r="B7" s="584"/>
      <c r="C7" s="45">
        <v>0</v>
      </c>
      <c r="D7" s="30"/>
      <c r="E7" s="44"/>
      <c r="F7" s="464" t="s">
        <v>1082</v>
      </c>
      <c r="G7" s="46"/>
      <c r="H7" s="46"/>
      <c r="I7" s="46"/>
      <c r="J7" s="46"/>
      <c r="K7" s="47" t="s">
        <v>373</v>
      </c>
      <c r="L7" s="48" t="s">
        <v>91</v>
      </c>
      <c r="M7" s="49" t="s">
        <v>92</v>
      </c>
      <c r="N7" s="48" t="s">
        <v>98</v>
      </c>
      <c r="O7" s="49" t="s">
        <v>93</v>
      </c>
      <c r="P7" s="49" t="s">
        <v>94</v>
      </c>
      <c r="Q7" s="49" t="s">
        <v>95</v>
      </c>
      <c r="R7" s="49" t="s">
        <v>96</v>
      </c>
      <c r="S7" s="50" t="s">
        <v>97</v>
      </c>
    </row>
    <row r="8" spans="1:40" ht="20.100000000000001" customHeight="1">
      <c r="A8" s="583" t="s">
        <v>87</v>
      </c>
      <c r="B8" s="584"/>
      <c r="C8" s="45">
        <v>0</v>
      </c>
      <c r="D8" s="30"/>
      <c r="E8" s="44"/>
      <c r="F8" s="51" t="s">
        <v>263</v>
      </c>
      <c r="G8" s="52" t="s">
        <v>84</v>
      </c>
      <c r="H8" s="52"/>
      <c r="I8" s="52"/>
      <c r="J8" s="52"/>
      <c r="K8" s="53">
        <f>C5</f>
        <v>75</v>
      </c>
      <c r="L8" s="221">
        <f>INDEX('DEFAULT DATA'!$T$9:$X$41,START!$B$3,1)</f>
        <v>2</v>
      </c>
      <c r="M8" s="221">
        <f>INDEX('DEFAULT DATA'!$AV$9:$AZ$41,START!$B$3,1)</f>
        <v>0.3</v>
      </c>
      <c r="N8" s="221">
        <v>1</v>
      </c>
      <c r="O8" s="221">
        <v>1</v>
      </c>
      <c r="P8" s="221">
        <f>INDEX('DEFAULT DATA'!$BS$9:$BW$41,START!$B$3,1)</f>
        <v>2</v>
      </c>
      <c r="Q8" s="221">
        <f>INDEX('DEFAULT DATA'!$CC$9:$CG$41,START!$B$3,1)</f>
        <v>2</v>
      </c>
      <c r="R8" s="221">
        <f>INDEX('DEFAULT DATA'!$CM$9:$CQ$41,START!$B$3,1)</f>
        <v>2</v>
      </c>
      <c r="S8" s="221">
        <f>INDEX('DEFAULT DATA'!$CW$9:$DA$41,START!$B$3,1)</f>
        <v>2</v>
      </c>
    </row>
    <row r="9" spans="1:40" ht="20.100000000000001" customHeight="1">
      <c r="A9" s="610" t="s">
        <v>88</v>
      </c>
      <c r="B9" s="584"/>
      <c r="C9" s="45">
        <v>0</v>
      </c>
      <c r="D9" s="30"/>
      <c r="E9" s="44"/>
      <c r="G9" s="52" t="s">
        <v>85</v>
      </c>
      <c r="H9" s="52"/>
      <c r="I9" s="52"/>
      <c r="J9" s="52"/>
      <c r="K9" s="53">
        <f>C6</f>
        <v>25</v>
      </c>
      <c r="L9" s="221">
        <f>INDEX('DEFAULT DATA'!$T$9:$X$41,START!$B$3,2)</f>
        <v>1.5</v>
      </c>
      <c r="M9" s="221">
        <f>INDEX('DEFAULT DATA'!$AV$9:$AZ$41,START!$B$3,2)</f>
        <v>0.7</v>
      </c>
      <c r="N9" s="221">
        <v>1</v>
      </c>
      <c r="O9" s="221">
        <v>1</v>
      </c>
      <c r="P9" s="221">
        <f>INDEX('DEFAULT DATA'!$BS$9:$BW$41,START!$B$3,2)</f>
        <v>1.5</v>
      </c>
      <c r="Q9" s="221">
        <f>INDEX('DEFAULT DATA'!$CC$9:$CG$41,START!$B$3,2)</f>
        <v>2</v>
      </c>
      <c r="R9" s="221">
        <f>INDEX('DEFAULT DATA'!$CM$9:$CQ$41,START!$B$3,2)</f>
        <v>1.5</v>
      </c>
      <c r="S9" s="221">
        <f>INDEX('DEFAULT DATA'!$CW$9:$DA$41,START!$B$3,2)</f>
        <v>1</v>
      </c>
    </row>
    <row r="10" spans="1:40" ht="20.100000000000001" customHeight="1">
      <c r="A10" s="55" t="str">
        <f>IF(C10=100,"","The sum is not 100%")</f>
        <v/>
      </c>
      <c r="B10" s="56"/>
      <c r="C10" s="30">
        <f>SUM(C5:C9)</f>
        <v>100</v>
      </c>
      <c r="D10" s="30"/>
      <c r="E10" s="44"/>
      <c r="F10" s="51"/>
      <c r="G10" s="52" t="s">
        <v>86</v>
      </c>
      <c r="H10" s="52"/>
      <c r="I10" s="52"/>
      <c r="J10" s="52"/>
      <c r="K10" s="53">
        <f>C7</f>
        <v>0</v>
      </c>
      <c r="L10" s="221">
        <f>INDEX('DEFAULT DATA'!$T$9:$X$41,START!$B$3,3)</f>
        <v>1</v>
      </c>
      <c r="M10" s="221">
        <f>INDEX('DEFAULT DATA'!$AV$9:$AZ$41,START!$B$3,3)</f>
        <v>1.2</v>
      </c>
      <c r="N10" s="221">
        <v>1</v>
      </c>
      <c r="O10" s="221">
        <v>1</v>
      </c>
      <c r="P10" s="221">
        <f>INDEX('DEFAULT DATA'!$BS$9:$BW$41,START!$B$3,3)</f>
        <v>0.7</v>
      </c>
      <c r="Q10" s="221">
        <f>INDEX('DEFAULT DATA'!$CC$9:$CG$41,START!$B$3,3)</f>
        <v>1</v>
      </c>
      <c r="R10" s="221">
        <f>INDEX('DEFAULT DATA'!$CM$9:$CQ$41,START!$B$3,3)</f>
        <v>0.5</v>
      </c>
      <c r="S10" s="221">
        <f>INDEX('DEFAULT DATA'!$CW$9:$DA$41,START!$B$3,3)</f>
        <v>0.5</v>
      </c>
    </row>
    <row r="11" spans="1:40" ht="20.100000000000001" customHeight="1">
      <c r="A11" s="57" t="s">
        <v>151</v>
      </c>
      <c r="B11" s="58"/>
      <c r="C11" s="59" t="s">
        <v>140</v>
      </c>
      <c r="D11" s="41"/>
      <c r="E11" s="42"/>
      <c r="F11" s="51"/>
      <c r="G11" s="52" t="s">
        <v>87</v>
      </c>
      <c r="H11" s="52"/>
      <c r="I11" s="52"/>
      <c r="J11" s="52"/>
      <c r="K11" s="53">
        <f>C8</f>
        <v>0</v>
      </c>
      <c r="L11" s="221">
        <f>INDEX('DEFAULT DATA'!$T$9:$X$41,START!$B$3,4)</f>
        <v>0.8</v>
      </c>
      <c r="M11" s="221">
        <f>INDEX('DEFAULT DATA'!$AV$9:$AZ$41,START!$B$3,4)</f>
        <v>1.2</v>
      </c>
      <c r="N11" s="221">
        <v>1</v>
      </c>
      <c r="O11" s="221">
        <v>1</v>
      </c>
      <c r="P11" s="221">
        <f>INDEX('DEFAULT DATA'!$BS$9:$BW$41,START!$B$3,4)</f>
        <v>0.7</v>
      </c>
      <c r="Q11" s="221">
        <f>INDEX('DEFAULT DATA'!$CC$9:$CG$41,START!$B$3,4)</f>
        <v>1</v>
      </c>
      <c r="R11" s="221">
        <f>INDEX('DEFAULT DATA'!$CM$9:$CQ$41,START!$B$3,4)</f>
        <v>1</v>
      </c>
      <c r="S11" s="221">
        <f>INDEX('DEFAULT DATA'!$CW$9:$DA$41,START!$B$3,4)</f>
        <v>0.7</v>
      </c>
    </row>
    <row r="12" spans="1:40" ht="20.100000000000001" customHeight="1">
      <c r="A12" s="26" t="s">
        <v>141</v>
      </c>
      <c r="B12" s="56"/>
      <c r="C12" s="60">
        <v>100</v>
      </c>
      <c r="D12" s="30"/>
      <c r="E12" s="61"/>
      <c r="F12" s="51"/>
      <c r="G12" s="52" t="s">
        <v>88</v>
      </c>
      <c r="H12" s="52"/>
      <c r="I12" s="52"/>
      <c r="J12" s="52"/>
      <c r="K12" s="53">
        <f>C9</f>
        <v>0</v>
      </c>
      <c r="L12" s="221">
        <f>INDEX('DEFAULT DATA'!$T$9:$X$41,START!$B$3,5)</f>
        <v>0.5</v>
      </c>
      <c r="M12" s="221">
        <f>INDEX('DEFAULT DATA'!$AV$9:$AZ$41,START!$B$3,5)</f>
        <v>3</v>
      </c>
      <c r="N12" s="221">
        <v>1</v>
      </c>
      <c r="O12" s="221">
        <v>1</v>
      </c>
      <c r="P12" s="221">
        <f>INDEX('DEFAULT DATA'!$BS$9:$BW$41,START!$B$3,5)</f>
        <v>0.5</v>
      </c>
      <c r="Q12" s="221">
        <f>INDEX('DEFAULT DATA'!$CC$9:$CG$41,START!$B$3,5)</f>
        <v>0.5</v>
      </c>
      <c r="R12" s="221">
        <f>INDEX('DEFAULT DATA'!$CM$9:$CQ$41,START!$B$3,5)</f>
        <v>0.5</v>
      </c>
      <c r="S12" s="221">
        <f>INDEX('DEFAULT DATA'!$CW$9:$DA$41,START!$B$3,5)</f>
        <v>0.2</v>
      </c>
    </row>
    <row r="13" spans="1:40" ht="20.100000000000001" customHeight="1">
      <c r="A13" s="26" t="s">
        <v>142</v>
      </c>
      <c r="B13" s="56"/>
      <c r="C13" s="60">
        <v>100</v>
      </c>
      <c r="D13" s="30"/>
      <c r="E13" s="44"/>
      <c r="F13" s="51"/>
      <c r="G13" s="465" t="s">
        <v>1083</v>
      </c>
      <c r="H13" s="62"/>
      <c r="I13" s="62"/>
      <c r="J13" s="62"/>
      <c r="L13" s="63">
        <f>($C$5/100*L8)+($C$6/100*L9)+($C$7/100*L10)+($C$8/100*L11)+($C$9/100*L12)</f>
        <v>1.875</v>
      </c>
      <c r="M13" s="63">
        <f t="shared" ref="M13:S13" si="0">($C$5/100*M8)+($C$6/100*M9)+($C$7/100*M10)+($C$8/100*M11)+($C$9/100*M12)</f>
        <v>0.39999999999999997</v>
      </c>
      <c r="N13" s="63">
        <f t="shared" si="0"/>
        <v>1</v>
      </c>
      <c r="O13" s="63">
        <f t="shared" si="0"/>
        <v>1</v>
      </c>
      <c r="P13" s="63">
        <f t="shared" si="0"/>
        <v>1.875</v>
      </c>
      <c r="Q13" s="63">
        <f t="shared" si="0"/>
        <v>2</v>
      </c>
      <c r="R13" s="63">
        <f t="shared" si="0"/>
        <v>1.875</v>
      </c>
      <c r="S13" s="63">
        <f t="shared" si="0"/>
        <v>1.75</v>
      </c>
    </row>
    <row r="14" spans="1:40" ht="20.100000000000001" customHeight="1">
      <c r="A14" s="64"/>
      <c r="B14" s="65"/>
      <c r="C14" s="65"/>
      <c r="D14" s="30"/>
      <c r="E14" s="44"/>
      <c r="T14" s="66"/>
    </row>
    <row r="15" spans="1:40" ht="20.100000000000001" customHeight="1">
      <c r="A15" s="57" t="s">
        <v>152</v>
      </c>
      <c r="B15" s="58"/>
      <c r="C15" s="67"/>
      <c r="D15" s="67"/>
      <c r="E15" s="42"/>
      <c r="F15" s="613" t="s">
        <v>1084</v>
      </c>
      <c r="G15" s="614"/>
      <c r="H15" s="460"/>
      <c r="I15" s="460"/>
      <c r="J15" s="460"/>
      <c r="K15" s="432">
        <v>2021</v>
      </c>
      <c r="L15" s="432">
        <f>K15+1</f>
        <v>2022</v>
      </c>
      <c r="M15" s="432">
        <f t="shared" ref="M15:AM15" si="1">L15+1</f>
        <v>2023</v>
      </c>
      <c r="N15" s="432">
        <f t="shared" si="1"/>
        <v>2024</v>
      </c>
      <c r="O15" s="432">
        <f t="shared" si="1"/>
        <v>2025</v>
      </c>
      <c r="P15" s="432">
        <f t="shared" si="1"/>
        <v>2026</v>
      </c>
      <c r="Q15" s="432">
        <f t="shared" si="1"/>
        <v>2027</v>
      </c>
      <c r="R15" s="432">
        <f t="shared" si="1"/>
        <v>2028</v>
      </c>
      <c r="S15" s="432">
        <f t="shared" si="1"/>
        <v>2029</v>
      </c>
      <c r="T15" s="432">
        <f t="shared" si="1"/>
        <v>2030</v>
      </c>
      <c r="U15" s="432">
        <f t="shared" si="1"/>
        <v>2031</v>
      </c>
      <c r="V15" s="432">
        <f t="shared" si="1"/>
        <v>2032</v>
      </c>
      <c r="W15" s="432">
        <f t="shared" si="1"/>
        <v>2033</v>
      </c>
      <c r="X15" s="432">
        <f t="shared" si="1"/>
        <v>2034</v>
      </c>
      <c r="Y15" s="432">
        <f t="shared" si="1"/>
        <v>2035</v>
      </c>
      <c r="Z15" s="432">
        <f t="shared" si="1"/>
        <v>2036</v>
      </c>
      <c r="AA15" s="432">
        <f t="shared" si="1"/>
        <v>2037</v>
      </c>
      <c r="AB15" s="432">
        <f t="shared" si="1"/>
        <v>2038</v>
      </c>
      <c r="AC15" s="432">
        <f t="shared" si="1"/>
        <v>2039</v>
      </c>
      <c r="AD15" s="432">
        <f>AC15+1</f>
        <v>2040</v>
      </c>
      <c r="AE15" s="432">
        <f t="shared" si="1"/>
        <v>2041</v>
      </c>
      <c r="AF15" s="432">
        <f t="shared" si="1"/>
        <v>2042</v>
      </c>
      <c r="AG15" s="432">
        <f t="shared" si="1"/>
        <v>2043</v>
      </c>
      <c r="AH15" s="432">
        <f>AG15+1</f>
        <v>2044</v>
      </c>
      <c r="AI15" s="432">
        <f t="shared" si="1"/>
        <v>2045</v>
      </c>
      <c r="AJ15" s="432">
        <f t="shared" si="1"/>
        <v>2046</v>
      </c>
      <c r="AK15" s="432">
        <f t="shared" si="1"/>
        <v>2047</v>
      </c>
      <c r="AL15" s="432">
        <f t="shared" si="1"/>
        <v>2048</v>
      </c>
      <c r="AM15" s="432">
        <f t="shared" si="1"/>
        <v>2049</v>
      </c>
      <c r="AN15" s="432">
        <f>AM15+1</f>
        <v>2050</v>
      </c>
    </row>
    <row r="16" spans="1:40" ht="20.100000000000001" customHeight="1">
      <c r="A16" s="26" t="s">
        <v>143</v>
      </c>
      <c r="B16" s="56"/>
      <c r="C16" s="56">
        <v>2</v>
      </c>
      <c r="D16" s="56"/>
      <c r="E16" s="44"/>
      <c r="F16" s="461" t="s">
        <v>375</v>
      </c>
      <c r="G16" s="462" t="s">
        <v>304</v>
      </c>
      <c r="H16" s="462"/>
      <c r="I16" s="462"/>
      <c r="J16" s="462"/>
      <c r="K16" s="463">
        <f>INDEX('DEFAULT DATA'!$I$9:$I$41,START!$B$3,1)/INDEX('DEFAULT DATA'!$J$9:$J$41,START!$B$3,1)*L13</f>
        <v>84.641210872643583</v>
      </c>
      <c r="L16" s="463">
        <f>K16*(100+INDEX('DEFAULT DATA'!$L$9:$N$41,START!$B$3,1))/100</f>
        <v>84.89513450526151</v>
      </c>
      <c r="M16" s="463">
        <f>L16*(100+INDEX('DEFAULT DATA'!$L$9:$N$41,START!$B$3,1))/100</f>
        <v>85.149819908777303</v>
      </c>
      <c r="N16" s="463">
        <f>M16*(100+INDEX('DEFAULT DATA'!$L$9:$N$41,START!$B$3,1))/100</f>
        <v>85.405269368503639</v>
      </c>
      <c r="O16" s="463">
        <f>N16*(100+INDEX('DEFAULT DATA'!$L$9:$N$41,START!$B$3,1))/100</f>
        <v>85.661485176609148</v>
      </c>
      <c r="P16" s="463">
        <f>O16*(100+INDEX('DEFAULT DATA'!$L$9:$N$41,START!$B$3,1))/100</f>
        <v>85.918469632138965</v>
      </c>
      <c r="Q16" s="463">
        <f>P16*(100+INDEX('DEFAULT DATA'!$L$9:$N$41,START!$B$3,1))/100</f>
        <v>86.17622504103538</v>
      </c>
      <c r="R16" s="463">
        <f>Q16*(100+INDEX('DEFAULT DATA'!$L$9:$N$41,START!$B$3,1))/100</f>
        <v>86.434753716158482</v>
      </c>
      <c r="S16" s="463">
        <f>R16*(100+INDEX('DEFAULT DATA'!$L$9:$N$41,START!$B$3,1))/100</f>
        <v>86.694057977306954</v>
      </c>
      <c r="T16" s="463">
        <f>S16*(100+INDEX('DEFAULT DATA'!$L$9:$N$41,START!$B$3,1))/100</f>
        <v>86.954140151238875</v>
      </c>
      <c r="U16" s="463">
        <f>T16*(100+INDEX('DEFAULT DATA'!$L$9:$N$41,START!$B$3,2))/100</f>
        <v>87.04109429139011</v>
      </c>
      <c r="V16" s="463">
        <f>U16*(100+INDEX('DEFAULT DATA'!$L$9:$N$41,START!$B$3,2))/100</f>
        <v>87.128135385681489</v>
      </c>
      <c r="W16" s="463">
        <f>V16*(100+INDEX('DEFAULT DATA'!$L$9:$N$41,START!$B$3,2))/100</f>
        <v>87.215263521067172</v>
      </c>
      <c r="X16" s="463">
        <f>W16*(100+INDEX('DEFAULT DATA'!$L$9:$N$41,START!$B$3,2))/100</f>
        <v>87.302478784588232</v>
      </c>
      <c r="Y16" s="463">
        <f>X16*(100+INDEX('DEFAULT DATA'!$L$9:$N$41,START!$B$3,2))/100</f>
        <v>87.389781263372811</v>
      </c>
      <c r="Z16" s="463">
        <f>Y16*(100+INDEX('DEFAULT DATA'!$L$9:$N$41,START!$B$3,2))/100</f>
        <v>87.477171044636179</v>
      </c>
      <c r="AA16" s="463">
        <f>Z16*(100+INDEX('DEFAULT DATA'!$L$9:$N$41,START!$B$3,2))/100</f>
        <v>87.564648215680805</v>
      </c>
      <c r="AB16" s="463">
        <f>AA16*(100+INDEX('DEFAULT DATA'!$L$9:$N$41,START!$B$3,2))/100</f>
        <v>87.65221286389648</v>
      </c>
      <c r="AC16" s="463">
        <f>AB16*(100+INDEX('DEFAULT DATA'!$L$9:$N$41,START!$B$3,2))/100</f>
        <v>87.739865076760381</v>
      </c>
      <c r="AD16" s="463">
        <f>AC16*(100+INDEX('DEFAULT DATA'!$L$9:$N$41,START!$B$3,2))/100</f>
        <v>87.827604941837137</v>
      </c>
      <c r="AE16" s="463">
        <f>AD16*(100+INDEX('DEFAULT DATA'!$L$9:$N$41,START!$B$3,3))/100</f>
        <v>87.915432546778973</v>
      </c>
      <c r="AF16" s="463">
        <f>AE16*(100+INDEX('DEFAULT DATA'!$L$9:$N$41,START!$B$3,3))/100</f>
        <v>88.003347979325753</v>
      </c>
      <c r="AG16" s="463">
        <f>AF16*(100+INDEX('DEFAULT DATA'!$L$9:$N$41,START!$B$3,3))/100</f>
        <v>88.091351327305077</v>
      </c>
      <c r="AH16" s="463">
        <f>AG16*(100+INDEX('DEFAULT DATA'!$L$9:$N$41,START!$B$3,3))/100</f>
        <v>88.179442678632384</v>
      </c>
      <c r="AI16" s="463">
        <f>AH16*(100+INDEX('DEFAULT DATA'!$L$9:$N$41,START!$B$3,3))/100</f>
        <v>88.267622121311021</v>
      </c>
      <c r="AJ16" s="463">
        <f>AI16*(100+INDEX('DEFAULT DATA'!$L$9:$N$41,START!$B$3,3))/100</f>
        <v>88.355889743432328</v>
      </c>
      <c r="AK16" s="463">
        <f>AJ16*(100+INDEX('DEFAULT DATA'!$L$9:$N$41,START!$B$3,3))/100</f>
        <v>88.444245633175754</v>
      </c>
      <c r="AL16" s="463">
        <f>AK16*(100+INDEX('DEFAULT DATA'!$L$9:$N$41,START!$B$3,3))/100</f>
        <v>88.532689878808924</v>
      </c>
      <c r="AM16" s="463">
        <f>AL16*(100+INDEX('DEFAULT DATA'!$L$9:$N$41,START!$B$3,3))/100</f>
        <v>88.621222568687742</v>
      </c>
      <c r="AN16" s="463">
        <f>AM16*(100+INDEX('DEFAULT DATA'!$L$9:$N$41,START!$B$3,3))/100</f>
        <v>88.709843791256432</v>
      </c>
    </row>
    <row r="17" spans="1:43" ht="20.100000000000001" customHeight="1">
      <c r="A17" s="26" t="s">
        <v>144</v>
      </c>
      <c r="B17" s="56"/>
      <c r="C17" s="56">
        <v>3</v>
      </c>
      <c r="D17" s="56"/>
      <c r="E17" s="44"/>
      <c r="F17" s="461" t="s">
        <v>305</v>
      </c>
      <c r="G17" s="462" t="s">
        <v>306</v>
      </c>
      <c r="H17" s="462"/>
      <c r="I17" s="462"/>
      <c r="J17" s="462"/>
      <c r="K17" s="463">
        <f>INDEX('DEFAULT DATA'!$Y$9:$Y$41,START!$B$3,1)/INDEX('DEFAULT DATA'!$Z$9:$Z$41,START!$B$3,1)*M13</f>
        <v>2580.0772700705766</v>
      </c>
      <c r="L17" s="463">
        <f>K17*(100+INDEX('DEFAULT DATA'!$AB$9:$AD$41,START!$B$3,1))/100</f>
        <v>2600.7178882311409</v>
      </c>
      <c r="M17" s="463">
        <f>L17*(100+INDEX('DEFAULT DATA'!$AB$9:$AD$41,START!$B$3,1))/100</f>
        <v>2621.5236313369901</v>
      </c>
      <c r="N17" s="463">
        <f>M17*(100+INDEX('DEFAULT DATA'!$AB$9:$AD$41,START!$B$3,1))/100</f>
        <v>2642.4958203876859</v>
      </c>
      <c r="O17" s="463">
        <f>N17*(100+INDEX('DEFAULT DATA'!$AB$9:$AD$41,START!$B$3,1))/100</f>
        <v>2663.6357869507874</v>
      </c>
      <c r="P17" s="463">
        <f>O17*(100+INDEX('DEFAULT DATA'!$AB$9:$AD$41,START!$B$3,1))/100</f>
        <v>2684.9448732463934</v>
      </c>
      <c r="Q17" s="463">
        <f>P17*(100+INDEX('DEFAULT DATA'!$AB$9:$AD$41,START!$B$3,1))/100</f>
        <v>2706.4244322323643</v>
      </c>
      <c r="R17" s="463">
        <f>Q17*(100+INDEX('DEFAULT DATA'!$AB$9:$AD$41,START!$B$3,1))/100</f>
        <v>2728.0758276902234</v>
      </c>
      <c r="S17" s="463">
        <f>R17*(100+INDEX('DEFAULT DATA'!$AB$9:$AD$41,START!$B$3,1))/100</f>
        <v>2749.9004343117454</v>
      </c>
      <c r="T17" s="463">
        <f>S17*(100+INDEX('DEFAULT DATA'!$AB$9:$AD$41,START!$B$3,1))/100</f>
        <v>2771.8996377862391</v>
      </c>
      <c r="U17" s="463">
        <f>T17*(100+INDEX('DEFAULT DATA'!$AB$9:$AD$41,START!$B$3,2))/100</f>
        <v>2788.5310356129567</v>
      </c>
      <c r="V17" s="463">
        <f>U17*(100+INDEX('DEFAULT DATA'!$AB$9:$AD$41,START!$B$3,2))/100</f>
        <v>2805.2622218266347</v>
      </c>
      <c r="W17" s="463">
        <f>V17*(100+INDEX('DEFAULT DATA'!$AB$9:$AD$41,START!$B$3,2))/100</f>
        <v>2822.0937951575943</v>
      </c>
      <c r="X17" s="463">
        <f>W17*(100+INDEX('DEFAULT DATA'!$AB$9:$AD$41,START!$B$3,2))/100</f>
        <v>2839.0263579285397</v>
      </c>
      <c r="Y17" s="463">
        <f>X17*(100+INDEX('DEFAULT DATA'!$AB$9:$AD$41,START!$B$3,2))/100</f>
        <v>2856.0605160761106</v>
      </c>
      <c r="Z17" s="463">
        <f>Y17*(100+INDEX('DEFAULT DATA'!$AB$9:$AD$41,START!$B$3,2))/100</f>
        <v>2873.1968791725672</v>
      </c>
      <c r="AA17" s="463">
        <f>Z17*(100+INDEX('DEFAULT DATA'!$AB$9:$AD$41,START!$B$3,2))/100</f>
        <v>2890.4360604476028</v>
      </c>
      <c r="AB17" s="463">
        <f>AA17*(100+INDEX('DEFAULT DATA'!$AB$9:$AD$41,START!$B$3,2))/100</f>
        <v>2907.7786768102883</v>
      </c>
      <c r="AC17" s="463">
        <f>AB17*(100+INDEX('DEFAULT DATA'!$AB$9:$AD$41,START!$B$3,2))/100</f>
        <v>2925.2253488711499</v>
      </c>
      <c r="AD17" s="463">
        <f>AC17*(100+INDEX('DEFAULT DATA'!$AB$9:$AD$41,START!$B$3,2))/100</f>
        <v>2942.7767009643767</v>
      </c>
      <c r="AE17" s="463">
        <f>AD17*(100+INDEX('DEFAULT DATA'!$AB$9:$AD$41,START!$B$3,3))/100</f>
        <v>2960.4333611701627</v>
      </c>
      <c r="AF17" s="463">
        <f>AE17*(100+INDEX('DEFAULT DATA'!$AB$9:$AD$41,START!$B$3,3))/100</f>
        <v>2978.1959613371832</v>
      </c>
      <c r="AG17" s="463">
        <f>AF17*(100+INDEX('DEFAULT DATA'!$AB$9:$AD$41,START!$B$3,3))/100</f>
        <v>2996.0651371052063</v>
      </c>
      <c r="AH17" s="463">
        <f>AG17*(100+INDEX('DEFAULT DATA'!$AB$9:$AD$41,START!$B$3,3))/100</f>
        <v>3014.0415279278373</v>
      </c>
      <c r="AI17" s="463">
        <f>AH17*(100+INDEX('DEFAULT DATA'!$AB$9:$AD$41,START!$B$3,3))/100</f>
        <v>3032.1257770954044</v>
      </c>
      <c r="AJ17" s="463">
        <f>AI17*(100+INDEX('DEFAULT DATA'!$AB$9:$AD$41,START!$B$3,3))/100</f>
        <v>3050.3185317579769</v>
      </c>
      <c r="AK17" s="463">
        <f>AJ17*(100+INDEX('DEFAULT DATA'!$AB$9:$AD$41,START!$B$3,3))/100</f>
        <v>3068.6204429485247</v>
      </c>
      <c r="AL17" s="463">
        <f>AK17*(100+INDEX('DEFAULT DATA'!$AB$9:$AD$41,START!$B$3,3))/100</f>
        <v>3087.0321656062156</v>
      </c>
      <c r="AM17" s="463">
        <f>AL17*(100+INDEX('DEFAULT DATA'!$AB$9:$AD$41,START!$B$3,3))/100</f>
        <v>3105.5543585998525</v>
      </c>
      <c r="AN17" s="463">
        <f>AM17*(100+INDEX('DEFAULT DATA'!$AB$9:$AD$41,START!$B$3,3))/100</f>
        <v>3124.1876847514518</v>
      </c>
    </row>
    <row r="18" spans="1:43" ht="20.100000000000001" customHeight="1">
      <c r="A18" s="26" t="s">
        <v>145</v>
      </c>
      <c r="B18" s="56"/>
      <c r="C18" s="56">
        <v>3</v>
      </c>
      <c r="D18" s="56"/>
      <c r="E18" s="44"/>
      <c r="F18" s="461" t="s">
        <v>307</v>
      </c>
      <c r="G18" s="462" t="s">
        <v>1041</v>
      </c>
      <c r="H18" s="462"/>
      <c r="I18" s="462"/>
      <c r="J18" s="462"/>
      <c r="K18" s="432">
        <v>1000</v>
      </c>
      <c r="L18" s="463">
        <f>K18*(100+INDEX('DEFAULT DATA'!$BD$9:$BF$41,START!$B$3,1))/100</f>
        <v>1011</v>
      </c>
      <c r="M18" s="463">
        <f>L18*(100+INDEX('DEFAULT DATA'!$BD$9:$BF$41,START!$B$3,1))/100</f>
        <v>1022.1209999999999</v>
      </c>
      <c r="N18" s="463">
        <f>M18*(100+INDEX('DEFAULT DATA'!$BD$9:$BF$41,START!$B$3,1))/100</f>
        <v>1033.3643309999998</v>
      </c>
      <c r="O18" s="463">
        <f>N18*(100+INDEX('DEFAULT DATA'!$BD$9:$BF$41,START!$B$3,1))/100</f>
        <v>1044.7313386409996</v>
      </c>
      <c r="P18" s="463">
        <f>O18*(100+INDEX('DEFAULT DATA'!$BD$9:$BF$41,START!$B$3,1))/100</f>
        <v>1056.2233833660505</v>
      </c>
      <c r="Q18" s="463">
        <f>P18*(100+INDEX('DEFAULT DATA'!$BD$9:$BF$41,START!$B$3,1))/100</f>
        <v>1067.8418405830771</v>
      </c>
      <c r="R18" s="463">
        <f>Q18*(100+INDEX('DEFAULT DATA'!$BD$9:$BF$41,START!$B$3,1))/100</f>
        <v>1079.5881008294909</v>
      </c>
      <c r="S18" s="463">
        <f>R18*(100+INDEX('DEFAULT DATA'!$BD$9:$BF$41,START!$B$3,1))/100</f>
        <v>1091.4635699386154</v>
      </c>
      <c r="T18" s="463">
        <f>S18*(100+INDEX('DEFAULT DATA'!$BD$9:$BF$41,START!$B$3,1))/100</f>
        <v>1103.4696692079401</v>
      </c>
      <c r="U18" s="463">
        <f>T18*(100+INDEX('DEFAULT DATA'!$BD$9:$BF$41,START!$B$3,2))/100</f>
        <v>1110.0904872231877</v>
      </c>
      <c r="V18" s="463">
        <f>U18*(100+INDEX('DEFAULT DATA'!$BD$9:$BF$41,START!$B$3,2))/100</f>
        <v>1116.7510301465268</v>
      </c>
      <c r="W18" s="463">
        <f>V18*(100+INDEX('DEFAULT DATA'!$BD$9:$BF$41,START!$B$3,2))/100</f>
        <v>1123.4515363274058</v>
      </c>
      <c r="X18" s="463">
        <f>W18*(100+INDEX('DEFAULT DATA'!$BD$9:$BF$41,START!$B$3,2))/100</f>
        <v>1130.1922455453703</v>
      </c>
      <c r="Y18" s="463">
        <f>X18*(100+INDEX('DEFAULT DATA'!$BD$9:$BF$41,START!$B$3,2))/100</f>
        <v>1136.9733990186423</v>
      </c>
      <c r="Z18" s="463">
        <f>Y18*(100+INDEX('DEFAULT DATA'!$BD$9:$BF$41,START!$B$3,2))/100</f>
        <v>1143.7952394127542</v>
      </c>
      <c r="AA18" s="463">
        <f>Z18*(100+INDEX('DEFAULT DATA'!$BD$9:$BF$41,START!$B$3,2))/100</f>
        <v>1150.6580108492305</v>
      </c>
      <c r="AB18" s="463">
        <f>AA18*(100+INDEX('DEFAULT DATA'!$BD$9:$BF$41,START!$B$3,2))/100</f>
        <v>1157.5619589143257</v>
      </c>
      <c r="AC18" s="463">
        <f>AB18*(100+INDEX('DEFAULT DATA'!$BD$9:$BF$41,START!$B$3,2))/100</f>
        <v>1164.5073306678116</v>
      </c>
      <c r="AD18" s="463">
        <f>AC18*(100+INDEX('DEFAULT DATA'!$BD$9:$BF$41,START!$B$3,2))/100</f>
        <v>1171.4943746518184</v>
      </c>
      <c r="AE18" s="463">
        <f>AD18*(100+INDEX('DEFAULT DATA'!$BD$9:$BF$41,START!$B$3,3))/100</f>
        <v>1178.5233408997292</v>
      </c>
      <c r="AF18" s="463">
        <f>AE18*(100+INDEX('DEFAULT DATA'!$BD$9:$BF$41,START!$B$3,3))/100</f>
        <v>1185.5944809451275</v>
      </c>
      <c r="AG18" s="463">
        <f>AF18*(100+INDEX('DEFAULT DATA'!$BD$9:$BF$41,START!$B$3,3))/100</f>
        <v>1192.7080478307983</v>
      </c>
      <c r="AH18" s="463">
        <f>AG18*(100+INDEX('DEFAULT DATA'!$BD$9:$BF$41,START!$B$3,3))/100</f>
        <v>1199.8642961177829</v>
      </c>
      <c r="AI18" s="463">
        <f>AH18*(100+INDEX('DEFAULT DATA'!$BD$9:$BF$41,START!$B$3,3))/100</f>
        <v>1207.0634818944895</v>
      </c>
      <c r="AJ18" s="463">
        <f>AI18*(100+INDEX('DEFAULT DATA'!$BD$9:$BF$41,START!$B$3,3))/100</f>
        <v>1214.3058627858563</v>
      </c>
      <c r="AK18" s="463">
        <f>AJ18*(100+INDEX('DEFAULT DATA'!$BD$9:$BF$41,START!$B$3,3))/100</f>
        <v>1221.5916979625713</v>
      </c>
      <c r="AL18" s="463">
        <f>AK18*(100+INDEX('DEFAULT DATA'!$BD$9:$BF$41,START!$B$3,3))/100</f>
        <v>1228.9212481503466</v>
      </c>
      <c r="AM18" s="463">
        <f>AL18*(100+INDEX('DEFAULT DATA'!$BD$9:$BF$41,START!$B$3,3))/100</f>
        <v>1236.2947756392487</v>
      </c>
      <c r="AN18" s="463">
        <f>AM18*(100+INDEX('DEFAULT DATA'!$BD$9:$BF$41,START!$B$3,3))/100</f>
        <v>1243.712544293084</v>
      </c>
    </row>
    <row r="19" spans="1:43" ht="20.100000000000001" customHeight="1">
      <c r="A19" s="26" t="s">
        <v>146</v>
      </c>
      <c r="B19" s="56"/>
      <c r="C19" s="56">
        <v>2</v>
      </c>
      <c r="D19" s="56"/>
      <c r="E19" s="44"/>
      <c r="F19" s="461" t="s">
        <v>308</v>
      </c>
      <c r="G19" s="462" t="s">
        <v>1042</v>
      </c>
      <c r="H19" s="462"/>
      <c r="I19" s="462"/>
      <c r="J19" s="462"/>
      <c r="K19" s="432">
        <v>1000</v>
      </c>
      <c r="L19" s="463">
        <f>K19*(100+INDEX('DEFAULT DATA'!$BJ$9:$BL$41,START!$B$3,1))/100</f>
        <v>1011</v>
      </c>
      <c r="M19" s="463">
        <f>L19*(100+INDEX('DEFAULT DATA'!$BJ$9:$BL$41,START!$B$3,1))/100</f>
        <v>1022.1209999999999</v>
      </c>
      <c r="N19" s="463">
        <f>M19*(100+INDEX('DEFAULT DATA'!$BJ$9:$BL$41,START!$B$3,1))/100</f>
        <v>1033.3643309999998</v>
      </c>
      <c r="O19" s="463">
        <f>N19*(100+INDEX('DEFAULT DATA'!$BJ$9:$BL$41,START!$B$3,1))/100</f>
        <v>1044.7313386409996</v>
      </c>
      <c r="P19" s="463">
        <f>O19*(100+INDEX('DEFAULT DATA'!$BJ$9:$BL$41,START!$B$3,1))/100</f>
        <v>1056.2233833660505</v>
      </c>
      <c r="Q19" s="463">
        <f>P19*(100+INDEX('DEFAULT DATA'!$BJ$9:$BL$41,START!$B$3,1))/100</f>
        <v>1067.8418405830771</v>
      </c>
      <c r="R19" s="463">
        <f>Q19*(100+INDEX('DEFAULT DATA'!$BJ$9:$BL$41,START!$B$3,1))/100</f>
        <v>1079.5881008294909</v>
      </c>
      <c r="S19" s="463">
        <f>R19*(100+INDEX('DEFAULT DATA'!$BJ$9:$BL$41,START!$B$3,1))/100</f>
        <v>1091.4635699386154</v>
      </c>
      <c r="T19" s="463">
        <f>S19*(100+INDEX('DEFAULT DATA'!$BJ$9:$BL$41,START!$B$3,1))/100</f>
        <v>1103.4696692079401</v>
      </c>
      <c r="U19" s="463">
        <f>T19*(100+INDEX('DEFAULT DATA'!$BJ$9:$BL$41,START!$B$3,2))/100</f>
        <v>1110.0904872231877</v>
      </c>
      <c r="V19" s="463">
        <f>U19*(100+INDEX('DEFAULT DATA'!$BJ$9:$BL$41,START!$B$3,2))/100</f>
        <v>1116.7510301465268</v>
      </c>
      <c r="W19" s="463">
        <f>V19*(100+INDEX('DEFAULT DATA'!$BJ$9:$BL$41,START!$B$3,2))/100</f>
        <v>1123.4515363274058</v>
      </c>
      <c r="X19" s="463">
        <f>W19*(100+INDEX('DEFAULT DATA'!$BJ$9:$BL$41,START!$B$3,2))/100</f>
        <v>1130.1922455453703</v>
      </c>
      <c r="Y19" s="463">
        <f>X19*(100+INDEX('DEFAULT DATA'!$BJ$9:$BL$41,START!$B$3,2))/100</f>
        <v>1136.9733990186423</v>
      </c>
      <c r="Z19" s="463">
        <f>Y19*(100+INDEX('DEFAULT DATA'!$BJ$9:$BL$41,START!$B$3,2))/100</f>
        <v>1143.7952394127542</v>
      </c>
      <c r="AA19" s="463">
        <f>Z19*(100+INDEX('DEFAULT DATA'!$BJ$9:$BL$41,START!$B$3,2))/100</f>
        <v>1150.6580108492305</v>
      </c>
      <c r="AB19" s="463">
        <f>AA19*(100+INDEX('DEFAULT DATA'!$BJ$9:$BL$41,START!$B$3,2))/100</f>
        <v>1157.5619589143257</v>
      </c>
      <c r="AC19" s="463">
        <f>AB19*(100+INDEX('DEFAULT DATA'!$BJ$9:$BL$41,START!$B$3,2))/100</f>
        <v>1164.5073306678116</v>
      </c>
      <c r="AD19" s="463">
        <f>AC19*(100+INDEX('DEFAULT DATA'!$BJ$9:$BL$41,START!$B$3,2))/100</f>
        <v>1171.4943746518184</v>
      </c>
      <c r="AE19" s="463">
        <f>AD19*(100+INDEX('DEFAULT DATA'!$BJ$9:$BL$41,START!$B$3,3))/100</f>
        <v>1178.5233408997292</v>
      </c>
      <c r="AF19" s="463">
        <f>AE19*(100+INDEX('DEFAULT DATA'!$BJ$9:$BL$41,START!$B$3,3))/100</f>
        <v>1185.5944809451275</v>
      </c>
      <c r="AG19" s="463">
        <f>AF19*(100+INDEX('DEFAULT DATA'!$BJ$9:$BL$41,START!$B$3,3))/100</f>
        <v>1192.7080478307983</v>
      </c>
      <c r="AH19" s="463">
        <f>AG19*(100+INDEX('DEFAULT DATA'!$BJ$9:$BL$41,START!$B$3,3))/100</f>
        <v>1199.8642961177829</v>
      </c>
      <c r="AI19" s="463">
        <f>AH19*(100+INDEX('DEFAULT DATA'!$BJ$9:$BL$41,START!$B$3,3))/100</f>
        <v>1207.0634818944895</v>
      </c>
      <c r="AJ19" s="463">
        <f>AI19*(100+INDEX('DEFAULT DATA'!$BJ$9:$BL$41,START!$B$3,3))/100</f>
        <v>1214.3058627858563</v>
      </c>
      <c r="AK19" s="463">
        <f>AJ19*(100+INDEX('DEFAULT DATA'!$BJ$9:$BL$41,START!$B$3,3))/100</f>
        <v>1221.5916979625713</v>
      </c>
      <c r="AL19" s="463">
        <f>AK19*(100+INDEX('DEFAULT DATA'!$BJ$9:$BL$41,START!$B$3,3))/100</f>
        <v>1228.9212481503466</v>
      </c>
      <c r="AM19" s="463">
        <f>AL19*(100+INDEX('DEFAULT DATA'!$BJ$9:$BL$41,START!$B$3,3))/100</f>
        <v>1236.2947756392487</v>
      </c>
      <c r="AN19" s="463">
        <f>AM19*(100+INDEX('DEFAULT DATA'!$BJ$9:$BL$41,START!$B$3,3))/100</f>
        <v>1243.712544293084</v>
      </c>
    </row>
    <row r="20" spans="1:43" ht="20.100000000000001" customHeight="1">
      <c r="A20" s="64"/>
      <c r="B20" s="65"/>
      <c r="C20" s="65"/>
      <c r="D20" s="65"/>
      <c r="E20" s="44"/>
      <c r="F20" s="461" t="s">
        <v>309</v>
      </c>
      <c r="G20" s="462" t="s">
        <v>310</v>
      </c>
      <c r="H20" s="462"/>
      <c r="I20" s="462"/>
      <c r="J20" s="462"/>
      <c r="K20" s="463">
        <f>INDEX('DEFAULT DATA'!$BM$9:$BM$41,START!$B$3,1)/INDEX('DEFAULT DATA'!$BN$9:$BN$41,START!$B$3,1)*P13</f>
        <v>10.631394493607846</v>
      </c>
      <c r="L20" s="463">
        <f>K20*(100+INDEX('DEFAULT DATA'!$BP$9:$BR$41,START!$B$3,1))/100</f>
        <v>10.748339833037532</v>
      </c>
      <c r="M20" s="463">
        <f>L20*(100+INDEX('DEFAULT DATA'!$BP$9:$BR$41,START!$B$3,1))/100</f>
        <v>10.866571571200943</v>
      </c>
      <c r="N20" s="463">
        <f>M20*(100+INDEX('DEFAULT DATA'!$BP$9:$BR$41,START!$B$3,1))/100</f>
        <v>10.986103858484153</v>
      </c>
      <c r="O20" s="463">
        <f>N20*(100+INDEX('DEFAULT DATA'!$BP$9:$BR$41,START!$B$3,1))/100</f>
        <v>11.106951000927479</v>
      </c>
      <c r="P20" s="463">
        <f>O20*(100+INDEX('DEFAULT DATA'!$BP$9:$BR$41,START!$B$3,1))/100</f>
        <v>11.229127461937681</v>
      </c>
      <c r="Q20" s="463">
        <f>P20*(100+INDEX('DEFAULT DATA'!$BP$9:$BR$41,START!$B$3,1))/100</f>
        <v>11.352647864018996</v>
      </c>
      <c r="R20" s="463">
        <f>Q20*(100+INDEX('DEFAULT DATA'!$BP$9:$BR$41,START!$B$3,1))/100</f>
        <v>11.477526990523204</v>
      </c>
      <c r="S20" s="463">
        <f>R20*(100+INDEX('DEFAULT DATA'!$BP$9:$BR$41,START!$B$3,1))/100</f>
        <v>11.60377978741896</v>
      </c>
      <c r="T20" s="463">
        <f>S20*(100+INDEX('DEFAULT DATA'!$BP$9:$BR$41,START!$B$3,1))/100</f>
        <v>11.731421365080569</v>
      </c>
      <c r="U20" s="463">
        <f>T20*(100+INDEX('DEFAULT DATA'!$BP$9:$BR$41,START!$B$3,2))/100</f>
        <v>11.801809893271052</v>
      </c>
      <c r="V20" s="463">
        <f>U20*(100+INDEX('DEFAULT DATA'!$BP$9:$BR$41,START!$B$3,2))/100</f>
        <v>11.872620752630677</v>
      </c>
      <c r="W20" s="463">
        <f>V20*(100+INDEX('DEFAULT DATA'!$BP$9:$BR$41,START!$B$3,2))/100</f>
        <v>11.943856477146459</v>
      </c>
      <c r="X20" s="463">
        <f>W20*(100+INDEX('DEFAULT DATA'!$BP$9:$BR$41,START!$B$3,2))/100</f>
        <v>12.015519616009337</v>
      </c>
      <c r="Y20" s="463">
        <f>X20*(100+INDEX('DEFAULT DATA'!$BP$9:$BR$41,START!$B$3,2))/100</f>
        <v>12.087612733705393</v>
      </c>
      <c r="Z20" s="463">
        <f>Y20*(100+INDEX('DEFAULT DATA'!$BP$9:$BR$41,START!$B$3,2))/100</f>
        <v>12.160138410107624</v>
      </c>
      <c r="AA20" s="463">
        <f>Z20*(100+INDEX('DEFAULT DATA'!$BP$9:$BR$41,START!$B$3,2))/100</f>
        <v>12.23309924056827</v>
      </c>
      <c r="AB20" s="463">
        <f>AA20*(100+INDEX('DEFAULT DATA'!$BP$9:$BR$41,START!$B$3,2))/100</f>
        <v>12.30649783601168</v>
      </c>
      <c r="AC20" s="463">
        <f>AB20*(100+INDEX('DEFAULT DATA'!$BP$9:$BR$41,START!$B$3,2))/100</f>
        <v>12.380336823027749</v>
      </c>
      <c r="AD20" s="463">
        <f>AC20*(100+INDEX('DEFAULT DATA'!$BP$9:$BR$41,START!$B$3,2))/100</f>
        <v>12.454618843965914</v>
      </c>
      <c r="AE20" s="463">
        <f>AD20*(100+INDEX('DEFAULT DATA'!$BP$9:$BR$41,START!$B$3,3))/100</f>
        <v>12.52934655702971</v>
      </c>
      <c r="AF20" s="463">
        <f>AE20*(100+INDEX('DEFAULT DATA'!$BP$9:$BR$41,START!$B$3,3))/100</f>
        <v>12.604522636371888</v>
      </c>
      <c r="AG20" s="463">
        <f>AF20*(100+INDEX('DEFAULT DATA'!$BP$9:$BR$41,START!$B$3,3))/100</f>
        <v>12.680149772190118</v>
      </c>
      <c r="AH20" s="463">
        <f>AG20*(100+INDEX('DEFAULT DATA'!$BP$9:$BR$41,START!$B$3,3))/100</f>
        <v>12.756230670823259</v>
      </c>
      <c r="AI20" s="463">
        <f>AH20*(100+INDEX('DEFAULT DATA'!$BP$9:$BR$41,START!$B$3,3))/100</f>
        <v>12.832768054848197</v>
      </c>
      <c r="AJ20" s="463">
        <f>AI20*(100+INDEX('DEFAULT DATA'!$BP$9:$BR$41,START!$B$3,3))/100</f>
        <v>12.909764663177286</v>
      </c>
      <c r="AK20" s="463">
        <f>AJ20*(100+INDEX('DEFAULT DATA'!$BP$9:$BR$41,START!$B$3,3))/100</f>
        <v>12.987223251156349</v>
      </c>
      <c r="AL20" s="463">
        <f>AK20*(100+INDEX('DEFAULT DATA'!$BP$9:$BR$41,START!$B$3,3))/100</f>
        <v>13.065146590663288</v>
      </c>
      <c r="AM20" s="463">
        <f>AL20*(100+INDEX('DEFAULT DATA'!$BP$9:$BR$41,START!$B$3,3))/100</f>
        <v>13.143537470207265</v>
      </c>
      <c r="AN20" s="463">
        <f>AM20*(100+INDEX('DEFAULT DATA'!$BP$9:$BR$41,START!$B$3,3))/100</f>
        <v>13.222398695028508</v>
      </c>
    </row>
    <row r="21" spans="1:43" ht="20.100000000000001" customHeight="1">
      <c r="A21" s="57" t="s">
        <v>275</v>
      </c>
      <c r="B21" s="69"/>
      <c r="C21" s="69"/>
      <c r="D21" s="69"/>
      <c r="E21" s="70" t="s">
        <v>276</v>
      </c>
      <c r="F21" s="461" t="s">
        <v>376</v>
      </c>
      <c r="G21" s="462" t="s">
        <v>311</v>
      </c>
      <c r="H21" s="462"/>
      <c r="I21" s="462"/>
      <c r="J21" s="462"/>
      <c r="K21" s="463">
        <f>INDEX('DEFAULT DATA'!$BX$9:$BX$41,START!$B$3,1)*Q13</f>
        <v>54.512871749001199</v>
      </c>
      <c r="L21" s="463">
        <f>K21*(100+INDEX('DEFAULT DATA'!$BZ$9:$CB$41,START!$B$3,1))/100</f>
        <v>55.112513338240205</v>
      </c>
      <c r="M21" s="463">
        <f>L21*(100+INDEX('DEFAULT DATA'!$BZ$9:$CB$41,START!$B$3,1))/100</f>
        <v>55.718750984960842</v>
      </c>
      <c r="N21" s="463">
        <f>M21*(100+INDEX('DEFAULT DATA'!$BZ$9:$CB$41,START!$B$3,1))/100</f>
        <v>56.331657245795405</v>
      </c>
      <c r="O21" s="463">
        <f>N21*(100+INDEX('DEFAULT DATA'!$BZ$9:$CB$41,START!$B$3,1))/100</f>
        <v>56.951305475499147</v>
      </c>
      <c r="P21" s="463">
        <f>O21*(100+INDEX('DEFAULT DATA'!$BZ$9:$CB$41,START!$B$3,1))/100</f>
        <v>57.577769835729633</v>
      </c>
      <c r="Q21" s="463">
        <f>P21*(100+INDEX('DEFAULT DATA'!$BZ$9:$CB$41,START!$B$3,1))/100</f>
        <v>58.211125303922657</v>
      </c>
      <c r="R21" s="463">
        <f>Q21*(100+INDEX('DEFAULT DATA'!$BZ$9:$CB$41,START!$B$3,1))/100</f>
        <v>58.851447682265807</v>
      </c>
      <c r="S21" s="463">
        <f>R21*(100+INDEX('DEFAULT DATA'!$BZ$9:$CB$41,START!$B$3,1))/100</f>
        <v>59.498813606770725</v>
      </c>
      <c r="T21" s="463">
        <f>S21*(100+INDEX('DEFAULT DATA'!$BZ$9:$CB$41,START!$B$3,1))/100</f>
        <v>60.153300556445203</v>
      </c>
      <c r="U21" s="463">
        <f>T21*(100+INDEX('DEFAULT DATA'!$BZ$9:$CB$41,START!$B$3,2))/100</f>
        <v>60.574373660340328</v>
      </c>
      <c r="V21" s="463">
        <f>U21*(100+INDEX('DEFAULT DATA'!$BZ$9:$CB$41,START!$B$3,2))/100</f>
        <v>60.99839427596271</v>
      </c>
      <c r="W21" s="463">
        <f>V21*(100+INDEX('DEFAULT DATA'!$BZ$9:$CB$41,START!$B$3,2))/100</f>
        <v>61.425383035894448</v>
      </c>
      <c r="X21" s="463">
        <f>W21*(100+INDEX('DEFAULT DATA'!$BZ$9:$CB$41,START!$B$3,2))/100</f>
        <v>61.855360717145714</v>
      </c>
      <c r="Y21" s="463">
        <f>X21*(100+INDEX('DEFAULT DATA'!$BZ$9:$CB$41,START!$B$3,2))/100</f>
        <v>62.288348242165739</v>
      </c>
      <c r="Z21" s="463">
        <f>Y21*(100+INDEX('DEFAULT DATA'!$BZ$9:$CB$41,START!$B$3,2))/100</f>
        <v>62.724366679860907</v>
      </c>
      <c r="AA21" s="463">
        <f>Z21*(100+INDEX('DEFAULT DATA'!$BZ$9:$CB$41,START!$B$3,2))/100</f>
        <v>63.163437246619935</v>
      </c>
      <c r="AB21" s="463">
        <f>AA21*(100+INDEX('DEFAULT DATA'!$BZ$9:$CB$41,START!$B$3,2))/100</f>
        <v>63.605581307346277</v>
      </c>
      <c r="AC21" s="463">
        <f>AB21*(100+INDEX('DEFAULT DATA'!$BZ$9:$CB$41,START!$B$3,2))/100</f>
        <v>64.050820376497711</v>
      </c>
      <c r="AD21" s="463">
        <f>AC21*(100+INDEX('DEFAULT DATA'!$BZ$9:$CB$41,START!$B$3,2))/100</f>
        <v>64.499176119133196</v>
      </c>
      <c r="AE21" s="463">
        <f>AD21*(100+INDEX('DEFAULT DATA'!$BZ$9:$CB$41,START!$B$3,3))/100</f>
        <v>64.950670351967133</v>
      </c>
      <c r="AF21" s="463">
        <f>AE21*(100+INDEX('DEFAULT DATA'!$BZ$9:$CB$41,START!$B$3,3))/100</f>
        <v>65.405325044430896</v>
      </c>
      <c r="AG21" s="463">
        <f>AF21*(100+INDEX('DEFAULT DATA'!$BZ$9:$CB$41,START!$B$3,3))/100</f>
        <v>65.863162319741917</v>
      </c>
      <c r="AH21" s="463">
        <f>AG21*(100+INDEX('DEFAULT DATA'!$BZ$9:$CB$41,START!$B$3,3))/100</f>
        <v>66.324204455980123</v>
      </c>
      <c r="AI21" s="463">
        <f>AH21*(100+INDEX('DEFAULT DATA'!$BZ$9:$CB$41,START!$B$3,3))/100</f>
        <v>66.788473887171989</v>
      </c>
      <c r="AJ21" s="463">
        <f>AI21*(100+INDEX('DEFAULT DATA'!$BZ$9:$CB$41,START!$B$3,3))/100</f>
        <v>67.255993204382193</v>
      </c>
      <c r="AK21" s="463">
        <f>AJ21*(100+INDEX('DEFAULT DATA'!$BZ$9:$CB$41,START!$B$3,3))/100</f>
        <v>67.726785156812866</v>
      </c>
      <c r="AL21" s="463">
        <f>AK21*(100+INDEX('DEFAULT DATA'!$BZ$9:$CB$41,START!$B$3,3))/100</f>
        <v>68.200872652910562</v>
      </c>
      <c r="AM21" s="463">
        <f>AL21*(100+INDEX('DEFAULT DATA'!$BZ$9:$CB$41,START!$B$3,3))/100</f>
        <v>68.678278761480939</v>
      </c>
      <c r="AN21" s="463">
        <f>AM21*(100+INDEX('DEFAULT DATA'!$BZ$9:$CB$41,START!$B$3,3))/100</f>
        <v>69.159026712811311</v>
      </c>
    </row>
    <row r="22" spans="1:43" ht="20.100000000000001" customHeight="1">
      <c r="A22" s="64"/>
      <c r="B22" s="65"/>
      <c r="C22" s="65"/>
      <c r="D22" s="65"/>
      <c r="E22" s="44"/>
      <c r="F22" s="461" t="s">
        <v>376</v>
      </c>
      <c r="G22" s="462" t="s">
        <v>312</v>
      </c>
      <c r="H22" s="462"/>
      <c r="I22" s="462"/>
      <c r="J22" s="462"/>
      <c r="K22" s="463">
        <f>INDEX('DEFAULT DATA'!$CH$9:$CH$41,START!$B$3,1)*R13</f>
        <v>506.93236018545315</v>
      </c>
      <c r="L22" s="463">
        <f>K22*(100+INDEX('DEFAULT DATA'!$CJ$9:$CL$41,START!$B$3,1))/100</f>
        <v>511.49475142712225</v>
      </c>
      <c r="M22" s="463">
        <f>L22*(100+INDEX('DEFAULT DATA'!$CJ$9:$CL$41,START!$B$3,1))/100</f>
        <v>516.0982041899664</v>
      </c>
      <c r="N22" s="463">
        <f>M22*(100+INDEX('DEFAULT DATA'!$CJ$9:$CL$41,START!$B$3,1))/100</f>
        <v>520.74308802767609</v>
      </c>
      <c r="O22" s="463">
        <f>N22*(100+INDEX('DEFAULT DATA'!$CJ$9:$CL$41,START!$B$3,1))/100</f>
        <v>525.42977581992523</v>
      </c>
      <c r="P22" s="463">
        <f>O22*(100+INDEX('DEFAULT DATA'!$CJ$9:$CL$41,START!$B$3,1))/100</f>
        <v>530.1586438023046</v>
      </c>
      <c r="Q22" s="463">
        <f>P22*(100+INDEX('DEFAULT DATA'!$CJ$9:$CL$41,START!$B$3,1))/100</f>
        <v>534.93007159652541</v>
      </c>
      <c r="R22" s="463">
        <f>Q22*(100+INDEX('DEFAULT DATA'!$CJ$9:$CL$41,START!$B$3,1))/100</f>
        <v>539.74444224089416</v>
      </c>
      <c r="S22" s="463">
        <f>R22*(100+INDEX('DEFAULT DATA'!$CJ$9:$CL$41,START!$B$3,1))/100</f>
        <v>544.60214222106219</v>
      </c>
      <c r="T22" s="463">
        <f>S22*(100+INDEX('DEFAULT DATA'!$CJ$9:$CL$41,START!$B$3,1))/100</f>
        <v>549.50356150105176</v>
      </c>
      <c r="U22" s="463">
        <f>T22*(100+INDEX('DEFAULT DATA'!$CJ$9:$CL$41,START!$B$3,2))/100</f>
        <v>553.89958999306009</v>
      </c>
      <c r="V22" s="463">
        <f>U22*(100+INDEX('DEFAULT DATA'!$CJ$9:$CL$41,START!$B$3,2))/100</f>
        <v>558.33078671300461</v>
      </c>
      <c r="W22" s="463">
        <f>V22*(100+INDEX('DEFAULT DATA'!$CJ$9:$CL$41,START!$B$3,2))/100</f>
        <v>562.79743300670862</v>
      </c>
      <c r="X22" s="463">
        <f>W22*(100+INDEX('DEFAULT DATA'!$CJ$9:$CL$41,START!$B$3,2))/100</f>
        <v>567.29981247076228</v>
      </c>
      <c r="Y22" s="463">
        <f>X22*(100+INDEX('DEFAULT DATA'!$CJ$9:$CL$41,START!$B$3,2))/100</f>
        <v>571.83821097052839</v>
      </c>
      <c r="Z22" s="463">
        <f>Y22*(100+INDEX('DEFAULT DATA'!$CJ$9:$CL$41,START!$B$3,2))/100</f>
        <v>576.4129166582926</v>
      </c>
      <c r="AA22" s="463">
        <f>Z22*(100+INDEX('DEFAULT DATA'!$CJ$9:$CL$41,START!$B$3,2))/100</f>
        <v>581.02421999155888</v>
      </c>
      <c r="AB22" s="463">
        <f>AA22*(100+INDEX('DEFAULT DATA'!$CJ$9:$CL$41,START!$B$3,2))/100</f>
        <v>585.67241375149138</v>
      </c>
      <c r="AC22" s="463">
        <f>AB22*(100+INDEX('DEFAULT DATA'!$CJ$9:$CL$41,START!$B$3,2))/100</f>
        <v>590.35779306150334</v>
      </c>
      <c r="AD22" s="463">
        <f>AC22*(100+INDEX('DEFAULT DATA'!$CJ$9:$CL$41,START!$B$3,2))/100</f>
        <v>595.08065540599534</v>
      </c>
      <c r="AE22" s="463">
        <f>AD22*(100+INDEX('DEFAULT DATA'!$CJ$9:$CL$41,START!$B$3,3))/100</f>
        <v>599.84130064924329</v>
      </c>
      <c r="AF22" s="463">
        <f>AE22*(100+INDEX('DEFAULT DATA'!$CJ$9:$CL$41,START!$B$3,3))/100</f>
        <v>604.64003105443726</v>
      </c>
      <c r="AG22" s="463">
        <f>AF22*(100+INDEX('DEFAULT DATA'!$CJ$9:$CL$41,START!$B$3,3))/100</f>
        <v>609.4771513028727</v>
      </c>
      <c r="AH22" s="463">
        <f>AG22*(100+INDEX('DEFAULT DATA'!$CJ$9:$CL$41,START!$B$3,3))/100</f>
        <v>614.35296851329565</v>
      </c>
      <c r="AI22" s="463">
        <f>AH22*(100+INDEX('DEFAULT DATA'!$CJ$9:$CL$41,START!$B$3,3))/100</f>
        <v>619.26779226140195</v>
      </c>
      <c r="AJ22" s="463">
        <f>AI22*(100+INDEX('DEFAULT DATA'!$CJ$9:$CL$41,START!$B$3,3))/100</f>
        <v>624.22193459949312</v>
      </c>
      <c r="AK22" s="463">
        <f>AJ22*(100+INDEX('DEFAULT DATA'!$CJ$9:$CL$41,START!$B$3,3))/100</f>
        <v>629.21571007628904</v>
      </c>
      <c r="AL22" s="463">
        <f>AK22*(100+INDEX('DEFAULT DATA'!$CJ$9:$CL$41,START!$B$3,3))/100</f>
        <v>634.24943575689929</v>
      </c>
      <c r="AM22" s="463">
        <f>AL22*(100+INDEX('DEFAULT DATA'!$CJ$9:$CL$41,START!$B$3,3))/100</f>
        <v>639.32343124295448</v>
      </c>
      <c r="AN22" s="463">
        <f>AM22*(100+INDEX('DEFAULT DATA'!$CJ$9:$CL$41,START!$B$3,3))/100</f>
        <v>644.43801869289814</v>
      </c>
      <c r="AO22" s="51"/>
      <c r="AP22" s="51"/>
      <c r="AQ22" s="51"/>
    </row>
    <row r="23" spans="1:43" ht="20.100000000000001" customHeight="1">
      <c r="A23" s="64"/>
      <c r="B23" s="65"/>
      <c r="C23" s="65"/>
      <c r="D23" s="65"/>
      <c r="E23" s="44"/>
      <c r="F23" s="461" t="s">
        <v>376</v>
      </c>
      <c r="G23" s="462" t="s">
        <v>313</v>
      </c>
      <c r="H23" s="462"/>
      <c r="I23" s="462"/>
      <c r="J23" s="462"/>
      <c r="K23" s="463">
        <f>INDEX('DEFAULT DATA'!$BX$9:$BX$41,START!$B$3,1)*S13</f>
        <v>47.69876278037605</v>
      </c>
      <c r="L23" s="463">
        <f>K23*(100+INDEX('DEFAULT DATA'!$CT$9:$CV$41,START!$B$3,1))/100</f>
        <v>48.032654119838682</v>
      </c>
      <c r="M23" s="463">
        <f>L23*(100+INDEX('DEFAULT DATA'!$CT$9:$CV$41,START!$B$3,1))/100</f>
        <v>48.368882698677552</v>
      </c>
      <c r="N23" s="463">
        <f>M23*(100+INDEX('DEFAULT DATA'!$CT$9:$CV$41,START!$B$3,1))/100</f>
        <v>48.707464877568299</v>
      </c>
      <c r="O23" s="463">
        <f>N23*(100+INDEX('DEFAULT DATA'!$CT$9:$CV$41,START!$B$3,1))/100</f>
        <v>49.048417131711275</v>
      </c>
      <c r="P23" s="463">
        <f>O23*(100+INDEX('DEFAULT DATA'!$CT$9:$CV$41,START!$B$3,1))/100</f>
        <v>49.391756051633259</v>
      </c>
      <c r="Q23" s="463">
        <f>P23*(100+INDEX('DEFAULT DATA'!$CT$9:$CV$41,START!$B$3,1))/100</f>
        <v>49.737498343994694</v>
      </c>
      <c r="R23" s="463">
        <f>Q23*(100+INDEX('DEFAULT DATA'!$CT$9:$CV$41,START!$B$3,1))/100</f>
        <v>50.085660832402652</v>
      </c>
      <c r="S23" s="463">
        <f>R23*(100+INDEX('DEFAULT DATA'!$CT$9:$CV$41,START!$B$3,1))/100</f>
        <v>50.436260458229469</v>
      </c>
      <c r="T23" s="463">
        <f>S23*(100+INDEX('DEFAULT DATA'!$CT$9:$CV$41,START!$B$3,1))/100</f>
        <v>50.789314281437072</v>
      </c>
      <c r="U23" s="463">
        <f>T23*(100+INDEX('DEFAULT DATA'!$CT$9:$CV$41,START!$B$3,2))/100</f>
        <v>50.992471538562825</v>
      </c>
      <c r="V23" s="463">
        <f>U23*(100+INDEX('DEFAULT DATA'!$CT$9:$CV$41,START!$B$3,2))/100</f>
        <v>51.196441424717079</v>
      </c>
      <c r="W23" s="463">
        <f>V23*(100+INDEX('DEFAULT DATA'!$CT$9:$CV$41,START!$B$3,2))/100</f>
        <v>51.401227190415945</v>
      </c>
      <c r="X23" s="463">
        <f>W23*(100+INDEX('DEFAULT DATA'!$CT$9:$CV$41,START!$B$3,2))/100</f>
        <v>51.606832099177609</v>
      </c>
      <c r="Y23" s="463">
        <f>X23*(100+INDEX('DEFAULT DATA'!$CT$9:$CV$41,START!$B$3,2))/100</f>
        <v>51.813259427574323</v>
      </c>
      <c r="Z23" s="463">
        <f>Y23*(100+INDEX('DEFAULT DATA'!$CT$9:$CV$41,START!$B$3,2))/100</f>
        <v>52.020512465284618</v>
      </c>
      <c r="AA23" s="463">
        <f>Z23*(100+INDEX('DEFAULT DATA'!$CT$9:$CV$41,START!$B$3,2))/100</f>
        <v>52.228594515145758</v>
      </c>
      <c r="AB23" s="463">
        <f>AA23*(100+INDEX('DEFAULT DATA'!$CT$9:$CV$41,START!$B$3,2))/100</f>
        <v>52.437508893206342</v>
      </c>
      <c r="AC23" s="463">
        <f>AB23*(100+INDEX('DEFAULT DATA'!$CT$9:$CV$41,START!$B$3,2))/100</f>
        <v>52.647258928779173</v>
      </c>
      <c r="AD23" s="463">
        <f>AC23*(100+INDEX('DEFAULT DATA'!$CT$9:$CV$41,START!$B$3,2))/100</f>
        <v>52.857847964494297</v>
      </c>
      <c r="AE23" s="463">
        <f>AD23*(100+INDEX('DEFAULT DATA'!$CT$9:$CV$41,START!$B$3,3))/100</f>
        <v>53.069279356352283</v>
      </c>
      <c r="AF23" s="463">
        <f>AE23*(100+INDEX('DEFAULT DATA'!$CT$9:$CV$41,START!$B$3,3))/100</f>
        <v>53.281556473777691</v>
      </c>
      <c r="AG23" s="463">
        <f>AF23*(100+INDEX('DEFAULT DATA'!$CT$9:$CV$41,START!$B$3,3))/100</f>
        <v>53.494682699672801</v>
      </c>
      <c r="AH23" s="463">
        <f>AG23*(100+INDEX('DEFAULT DATA'!$CT$9:$CV$41,START!$B$3,3))/100</f>
        <v>53.708661430471494</v>
      </c>
      <c r="AI23" s="463">
        <f>AH23*(100+INDEX('DEFAULT DATA'!$CT$9:$CV$41,START!$B$3,3))/100</f>
        <v>53.923496076193388</v>
      </c>
      <c r="AJ23" s="463">
        <f>AI23*(100+INDEX('DEFAULT DATA'!$CT$9:$CV$41,START!$B$3,3))/100</f>
        <v>54.139190060498166</v>
      </c>
      <c r="AK23" s="463">
        <f>AJ23*(100+INDEX('DEFAULT DATA'!$CT$9:$CV$41,START!$B$3,3))/100</f>
        <v>54.355746820740158</v>
      </c>
      <c r="AL23" s="463">
        <f>AK23*(100+INDEX('DEFAULT DATA'!$CT$9:$CV$41,START!$B$3,3))/100</f>
        <v>54.573169808023124</v>
      </c>
      <c r="AM23" s="463">
        <f>AL23*(100+INDEX('DEFAULT DATA'!$CT$9:$CV$41,START!$B$3,3))/100</f>
        <v>54.791462487255224</v>
      </c>
      <c r="AN23" s="463">
        <f>AM23*(100+INDEX('DEFAULT DATA'!$CT$9:$CV$41,START!$B$3,3))/100</f>
        <v>55.010628337204245</v>
      </c>
      <c r="AO23" s="51"/>
      <c r="AP23" s="51"/>
      <c r="AQ23" s="51"/>
    </row>
    <row r="24" spans="1:43" ht="20.100000000000001" customHeight="1">
      <c r="A24" s="64"/>
      <c r="B24" s="65"/>
      <c r="C24" s="65"/>
      <c r="D24" s="65"/>
      <c r="E24" s="44"/>
      <c r="F24" s="71"/>
      <c r="G24" s="72"/>
      <c r="H24" s="72"/>
      <c r="I24" s="72"/>
      <c r="J24" s="72"/>
      <c r="K24" s="51"/>
      <c r="L24" s="73"/>
      <c r="M24" s="73"/>
      <c r="N24" s="73"/>
      <c r="O24" s="73"/>
      <c r="P24" s="73"/>
      <c r="Q24" s="73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</row>
    <row r="25" spans="1:43" ht="20.100000000000001" customHeight="1">
      <c r="A25" s="64"/>
      <c r="B25" s="65"/>
      <c r="C25" s="65"/>
      <c r="D25" s="65"/>
      <c r="E25" s="65"/>
      <c r="F25" s="474" t="s">
        <v>1080</v>
      </c>
      <c r="G25" s="475"/>
      <c r="H25" s="615" t="s">
        <v>1086</v>
      </c>
      <c r="I25" s="615"/>
      <c r="J25" s="615"/>
      <c r="K25" s="476" t="s">
        <v>1071</v>
      </c>
      <c r="L25" s="476"/>
      <c r="M25" s="476"/>
      <c r="N25" s="476"/>
      <c r="O25" s="476"/>
      <c r="P25" s="476"/>
      <c r="Q25" s="476"/>
      <c r="R25" s="472"/>
      <c r="S25" s="472"/>
      <c r="T25" s="472"/>
      <c r="U25" s="472"/>
      <c r="V25" s="472"/>
      <c r="W25" s="472"/>
      <c r="X25" s="472"/>
      <c r="Y25" s="472"/>
      <c r="Z25" s="472"/>
      <c r="AA25" s="472"/>
      <c r="AB25" s="472"/>
      <c r="AC25" s="472"/>
      <c r="AD25" s="472"/>
      <c r="AE25" s="472"/>
      <c r="AF25" s="472"/>
      <c r="AG25" s="472"/>
      <c r="AH25" s="472"/>
      <c r="AI25" s="472"/>
      <c r="AJ25" s="472"/>
      <c r="AK25" s="472"/>
      <c r="AL25" s="472"/>
      <c r="AM25" s="472"/>
      <c r="AN25" s="472"/>
      <c r="AO25" s="51"/>
      <c r="AP25" s="51"/>
      <c r="AQ25" s="51"/>
    </row>
    <row r="26" spans="1:43" ht="20.100000000000001" customHeight="1">
      <c r="A26" s="64"/>
      <c r="B26" s="65"/>
      <c r="C26" s="65"/>
      <c r="D26" s="65"/>
      <c r="E26" s="65"/>
      <c r="F26" s="477" t="s">
        <v>1061</v>
      </c>
      <c r="G26" s="472"/>
      <c r="H26" s="478" t="s">
        <v>1062</v>
      </c>
      <c r="I26" s="478" t="s">
        <v>1063</v>
      </c>
      <c r="J26" s="478" t="s">
        <v>1064</v>
      </c>
      <c r="K26" s="479">
        <f>K15</f>
        <v>2021</v>
      </c>
      <c r="L26" s="480">
        <f t="shared" ref="L26:AN26" si="2">L15</f>
        <v>2022</v>
      </c>
      <c r="M26" s="480">
        <f t="shared" si="2"/>
        <v>2023</v>
      </c>
      <c r="N26" s="480">
        <f t="shared" si="2"/>
        <v>2024</v>
      </c>
      <c r="O26" s="480">
        <f t="shared" si="2"/>
        <v>2025</v>
      </c>
      <c r="P26" s="480">
        <f t="shared" si="2"/>
        <v>2026</v>
      </c>
      <c r="Q26" s="480">
        <f t="shared" si="2"/>
        <v>2027</v>
      </c>
      <c r="R26" s="480">
        <f t="shared" si="2"/>
        <v>2028</v>
      </c>
      <c r="S26" s="480">
        <f t="shared" si="2"/>
        <v>2029</v>
      </c>
      <c r="T26" s="480">
        <f t="shared" si="2"/>
        <v>2030</v>
      </c>
      <c r="U26" s="480">
        <f t="shared" si="2"/>
        <v>2031</v>
      </c>
      <c r="V26" s="480">
        <f t="shared" si="2"/>
        <v>2032</v>
      </c>
      <c r="W26" s="480">
        <f t="shared" si="2"/>
        <v>2033</v>
      </c>
      <c r="X26" s="480">
        <f t="shared" si="2"/>
        <v>2034</v>
      </c>
      <c r="Y26" s="480">
        <f t="shared" si="2"/>
        <v>2035</v>
      </c>
      <c r="Z26" s="480">
        <f t="shared" si="2"/>
        <v>2036</v>
      </c>
      <c r="AA26" s="480">
        <f t="shared" si="2"/>
        <v>2037</v>
      </c>
      <c r="AB26" s="480">
        <f t="shared" si="2"/>
        <v>2038</v>
      </c>
      <c r="AC26" s="480">
        <f t="shared" si="2"/>
        <v>2039</v>
      </c>
      <c r="AD26" s="480">
        <f t="shared" si="2"/>
        <v>2040</v>
      </c>
      <c r="AE26" s="480">
        <f t="shared" si="2"/>
        <v>2041</v>
      </c>
      <c r="AF26" s="480">
        <f t="shared" si="2"/>
        <v>2042</v>
      </c>
      <c r="AG26" s="480">
        <f t="shared" si="2"/>
        <v>2043</v>
      </c>
      <c r="AH26" s="480">
        <f t="shared" si="2"/>
        <v>2044</v>
      </c>
      <c r="AI26" s="480">
        <f t="shared" si="2"/>
        <v>2045</v>
      </c>
      <c r="AJ26" s="480">
        <f t="shared" si="2"/>
        <v>2046</v>
      </c>
      <c r="AK26" s="480">
        <f t="shared" si="2"/>
        <v>2047</v>
      </c>
      <c r="AL26" s="480">
        <f t="shared" si="2"/>
        <v>2048</v>
      </c>
      <c r="AM26" s="480">
        <f t="shared" si="2"/>
        <v>2049</v>
      </c>
      <c r="AN26" s="480">
        <f t="shared" si="2"/>
        <v>2050</v>
      </c>
      <c r="AO26" s="51"/>
      <c r="AP26" s="51"/>
      <c r="AQ26" s="51"/>
    </row>
    <row r="27" spans="1:43" ht="20.100000000000001" customHeight="1">
      <c r="A27" s="64"/>
      <c r="B27" s="65"/>
      <c r="C27" s="65"/>
      <c r="D27" s="65"/>
      <c r="E27" s="65"/>
      <c r="F27" s="477" t="s">
        <v>1065</v>
      </c>
      <c r="G27" s="476" t="s">
        <v>234</v>
      </c>
      <c r="H27" s="481">
        <v>368</v>
      </c>
      <c r="I27" s="481">
        <v>261.91600618637949</v>
      </c>
      <c r="J27" s="481">
        <v>433.01922201480062</v>
      </c>
      <c r="K27" s="499">
        <f>INDEX('DEFAULT DATA'!$O$9:$S$41,START!$B$3,1)</f>
        <v>2.5</v>
      </c>
      <c r="L27" s="482">
        <f>INDEX('DEFAULT DATA'!$O$9:$S$41,START!$B$3,1)</f>
        <v>2.5</v>
      </c>
      <c r="M27" s="482">
        <f>INDEX('DEFAULT DATA'!$O$9:$S$41,START!$B$3,1)</f>
        <v>2.5</v>
      </c>
      <c r="N27" s="482">
        <f>INDEX('DEFAULT DATA'!$O$9:$S$41,START!$B$3,1)</f>
        <v>2.5</v>
      </c>
      <c r="O27" s="482">
        <f>INDEX('DEFAULT DATA'!$O$9:$S$41,START!$B$3,1)</f>
        <v>2.5</v>
      </c>
      <c r="P27" s="482">
        <f>INDEX('DEFAULT DATA'!$O$9:$S$41,START!$B$3,1)</f>
        <v>2.5</v>
      </c>
      <c r="Q27" s="482">
        <f>INDEX('DEFAULT DATA'!$O$9:$S$41,START!$B$3,1)</f>
        <v>2.5</v>
      </c>
      <c r="R27" s="482">
        <f>INDEX('DEFAULT DATA'!$O$9:$S$41,START!$B$3,1)</f>
        <v>2.5</v>
      </c>
      <c r="S27" s="482">
        <f>INDEX('DEFAULT DATA'!$O$9:$S$41,START!$B$3,1)</f>
        <v>2.5</v>
      </c>
      <c r="T27" s="482">
        <f>INDEX('DEFAULT DATA'!$O$9:$S$41,START!$B$3,1)</f>
        <v>2.5</v>
      </c>
      <c r="U27" s="482">
        <f>INDEX('DEFAULT DATA'!$O$9:$S$41,START!$B$3,1)</f>
        <v>2.5</v>
      </c>
      <c r="V27" s="482">
        <f>INDEX('DEFAULT DATA'!$O$9:$S$41,START!$B$3,1)</f>
        <v>2.5</v>
      </c>
      <c r="W27" s="482">
        <f>INDEX('DEFAULT DATA'!$O$9:$S$41,START!$B$3,1)</f>
        <v>2.5</v>
      </c>
      <c r="X27" s="482">
        <f>INDEX('DEFAULT DATA'!$O$9:$S$41,START!$B$3,1)</f>
        <v>2.5</v>
      </c>
      <c r="Y27" s="482">
        <f>INDEX('DEFAULT DATA'!$O$9:$S$41,START!$B$3,1)</f>
        <v>2.5</v>
      </c>
      <c r="Z27" s="482">
        <f>INDEX('DEFAULT DATA'!$O$9:$S$41,START!$B$3,1)</f>
        <v>2.5</v>
      </c>
      <c r="AA27" s="482">
        <f>INDEX('DEFAULT DATA'!$O$9:$S$41,START!$B$3,1)</f>
        <v>2.5</v>
      </c>
      <c r="AB27" s="482">
        <f>INDEX('DEFAULT DATA'!$O$9:$S$41,START!$B$3,1)</f>
        <v>2.5</v>
      </c>
      <c r="AC27" s="482">
        <f>INDEX('DEFAULT DATA'!$O$9:$S$41,START!$B$3,1)</f>
        <v>2.5</v>
      </c>
      <c r="AD27" s="482">
        <f>INDEX('DEFAULT DATA'!$O$9:$S$41,START!$B$3,1)</f>
        <v>2.5</v>
      </c>
      <c r="AE27" s="482">
        <f>INDEX('DEFAULT DATA'!$O$9:$S$41,START!$B$3,1)</f>
        <v>2.5</v>
      </c>
      <c r="AF27" s="482">
        <f>INDEX('DEFAULT DATA'!$O$9:$S$41,START!$B$3,1)</f>
        <v>2.5</v>
      </c>
      <c r="AG27" s="482">
        <f>INDEX('DEFAULT DATA'!$O$9:$S$41,START!$B$3,1)</f>
        <v>2.5</v>
      </c>
      <c r="AH27" s="482">
        <f>INDEX('DEFAULT DATA'!$O$9:$S$41,START!$B$3,1)</f>
        <v>2.5</v>
      </c>
      <c r="AI27" s="482">
        <f>INDEX('DEFAULT DATA'!$O$9:$S$41,START!$B$3,1)</f>
        <v>2.5</v>
      </c>
      <c r="AJ27" s="482">
        <f>INDEX('DEFAULT DATA'!$O$9:$S$41,START!$B$3,1)</f>
        <v>2.5</v>
      </c>
      <c r="AK27" s="482">
        <f>INDEX('DEFAULT DATA'!$O$9:$S$41,START!$B$3,1)</f>
        <v>2.5</v>
      </c>
      <c r="AL27" s="482">
        <f>INDEX('DEFAULT DATA'!$O$9:$S$41,START!$B$3,1)</f>
        <v>2.5</v>
      </c>
      <c r="AM27" s="482">
        <f>INDEX('DEFAULT DATA'!$O$9:$S$41,START!$B$3,1)</f>
        <v>2.5</v>
      </c>
      <c r="AN27" s="482">
        <f>INDEX('DEFAULT DATA'!$O$9:$S$41,START!$B$3,1)</f>
        <v>2.5</v>
      </c>
      <c r="AO27" s="51"/>
      <c r="AP27" s="51"/>
      <c r="AQ27" s="51"/>
    </row>
    <row r="28" spans="1:43" ht="20.100000000000001" customHeight="1">
      <c r="A28" s="64"/>
      <c r="B28" s="65"/>
      <c r="C28" s="65"/>
      <c r="D28" s="65"/>
      <c r="E28" s="65"/>
      <c r="F28" s="477" t="s">
        <v>1066</v>
      </c>
      <c r="G28" s="476" t="s">
        <v>235</v>
      </c>
      <c r="H28" s="481">
        <v>400</v>
      </c>
      <c r="I28" s="481">
        <v>284.69131107215162</v>
      </c>
      <c r="J28" s="481">
        <v>470.67306740739195</v>
      </c>
      <c r="K28" s="499">
        <f>INDEX('DEFAULT DATA'!$O$9:$S$41,START!$B$3,2)</f>
        <v>0</v>
      </c>
      <c r="L28" s="482">
        <f>INDEX('DEFAULT DATA'!$O$9:$S$41,START!$B$3,2)</f>
        <v>0</v>
      </c>
      <c r="M28" s="482">
        <f>INDEX('DEFAULT DATA'!$O$9:$S$41,START!$B$3,2)</f>
        <v>0</v>
      </c>
      <c r="N28" s="482">
        <f>INDEX('DEFAULT DATA'!$O$9:$S$41,START!$B$3,2)</f>
        <v>0</v>
      </c>
      <c r="O28" s="482">
        <f>INDEX('DEFAULT DATA'!$O$9:$S$41,START!$B$3,2)</f>
        <v>0</v>
      </c>
      <c r="P28" s="482">
        <f>INDEX('DEFAULT DATA'!$O$9:$S$41,START!$B$3,2)</f>
        <v>0</v>
      </c>
      <c r="Q28" s="482">
        <f>INDEX('DEFAULT DATA'!$O$9:$S$41,START!$B$3,2)</f>
        <v>0</v>
      </c>
      <c r="R28" s="482">
        <f>INDEX('DEFAULT DATA'!$O$9:$S$41,START!$B$3,2)</f>
        <v>0</v>
      </c>
      <c r="S28" s="482">
        <f>INDEX('DEFAULT DATA'!$O$9:$S$41,START!$B$3,2)</f>
        <v>0</v>
      </c>
      <c r="T28" s="482">
        <f>INDEX('DEFAULT DATA'!$O$9:$S$41,START!$B$3,2)</f>
        <v>0</v>
      </c>
      <c r="U28" s="482">
        <f>INDEX('DEFAULT DATA'!$O$9:$S$41,START!$B$3,2)</f>
        <v>0</v>
      </c>
      <c r="V28" s="482">
        <f>INDEX('DEFAULT DATA'!$O$9:$S$41,START!$B$3,2)</f>
        <v>0</v>
      </c>
      <c r="W28" s="482">
        <f>INDEX('DEFAULT DATA'!$O$9:$S$41,START!$B$3,2)</f>
        <v>0</v>
      </c>
      <c r="X28" s="482">
        <f>INDEX('DEFAULT DATA'!$O$9:$S$41,START!$B$3,2)</f>
        <v>0</v>
      </c>
      <c r="Y28" s="482">
        <f>INDEX('DEFAULT DATA'!$O$9:$S$41,START!$B$3,2)</f>
        <v>0</v>
      </c>
      <c r="Z28" s="482">
        <f>INDEX('DEFAULT DATA'!$O$9:$S$41,START!$B$3,2)</f>
        <v>0</v>
      </c>
      <c r="AA28" s="482">
        <f>INDEX('DEFAULT DATA'!$O$9:$S$41,START!$B$3,2)</f>
        <v>0</v>
      </c>
      <c r="AB28" s="482">
        <f>INDEX('DEFAULT DATA'!$O$9:$S$41,START!$B$3,2)</f>
        <v>0</v>
      </c>
      <c r="AC28" s="482">
        <f>INDEX('DEFAULT DATA'!$O$9:$S$41,START!$B$3,2)</f>
        <v>0</v>
      </c>
      <c r="AD28" s="482">
        <f>INDEX('DEFAULT DATA'!$O$9:$S$41,START!$B$3,2)</f>
        <v>0</v>
      </c>
      <c r="AE28" s="482">
        <f>INDEX('DEFAULT DATA'!$O$9:$S$41,START!$B$3,2)</f>
        <v>0</v>
      </c>
      <c r="AF28" s="482">
        <f>INDEX('DEFAULT DATA'!$O$9:$S$41,START!$B$3,2)</f>
        <v>0</v>
      </c>
      <c r="AG28" s="482">
        <f>INDEX('DEFAULT DATA'!$O$9:$S$41,START!$B$3,2)</f>
        <v>0</v>
      </c>
      <c r="AH28" s="482">
        <f>INDEX('DEFAULT DATA'!$O$9:$S$41,START!$B$3,2)</f>
        <v>0</v>
      </c>
      <c r="AI28" s="482">
        <f>INDEX('DEFAULT DATA'!$O$9:$S$41,START!$B$3,2)</f>
        <v>0</v>
      </c>
      <c r="AJ28" s="482">
        <f>INDEX('DEFAULT DATA'!$O$9:$S$41,START!$B$3,2)</f>
        <v>0</v>
      </c>
      <c r="AK28" s="482">
        <f>INDEX('DEFAULT DATA'!$O$9:$S$41,START!$B$3,2)</f>
        <v>0</v>
      </c>
      <c r="AL28" s="482">
        <f>INDEX('DEFAULT DATA'!$O$9:$S$41,START!$B$3,2)</f>
        <v>0</v>
      </c>
      <c r="AM28" s="482">
        <f>INDEX('DEFAULT DATA'!$O$9:$S$41,START!$B$3,2)</f>
        <v>0</v>
      </c>
      <c r="AN28" s="482">
        <f>INDEX('DEFAULT DATA'!$O$9:$S$41,START!$B$3,2)</f>
        <v>0</v>
      </c>
      <c r="AO28" s="51"/>
      <c r="AP28" s="51"/>
      <c r="AQ28" s="51"/>
    </row>
    <row r="29" spans="1:43" ht="20.100000000000001" customHeight="1">
      <c r="A29" s="64"/>
      <c r="B29" s="65"/>
      <c r="C29" s="65"/>
      <c r="D29" s="65"/>
      <c r="E29" s="65"/>
      <c r="F29" s="477" t="s">
        <v>1059</v>
      </c>
      <c r="G29" s="476" t="s">
        <v>236</v>
      </c>
      <c r="H29" s="481">
        <v>368.3</v>
      </c>
      <c r="I29" s="481">
        <v>262.12952466968363</v>
      </c>
      <c r="J29" s="481">
        <v>433.37222681535616</v>
      </c>
      <c r="K29" s="499">
        <f>INDEX('DEFAULT DATA'!$O$9:$S$41,START!$B$3,3)</f>
        <v>97.5</v>
      </c>
      <c r="L29" s="482">
        <f>INDEX('DEFAULT DATA'!$O$9:$S$41,START!$B$3,3)</f>
        <v>97.5</v>
      </c>
      <c r="M29" s="482">
        <f>INDEX('DEFAULT DATA'!$O$9:$S$41,START!$B$3,3)</f>
        <v>97.5</v>
      </c>
      <c r="N29" s="482">
        <f>INDEX('DEFAULT DATA'!$O$9:$S$41,START!$B$3,3)</f>
        <v>97.5</v>
      </c>
      <c r="O29" s="482">
        <f>INDEX('DEFAULT DATA'!$O$9:$S$41,START!$B$3,3)</f>
        <v>97.5</v>
      </c>
      <c r="P29" s="482">
        <f>INDEX('DEFAULT DATA'!$O$9:$S$41,START!$B$3,3)</f>
        <v>97.5</v>
      </c>
      <c r="Q29" s="482">
        <f>INDEX('DEFAULT DATA'!$O$9:$S$41,START!$B$3,3)</f>
        <v>97.5</v>
      </c>
      <c r="R29" s="482">
        <f>INDEX('DEFAULT DATA'!$O$9:$S$41,START!$B$3,3)</f>
        <v>97.5</v>
      </c>
      <c r="S29" s="482">
        <f>INDEX('DEFAULT DATA'!$O$9:$S$41,START!$B$3,3)</f>
        <v>97.5</v>
      </c>
      <c r="T29" s="482">
        <f>INDEX('DEFAULT DATA'!$O$9:$S$41,START!$B$3,3)</f>
        <v>97.5</v>
      </c>
      <c r="U29" s="482">
        <f>INDEX('DEFAULT DATA'!$O$9:$S$41,START!$B$3,3)</f>
        <v>97.5</v>
      </c>
      <c r="V29" s="482">
        <f>INDEX('DEFAULT DATA'!$O$9:$S$41,START!$B$3,3)</f>
        <v>97.5</v>
      </c>
      <c r="W29" s="482">
        <f>INDEX('DEFAULT DATA'!$O$9:$S$41,START!$B$3,3)</f>
        <v>97.5</v>
      </c>
      <c r="X29" s="482">
        <f>INDEX('DEFAULT DATA'!$O$9:$S$41,START!$B$3,3)</f>
        <v>97.5</v>
      </c>
      <c r="Y29" s="482">
        <f>INDEX('DEFAULT DATA'!$O$9:$S$41,START!$B$3,3)</f>
        <v>97.5</v>
      </c>
      <c r="Z29" s="482">
        <f>INDEX('DEFAULT DATA'!$O$9:$S$41,START!$B$3,3)</f>
        <v>97.5</v>
      </c>
      <c r="AA29" s="482">
        <f>INDEX('DEFAULT DATA'!$O$9:$S$41,START!$B$3,3)</f>
        <v>97.5</v>
      </c>
      <c r="AB29" s="482">
        <f>INDEX('DEFAULT DATA'!$O$9:$S$41,START!$B$3,3)</f>
        <v>97.5</v>
      </c>
      <c r="AC29" s="482">
        <f>INDEX('DEFAULT DATA'!$O$9:$S$41,START!$B$3,3)</f>
        <v>97.5</v>
      </c>
      <c r="AD29" s="482">
        <f>INDEX('DEFAULT DATA'!$O$9:$S$41,START!$B$3,3)</f>
        <v>97.5</v>
      </c>
      <c r="AE29" s="482">
        <f>INDEX('DEFAULT DATA'!$O$9:$S$41,START!$B$3,3)</f>
        <v>97.5</v>
      </c>
      <c r="AF29" s="482">
        <f>INDEX('DEFAULT DATA'!$O$9:$S$41,START!$B$3,3)</f>
        <v>97.5</v>
      </c>
      <c r="AG29" s="482">
        <f>INDEX('DEFAULT DATA'!$O$9:$S$41,START!$B$3,3)</f>
        <v>97.5</v>
      </c>
      <c r="AH29" s="482">
        <f>INDEX('DEFAULT DATA'!$O$9:$S$41,START!$B$3,3)</f>
        <v>97.5</v>
      </c>
      <c r="AI29" s="482">
        <f>INDEX('DEFAULT DATA'!$O$9:$S$41,START!$B$3,3)</f>
        <v>97.5</v>
      </c>
      <c r="AJ29" s="482">
        <f>INDEX('DEFAULT DATA'!$O$9:$S$41,START!$B$3,3)</f>
        <v>97.5</v>
      </c>
      <c r="AK29" s="482">
        <f>INDEX('DEFAULT DATA'!$O$9:$S$41,START!$B$3,3)</f>
        <v>97.5</v>
      </c>
      <c r="AL29" s="482">
        <f>INDEX('DEFAULT DATA'!$O$9:$S$41,START!$B$3,3)</f>
        <v>97.5</v>
      </c>
      <c r="AM29" s="482">
        <f>INDEX('DEFAULT DATA'!$O$9:$S$41,START!$B$3,3)</f>
        <v>97.5</v>
      </c>
      <c r="AN29" s="482">
        <f>INDEX('DEFAULT DATA'!$O$9:$S$41,START!$B$3,3)</f>
        <v>97.5</v>
      </c>
      <c r="AO29" s="51"/>
      <c r="AP29" s="51"/>
      <c r="AQ29" s="51"/>
    </row>
    <row r="30" spans="1:43" ht="20.100000000000001" customHeight="1">
      <c r="A30" s="64"/>
      <c r="B30" s="65"/>
      <c r="C30" s="65"/>
      <c r="D30" s="65"/>
      <c r="E30" s="65"/>
      <c r="F30" s="477" t="s">
        <v>1067</v>
      </c>
      <c r="G30" s="476" t="s">
        <v>237</v>
      </c>
      <c r="H30" s="481">
        <v>551.6</v>
      </c>
      <c r="I30" s="481">
        <v>392.58931796849708</v>
      </c>
      <c r="J30" s="481">
        <v>649.0581599547935</v>
      </c>
      <c r="K30" s="499">
        <f>INDEX('DEFAULT DATA'!$O$9:$S$41,START!$B$3,4)</f>
        <v>0</v>
      </c>
      <c r="L30" s="482">
        <f>INDEX('DEFAULT DATA'!$O$9:$S$41,START!$B$3,4)</f>
        <v>0</v>
      </c>
      <c r="M30" s="482">
        <f>INDEX('DEFAULT DATA'!$O$9:$S$41,START!$B$3,4)</f>
        <v>0</v>
      </c>
      <c r="N30" s="482">
        <f>INDEX('DEFAULT DATA'!$O$9:$S$41,START!$B$3,4)</f>
        <v>0</v>
      </c>
      <c r="O30" s="482">
        <f>INDEX('DEFAULT DATA'!$O$9:$S$41,START!$B$3,4)</f>
        <v>0</v>
      </c>
      <c r="P30" s="482">
        <f>INDEX('DEFAULT DATA'!$O$9:$S$41,START!$B$3,4)</f>
        <v>0</v>
      </c>
      <c r="Q30" s="482">
        <f>INDEX('DEFAULT DATA'!$O$9:$S$41,START!$B$3,4)</f>
        <v>0</v>
      </c>
      <c r="R30" s="482">
        <f>INDEX('DEFAULT DATA'!$O$9:$S$41,START!$B$3,4)</f>
        <v>0</v>
      </c>
      <c r="S30" s="482">
        <f>INDEX('DEFAULT DATA'!$O$9:$S$41,START!$B$3,4)</f>
        <v>0</v>
      </c>
      <c r="T30" s="482">
        <f>INDEX('DEFAULT DATA'!$O$9:$S$41,START!$B$3,4)</f>
        <v>0</v>
      </c>
      <c r="U30" s="482">
        <f>INDEX('DEFAULT DATA'!$O$9:$S$41,START!$B$3,4)</f>
        <v>0</v>
      </c>
      <c r="V30" s="482">
        <f>INDEX('DEFAULT DATA'!$O$9:$S$41,START!$B$3,4)</f>
        <v>0</v>
      </c>
      <c r="W30" s="482">
        <f>INDEX('DEFAULT DATA'!$O$9:$S$41,START!$B$3,4)</f>
        <v>0</v>
      </c>
      <c r="X30" s="482">
        <f>INDEX('DEFAULT DATA'!$O$9:$S$41,START!$B$3,4)</f>
        <v>0</v>
      </c>
      <c r="Y30" s="482">
        <f>INDEX('DEFAULT DATA'!$O$9:$S$41,START!$B$3,4)</f>
        <v>0</v>
      </c>
      <c r="Z30" s="482">
        <f>INDEX('DEFAULT DATA'!$O$9:$S$41,START!$B$3,4)</f>
        <v>0</v>
      </c>
      <c r="AA30" s="482">
        <f>INDEX('DEFAULT DATA'!$O$9:$S$41,START!$B$3,4)</f>
        <v>0</v>
      </c>
      <c r="AB30" s="482">
        <f>INDEX('DEFAULT DATA'!$O$9:$S$41,START!$B$3,4)</f>
        <v>0</v>
      </c>
      <c r="AC30" s="482">
        <f>INDEX('DEFAULT DATA'!$O$9:$S$41,START!$B$3,4)</f>
        <v>0</v>
      </c>
      <c r="AD30" s="482">
        <f>INDEX('DEFAULT DATA'!$O$9:$S$41,START!$B$3,4)</f>
        <v>0</v>
      </c>
      <c r="AE30" s="482">
        <f>INDEX('DEFAULT DATA'!$O$9:$S$41,START!$B$3,4)</f>
        <v>0</v>
      </c>
      <c r="AF30" s="482">
        <f>INDEX('DEFAULT DATA'!$O$9:$S$41,START!$B$3,4)</f>
        <v>0</v>
      </c>
      <c r="AG30" s="482">
        <f>INDEX('DEFAULT DATA'!$O$9:$S$41,START!$B$3,4)</f>
        <v>0</v>
      </c>
      <c r="AH30" s="482">
        <f>INDEX('DEFAULT DATA'!$O$9:$S$41,START!$B$3,4)</f>
        <v>0</v>
      </c>
      <c r="AI30" s="482">
        <f>INDEX('DEFAULT DATA'!$O$9:$S$41,START!$B$3,4)</f>
        <v>0</v>
      </c>
      <c r="AJ30" s="482">
        <f>INDEX('DEFAULT DATA'!$O$9:$S$41,START!$B$3,4)</f>
        <v>0</v>
      </c>
      <c r="AK30" s="482">
        <f>INDEX('DEFAULT DATA'!$O$9:$S$41,START!$B$3,4)</f>
        <v>0</v>
      </c>
      <c r="AL30" s="482">
        <f>INDEX('DEFAULT DATA'!$O$9:$S$41,START!$B$3,4)</f>
        <v>0</v>
      </c>
      <c r="AM30" s="482">
        <f>INDEX('DEFAULT DATA'!$O$9:$S$41,START!$B$3,4)</f>
        <v>0</v>
      </c>
      <c r="AN30" s="482">
        <f>INDEX('DEFAULT DATA'!$O$9:$S$41,START!$B$3,4)</f>
        <v>0</v>
      </c>
      <c r="AO30" s="51"/>
      <c r="AP30" s="51"/>
      <c r="AQ30" s="51"/>
    </row>
    <row r="31" spans="1:43" ht="20.100000000000001" customHeight="1" thickBot="1">
      <c r="A31" s="64"/>
      <c r="B31" s="65"/>
      <c r="C31" s="65"/>
      <c r="D31" s="65"/>
      <c r="E31" s="65"/>
      <c r="F31" s="483" t="s">
        <v>1060</v>
      </c>
      <c r="G31" s="484" t="s">
        <v>238</v>
      </c>
      <c r="H31" s="485">
        <v>0.92799999999999994</v>
      </c>
      <c r="I31" s="486">
        <v>0.96717040125065135</v>
      </c>
      <c r="J31" s="486">
        <v>0.82209484106305364</v>
      </c>
      <c r="K31" s="500">
        <f>INDEX('DEFAULT DATA'!$O$9:$S$41,START!$B$3,5)</f>
        <v>0</v>
      </c>
      <c r="L31" s="485">
        <f>INDEX('DEFAULT DATA'!$O$9:$S$41,START!$B$3,5)</f>
        <v>0</v>
      </c>
      <c r="M31" s="485">
        <f>INDEX('DEFAULT DATA'!$O$9:$S$41,START!$B$3,5)</f>
        <v>0</v>
      </c>
      <c r="N31" s="485">
        <f>INDEX('DEFAULT DATA'!$O$9:$S$41,START!$B$3,5)</f>
        <v>0</v>
      </c>
      <c r="O31" s="500">
        <f>INDEX('DEFAULT DATA'!$O$9:$S$41,START!$B$3,5)</f>
        <v>0</v>
      </c>
      <c r="P31" s="500">
        <f>INDEX('DEFAULT DATA'!$O$9:$S$41,START!$B$3,5)</f>
        <v>0</v>
      </c>
      <c r="Q31" s="500">
        <f>INDEX('DEFAULT DATA'!$O$9:$S$41,START!$B$3,5)</f>
        <v>0</v>
      </c>
      <c r="R31" s="500">
        <f>INDEX('DEFAULT DATA'!$O$9:$S$41,START!$B$3,5)</f>
        <v>0</v>
      </c>
      <c r="S31" s="500">
        <f>INDEX('DEFAULT DATA'!$O$9:$S$41,START!$B$3,5)</f>
        <v>0</v>
      </c>
      <c r="T31" s="500">
        <v>90</v>
      </c>
      <c r="U31" s="485">
        <f>INDEX('DEFAULT DATA'!$O$9:$S$41,START!$B$3,5)</f>
        <v>0</v>
      </c>
      <c r="V31" s="485">
        <f>INDEX('DEFAULT DATA'!$O$9:$S$41,START!$B$3,5)</f>
        <v>0</v>
      </c>
      <c r="W31" s="485">
        <f>INDEX('DEFAULT DATA'!$O$9:$S$41,START!$B$3,5)</f>
        <v>0</v>
      </c>
      <c r="X31" s="485">
        <f>INDEX('DEFAULT DATA'!$O$9:$S$41,START!$B$3,5)</f>
        <v>0</v>
      </c>
      <c r="Y31" s="485">
        <f>INDEX('DEFAULT DATA'!$O$9:$S$41,START!$B$3,5)</f>
        <v>0</v>
      </c>
      <c r="Z31" s="485">
        <f>INDEX('DEFAULT DATA'!$O$9:$S$41,START!$B$3,5)</f>
        <v>0</v>
      </c>
      <c r="AA31" s="485">
        <f>INDEX('DEFAULT DATA'!$O$9:$S$41,START!$B$3,5)</f>
        <v>0</v>
      </c>
      <c r="AB31" s="485">
        <f>INDEX('DEFAULT DATA'!$O$9:$S$41,START!$B$3,5)</f>
        <v>0</v>
      </c>
      <c r="AC31" s="485">
        <f>INDEX('DEFAULT DATA'!$O$9:$S$41,START!$B$3,5)</f>
        <v>0</v>
      </c>
      <c r="AD31" s="485">
        <f>INDEX('DEFAULT DATA'!$O$9:$S$41,START!$B$3,5)</f>
        <v>0</v>
      </c>
      <c r="AE31" s="485">
        <f>INDEX('DEFAULT DATA'!$O$9:$S$41,START!$B$3,5)</f>
        <v>0</v>
      </c>
      <c r="AF31" s="485">
        <f>INDEX('DEFAULT DATA'!$O$9:$S$41,START!$B$3,5)</f>
        <v>0</v>
      </c>
      <c r="AG31" s="485">
        <f>INDEX('DEFAULT DATA'!$O$9:$S$41,START!$B$3,5)</f>
        <v>0</v>
      </c>
      <c r="AH31" s="485">
        <f>INDEX('DEFAULT DATA'!$O$9:$S$41,START!$B$3,5)</f>
        <v>0</v>
      </c>
      <c r="AI31" s="485">
        <f>INDEX('DEFAULT DATA'!$O$9:$S$41,START!$B$3,5)</f>
        <v>0</v>
      </c>
      <c r="AJ31" s="485">
        <f>INDEX('DEFAULT DATA'!$O$9:$S$41,START!$B$3,5)</f>
        <v>0</v>
      </c>
      <c r="AK31" s="485">
        <f>INDEX('DEFAULT DATA'!$O$9:$S$41,START!$B$3,5)</f>
        <v>0</v>
      </c>
      <c r="AL31" s="485">
        <f>INDEX('DEFAULT DATA'!$O$9:$S$41,START!$B$3,5)</f>
        <v>0</v>
      </c>
      <c r="AM31" s="485">
        <f>INDEX('DEFAULT DATA'!$O$9:$S$41,START!$B$3,5)</f>
        <v>0</v>
      </c>
      <c r="AN31" s="485">
        <f>INDEX('DEFAULT DATA'!$O$9:$S$41,START!$B$3,5)</f>
        <v>0</v>
      </c>
      <c r="AO31" s="51"/>
      <c r="AP31" s="51"/>
      <c r="AQ31" s="51"/>
    </row>
    <row r="32" spans="1:43" ht="20.100000000000001" customHeight="1">
      <c r="A32" s="64"/>
      <c r="B32" s="65"/>
      <c r="C32" s="65"/>
      <c r="D32" s="65"/>
      <c r="E32" s="65"/>
      <c r="F32" s="487" t="s">
        <v>1068</v>
      </c>
      <c r="G32" s="488" t="s">
        <v>1072</v>
      </c>
      <c r="H32" s="489"/>
      <c r="I32" s="489"/>
      <c r="J32" s="489"/>
      <c r="K32" s="490">
        <f>(K27/100*$H$27)+(K28/100*$H$28)+(K29/100*$H$29)+(K30/100*$H$30)+(K31/100*$H$31)</f>
        <v>368.29250000000002</v>
      </c>
      <c r="L32" s="490">
        <f t="shared" ref="L32:AN32" si="3">(L27/100*$H$27)+(L28/100*$H$28)+(L29/100*$H$29)+(L30/100*$H$30)+(L31/100*$H$31)</f>
        <v>368.29250000000002</v>
      </c>
      <c r="M32" s="490">
        <f t="shared" si="3"/>
        <v>368.29250000000002</v>
      </c>
      <c r="N32" s="490">
        <f t="shared" si="3"/>
        <v>368.29250000000002</v>
      </c>
      <c r="O32" s="490">
        <f t="shared" si="3"/>
        <v>368.29250000000002</v>
      </c>
      <c r="P32" s="490">
        <f t="shared" si="3"/>
        <v>368.29250000000002</v>
      </c>
      <c r="Q32" s="490">
        <f t="shared" si="3"/>
        <v>368.29250000000002</v>
      </c>
      <c r="R32" s="490">
        <f t="shared" si="3"/>
        <v>368.29250000000002</v>
      </c>
      <c r="S32" s="490">
        <f t="shared" si="3"/>
        <v>368.29250000000002</v>
      </c>
      <c r="T32" s="490">
        <f t="shared" si="3"/>
        <v>369.1277</v>
      </c>
      <c r="U32" s="490">
        <f t="shared" si="3"/>
        <v>368.29250000000002</v>
      </c>
      <c r="V32" s="490">
        <f t="shared" si="3"/>
        <v>368.29250000000002</v>
      </c>
      <c r="W32" s="490">
        <f t="shared" si="3"/>
        <v>368.29250000000002</v>
      </c>
      <c r="X32" s="490">
        <f t="shared" si="3"/>
        <v>368.29250000000002</v>
      </c>
      <c r="Y32" s="490">
        <f t="shared" si="3"/>
        <v>368.29250000000002</v>
      </c>
      <c r="Z32" s="490">
        <f t="shared" si="3"/>
        <v>368.29250000000002</v>
      </c>
      <c r="AA32" s="490">
        <f t="shared" si="3"/>
        <v>368.29250000000002</v>
      </c>
      <c r="AB32" s="490">
        <f t="shared" si="3"/>
        <v>368.29250000000002</v>
      </c>
      <c r="AC32" s="490">
        <f t="shared" si="3"/>
        <v>368.29250000000002</v>
      </c>
      <c r="AD32" s="490">
        <f t="shared" si="3"/>
        <v>368.29250000000002</v>
      </c>
      <c r="AE32" s="490">
        <f t="shared" si="3"/>
        <v>368.29250000000002</v>
      </c>
      <c r="AF32" s="490">
        <f t="shared" si="3"/>
        <v>368.29250000000002</v>
      </c>
      <c r="AG32" s="490">
        <f t="shared" si="3"/>
        <v>368.29250000000002</v>
      </c>
      <c r="AH32" s="490">
        <f t="shared" si="3"/>
        <v>368.29250000000002</v>
      </c>
      <c r="AI32" s="490">
        <f t="shared" si="3"/>
        <v>368.29250000000002</v>
      </c>
      <c r="AJ32" s="490">
        <f t="shared" si="3"/>
        <v>368.29250000000002</v>
      </c>
      <c r="AK32" s="490">
        <f t="shared" si="3"/>
        <v>368.29250000000002</v>
      </c>
      <c r="AL32" s="490">
        <f t="shared" si="3"/>
        <v>368.29250000000002</v>
      </c>
      <c r="AM32" s="490">
        <f t="shared" si="3"/>
        <v>368.29250000000002</v>
      </c>
      <c r="AN32" s="490">
        <f t="shared" si="3"/>
        <v>368.29250000000002</v>
      </c>
      <c r="AO32" s="51"/>
      <c r="AP32" s="51"/>
      <c r="AQ32" s="51"/>
    </row>
    <row r="33" spans="1:43" ht="20.100000000000001" customHeight="1">
      <c r="A33" s="64"/>
      <c r="B33" s="65"/>
      <c r="C33" s="65"/>
      <c r="D33" s="65"/>
      <c r="E33" s="65"/>
      <c r="F33" s="470" t="s">
        <v>1069</v>
      </c>
      <c r="G33" s="476" t="s">
        <v>1073</v>
      </c>
      <c r="H33" s="491"/>
      <c r="I33" s="492"/>
      <c r="J33" s="492"/>
      <c r="K33" s="473">
        <f>(K27/100*$I$27)+(K28/100*$I$28)+(K29/100*$I$29)+(K30/100*$I$30)+(K31/100*$I$31)</f>
        <v>262.12418670760098</v>
      </c>
      <c r="L33" s="473">
        <f t="shared" ref="L33:M33" si="4">(L27/100*$I$27)+(L28/100*$I$28)+(L29/100*$I$29)+(L30/100*$I$30)+(L31/100*$I$31)</f>
        <v>262.12418670760098</v>
      </c>
      <c r="M33" s="473">
        <f t="shared" si="4"/>
        <v>262.12418670760098</v>
      </c>
      <c r="N33" s="473">
        <f t="shared" ref="N33:AN33" si="5">(N27/100*$I$27)+(N28/100*$I$28)+(N29/100*$I$29)+(N30/100*$I$30)+(N31/100*$I$31)</f>
        <v>262.12418670760098</v>
      </c>
      <c r="O33" s="473">
        <f t="shared" si="5"/>
        <v>262.12418670760098</v>
      </c>
      <c r="P33" s="473">
        <f t="shared" si="5"/>
        <v>262.12418670760098</v>
      </c>
      <c r="Q33" s="473">
        <f t="shared" si="5"/>
        <v>262.12418670760098</v>
      </c>
      <c r="R33" s="473">
        <f t="shared" si="5"/>
        <v>262.12418670760098</v>
      </c>
      <c r="S33" s="473">
        <f t="shared" si="5"/>
        <v>262.12418670760098</v>
      </c>
      <c r="T33" s="473">
        <f t="shared" si="5"/>
        <v>262.9946400687266</v>
      </c>
      <c r="U33" s="473">
        <f t="shared" si="5"/>
        <v>262.12418670760098</v>
      </c>
      <c r="V33" s="473">
        <f t="shared" si="5"/>
        <v>262.12418670760098</v>
      </c>
      <c r="W33" s="473">
        <f t="shared" si="5"/>
        <v>262.12418670760098</v>
      </c>
      <c r="X33" s="473">
        <f t="shared" si="5"/>
        <v>262.12418670760098</v>
      </c>
      <c r="Y33" s="473">
        <f t="shared" si="5"/>
        <v>262.12418670760098</v>
      </c>
      <c r="Z33" s="473">
        <f t="shared" si="5"/>
        <v>262.12418670760098</v>
      </c>
      <c r="AA33" s="473">
        <f t="shared" si="5"/>
        <v>262.12418670760098</v>
      </c>
      <c r="AB33" s="473">
        <f t="shared" si="5"/>
        <v>262.12418670760098</v>
      </c>
      <c r="AC33" s="473">
        <f t="shared" si="5"/>
        <v>262.12418670760098</v>
      </c>
      <c r="AD33" s="473">
        <f t="shared" si="5"/>
        <v>262.12418670760098</v>
      </c>
      <c r="AE33" s="473">
        <f t="shared" si="5"/>
        <v>262.12418670760098</v>
      </c>
      <c r="AF33" s="473">
        <f t="shared" si="5"/>
        <v>262.12418670760098</v>
      </c>
      <c r="AG33" s="473">
        <f t="shared" si="5"/>
        <v>262.12418670760098</v>
      </c>
      <c r="AH33" s="473">
        <f t="shared" si="5"/>
        <v>262.12418670760098</v>
      </c>
      <c r="AI33" s="473">
        <f t="shared" si="5"/>
        <v>262.12418670760098</v>
      </c>
      <c r="AJ33" s="473">
        <f t="shared" si="5"/>
        <v>262.12418670760098</v>
      </c>
      <c r="AK33" s="473">
        <f t="shared" si="5"/>
        <v>262.12418670760098</v>
      </c>
      <c r="AL33" s="473">
        <f t="shared" si="5"/>
        <v>262.12418670760098</v>
      </c>
      <c r="AM33" s="473">
        <f t="shared" si="5"/>
        <v>262.12418670760098</v>
      </c>
      <c r="AN33" s="473">
        <f t="shared" si="5"/>
        <v>262.12418670760098</v>
      </c>
      <c r="AO33" s="51"/>
      <c r="AP33" s="51"/>
      <c r="AQ33" s="51"/>
    </row>
    <row r="34" spans="1:43" ht="20.100000000000001" customHeight="1">
      <c r="A34" s="64"/>
      <c r="B34" s="65"/>
      <c r="C34" s="65"/>
      <c r="D34" s="65"/>
      <c r="E34" s="65"/>
      <c r="F34" s="470" t="s">
        <v>1070</v>
      </c>
      <c r="G34" s="476" t="s">
        <v>1074</v>
      </c>
      <c r="H34" s="491"/>
      <c r="I34" s="492"/>
      <c r="J34" s="492"/>
      <c r="K34" s="473">
        <f>(K27/100*$J$27)+(K28/100*$J$28)+(K29/100*$J$29)+(K30/100*$J$30)+(K31/100*$J$31)</f>
        <v>433.36340169534225</v>
      </c>
      <c r="L34" s="473">
        <f t="shared" ref="L34:M34" si="6">(L27/100*$J$27)+(L28/100*$J$28)+(L29/100*$J$29)+(L30/100*$J$30)+(L31/100*$J$31)</f>
        <v>433.36340169534225</v>
      </c>
      <c r="M34" s="473">
        <f t="shared" si="6"/>
        <v>433.36340169534225</v>
      </c>
      <c r="N34" s="473">
        <f t="shared" ref="N34:AN34" si="7">(N27/100*$J$27)+(N28/100*$J$28)+(N29/100*$J$29)+(N30/100*$J$30)+(N31/100*$J$31)</f>
        <v>433.36340169534225</v>
      </c>
      <c r="O34" s="473">
        <f t="shared" si="7"/>
        <v>433.36340169534225</v>
      </c>
      <c r="P34" s="473">
        <f t="shared" si="7"/>
        <v>433.36340169534225</v>
      </c>
      <c r="Q34" s="473">
        <f t="shared" si="7"/>
        <v>433.36340169534225</v>
      </c>
      <c r="R34" s="473">
        <f t="shared" si="7"/>
        <v>433.36340169534225</v>
      </c>
      <c r="S34" s="473">
        <f t="shared" si="7"/>
        <v>433.36340169534225</v>
      </c>
      <c r="T34" s="473">
        <f t="shared" si="7"/>
        <v>434.10328705229898</v>
      </c>
      <c r="U34" s="473">
        <f t="shared" si="7"/>
        <v>433.36340169534225</v>
      </c>
      <c r="V34" s="473">
        <f t="shared" si="7"/>
        <v>433.36340169534225</v>
      </c>
      <c r="W34" s="473">
        <f t="shared" si="7"/>
        <v>433.36340169534225</v>
      </c>
      <c r="X34" s="473">
        <f t="shared" si="7"/>
        <v>433.36340169534225</v>
      </c>
      <c r="Y34" s="473">
        <f t="shared" si="7"/>
        <v>433.36340169534225</v>
      </c>
      <c r="Z34" s="473">
        <f t="shared" si="7"/>
        <v>433.36340169534225</v>
      </c>
      <c r="AA34" s="473">
        <f t="shared" si="7"/>
        <v>433.36340169534225</v>
      </c>
      <c r="AB34" s="473">
        <f t="shared" si="7"/>
        <v>433.36340169534225</v>
      </c>
      <c r="AC34" s="473">
        <f t="shared" si="7"/>
        <v>433.36340169534225</v>
      </c>
      <c r="AD34" s="473">
        <f t="shared" si="7"/>
        <v>433.36340169534225</v>
      </c>
      <c r="AE34" s="473">
        <f t="shared" si="7"/>
        <v>433.36340169534225</v>
      </c>
      <c r="AF34" s="473">
        <f t="shared" si="7"/>
        <v>433.36340169534225</v>
      </c>
      <c r="AG34" s="473">
        <f t="shared" si="7"/>
        <v>433.36340169534225</v>
      </c>
      <c r="AH34" s="473">
        <f t="shared" si="7"/>
        <v>433.36340169534225</v>
      </c>
      <c r="AI34" s="473">
        <f t="shared" si="7"/>
        <v>433.36340169534225</v>
      </c>
      <c r="AJ34" s="473">
        <f t="shared" si="7"/>
        <v>433.36340169534225</v>
      </c>
      <c r="AK34" s="473">
        <f t="shared" si="7"/>
        <v>433.36340169534225</v>
      </c>
      <c r="AL34" s="473">
        <f t="shared" si="7"/>
        <v>433.36340169534225</v>
      </c>
      <c r="AM34" s="473">
        <f t="shared" si="7"/>
        <v>433.36340169534225</v>
      </c>
      <c r="AN34" s="473">
        <f t="shared" si="7"/>
        <v>433.36340169534225</v>
      </c>
      <c r="AO34" s="51"/>
      <c r="AP34" s="51"/>
      <c r="AQ34" s="51"/>
    </row>
    <row r="35" spans="1:43" ht="20.100000000000001" customHeight="1">
      <c r="A35" s="64"/>
      <c r="B35" s="65"/>
      <c r="C35" s="65"/>
      <c r="D35" s="65"/>
      <c r="E35" s="44"/>
      <c r="K35" s="114"/>
      <c r="AO35" s="51"/>
      <c r="AP35" s="51"/>
      <c r="AQ35" s="51"/>
    </row>
    <row r="36" spans="1:43" ht="20.100000000000001" customHeight="1">
      <c r="A36" s="64"/>
      <c r="B36" s="65"/>
      <c r="C36" s="65"/>
      <c r="D36" s="65"/>
      <c r="E36" s="65"/>
      <c r="F36" s="493" t="s">
        <v>1085</v>
      </c>
      <c r="G36" s="472"/>
      <c r="H36" s="616" t="s">
        <v>1075</v>
      </c>
      <c r="I36" s="616"/>
      <c r="J36" s="494" t="s">
        <v>1087</v>
      </c>
      <c r="K36" s="472"/>
      <c r="L36" s="472"/>
      <c r="M36" s="472"/>
      <c r="N36" s="472"/>
      <c r="O36" s="472"/>
      <c r="P36" s="472"/>
      <c r="Q36" s="472"/>
      <c r="R36" s="472"/>
      <c r="S36" s="472"/>
      <c r="T36" s="472"/>
      <c r="U36" s="472"/>
      <c r="V36" s="472"/>
      <c r="W36" s="472"/>
      <c r="X36" s="472"/>
      <c r="Y36" s="472"/>
      <c r="Z36" s="472"/>
      <c r="AA36" s="472"/>
      <c r="AB36" s="472"/>
      <c r="AC36" s="472"/>
      <c r="AD36" s="472"/>
      <c r="AE36" s="472"/>
      <c r="AF36" s="472"/>
      <c r="AG36" s="472"/>
      <c r="AH36" s="472"/>
      <c r="AI36" s="472"/>
      <c r="AJ36" s="472"/>
      <c r="AK36" s="472"/>
      <c r="AL36" s="472"/>
      <c r="AM36" s="472"/>
      <c r="AN36" s="472"/>
      <c r="AO36" s="51"/>
      <c r="AP36" s="51"/>
      <c r="AQ36" s="51"/>
    </row>
    <row r="37" spans="1:43" ht="20.100000000000001" customHeight="1">
      <c r="A37" s="64"/>
      <c r="B37" s="65"/>
      <c r="C37" s="65"/>
      <c r="D37" s="65"/>
      <c r="E37" s="65"/>
      <c r="F37" s="470" t="s">
        <v>1076</v>
      </c>
      <c r="G37" s="495"/>
      <c r="H37" s="496" t="s">
        <v>1063</v>
      </c>
      <c r="I37" s="496" t="s">
        <v>1064</v>
      </c>
      <c r="J37" s="494" t="s">
        <v>1078</v>
      </c>
      <c r="K37" s="480">
        <f>K26</f>
        <v>2021</v>
      </c>
      <c r="L37" s="480">
        <f>L26</f>
        <v>2022</v>
      </c>
      <c r="M37" s="480">
        <f t="shared" ref="M37:AN37" si="8">M26</f>
        <v>2023</v>
      </c>
      <c r="N37" s="480">
        <f t="shared" si="8"/>
        <v>2024</v>
      </c>
      <c r="O37" s="480">
        <f t="shared" si="8"/>
        <v>2025</v>
      </c>
      <c r="P37" s="480">
        <f t="shared" si="8"/>
        <v>2026</v>
      </c>
      <c r="Q37" s="480">
        <f t="shared" si="8"/>
        <v>2027</v>
      </c>
      <c r="R37" s="480">
        <f t="shared" si="8"/>
        <v>2028</v>
      </c>
      <c r="S37" s="480">
        <f t="shared" si="8"/>
        <v>2029</v>
      </c>
      <c r="T37" s="480">
        <f t="shared" si="8"/>
        <v>2030</v>
      </c>
      <c r="U37" s="480">
        <f t="shared" si="8"/>
        <v>2031</v>
      </c>
      <c r="V37" s="480">
        <f t="shared" si="8"/>
        <v>2032</v>
      </c>
      <c r="W37" s="480">
        <f t="shared" si="8"/>
        <v>2033</v>
      </c>
      <c r="X37" s="480">
        <f t="shared" si="8"/>
        <v>2034</v>
      </c>
      <c r="Y37" s="480">
        <f t="shared" si="8"/>
        <v>2035</v>
      </c>
      <c r="Z37" s="480">
        <f t="shared" si="8"/>
        <v>2036</v>
      </c>
      <c r="AA37" s="480">
        <f t="shared" si="8"/>
        <v>2037</v>
      </c>
      <c r="AB37" s="480">
        <f t="shared" si="8"/>
        <v>2038</v>
      </c>
      <c r="AC37" s="480">
        <f t="shared" si="8"/>
        <v>2039</v>
      </c>
      <c r="AD37" s="480">
        <f t="shared" si="8"/>
        <v>2040</v>
      </c>
      <c r="AE37" s="480">
        <f t="shared" si="8"/>
        <v>2041</v>
      </c>
      <c r="AF37" s="480">
        <f t="shared" si="8"/>
        <v>2042</v>
      </c>
      <c r="AG37" s="480">
        <f t="shared" si="8"/>
        <v>2043</v>
      </c>
      <c r="AH37" s="480">
        <f t="shared" si="8"/>
        <v>2044</v>
      </c>
      <c r="AI37" s="480">
        <f t="shared" si="8"/>
        <v>2045</v>
      </c>
      <c r="AJ37" s="480">
        <f t="shared" si="8"/>
        <v>2046</v>
      </c>
      <c r="AK37" s="480">
        <f t="shared" si="8"/>
        <v>2047</v>
      </c>
      <c r="AL37" s="480">
        <f t="shared" si="8"/>
        <v>2048</v>
      </c>
      <c r="AM37" s="480">
        <f t="shared" si="8"/>
        <v>2049</v>
      </c>
      <c r="AN37" s="480">
        <f t="shared" si="8"/>
        <v>2050</v>
      </c>
      <c r="AO37" s="51"/>
      <c r="AP37" s="51"/>
      <c r="AQ37" s="51"/>
    </row>
    <row r="38" spans="1:43" ht="20.100000000000001" customHeight="1">
      <c r="A38" s="64"/>
      <c r="B38" s="65"/>
      <c r="C38" s="65"/>
      <c r="D38" s="65"/>
      <c r="E38" s="65"/>
      <c r="F38" s="476" t="str">
        <f>A5</f>
        <v>METROPOLITAN CENTER</v>
      </c>
      <c r="G38" s="476" t="s">
        <v>1077</v>
      </c>
      <c r="H38" s="497">
        <v>0</v>
      </c>
      <c r="I38" s="497">
        <v>100</v>
      </c>
      <c r="J38" s="498">
        <f>C5</f>
        <v>75</v>
      </c>
      <c r="K38" s="473">
        <f>($H38/100*K$33)+($I38/100*K$34)</f>
        <v>433.36340169534225</v>
      </c>
      <c r="L38" s="473">
        <f>($H38/100*L$33)+($I38/100*L$34)</f>
        <v>433.36340169534225</v>
      </c>
      <c r="M38" s="473">
        <f t="shared" ref="M38:AN42" si="9">($H38/100*M$33)+($I38/100*M$34)</f>
        <v>433.36340169534225</v>
      </c>
      <c r="N38" s="473">
        <f t="shared" si="9"/>
        <v>433.36340169534225</v>
      </c>
      <c r="O38" s="473">
        <f t="shared" si="9"/>
        <v>433.36340169534225</v>
      </c>
      <c r="P38" s="473">
        <f t="shared" si="9"/>
        <v>433.36340169534225</v>
      </c>
      <c r="Q38" s="473">
        <f t="shared" si="9"/>
        <v>433.36340169534225</v>
      </c>
      <c r="R38" s="473">
        <f t="shared" si="9"/>
        <v>433.36340169534225</v>
      </c>
      <c r="S38" s="473">
        <f t="shared" si="9"/>
        <v>433.36340169534225</v>
      </c>
      <c r="T38" s="473">
        <f t="shared" si="9"/>
        <v>434.10328705229898</v>
      </c>
      <c r="U38" s="473">
        <f t="shared" si="9"/>
        <v>433.36340169534225</v>
      </c>
      <c r="V38" s="473">
        <f t="shared" si="9"/>
        <v>433.36340169534225</v>
      </c>
      <c r="W38" s="473">
        <f t="shared" si="9"/>
        <v>433.36340169534225</v>
      </c>
      <c r="X38" s="473">
        <f t="shared" si="9"/>
        <v>433.36340169534225</v>
      </c>
      <c r="Y38" s="473">
        <f t="shared" si="9"/>
        <v>433.36340169534225</v>
      </c>
      <c r="Z38" s="473">
        <f t="shared" si="9"/>
        <v>433.36340169534225</v>
      </c>
      <c r="AA38" s="473">
        <f t="shared" si="9"/>
        <v>433.36340169534225</v>
      </c>
      <c r="AB38" s="473">
        <f t="shared" si="9"/>
        <v>433.36340169534225</v>
      </c>
      <c r="AC38" s="473">
        <f t="shared" si="9"/>
        <v>433.36340169534225</v>
      </c>
      <c r="AD38" s="473">
        <f t="shared" si="9"/>
        <v>433.36340169534225</v>
      </c>
      <c r="AE38" s="473">
        <f t="shared" si="9"/>
        <v>433.36340169534225</v>
      </c>
      <c r="AF38" s="473">
        <f t="shared" si="9"/>
        <v>433.36340169534225</v>
      </c>
      <c r="AG38" s="473">
        <f t="shared" si="9"/>
        <v>433.36340169534225</v>
      </c>
      <c r="AH38" s="473">
        <f t="shared" si="9"/>
        <v>433.36340169534225</v>
      </c>
      <c r="AI38" s="473">
        <f t="shared" si="9"/>
        <v>433.36340169534225</v>
      </c>
      <c r="AJ38" s="473">
        <f t="shared" si="9"/>
        <v>433.36340169534225</v>
      </c>
      <c r="AK38" s="473">
        <f t="shared" si="9"/>
        <v>433.36340169534225</v>
      </c>
      <c r="AL38" s="473">
        <f t="shared" si="9"/>
        <v>433.36340169534225</v>
      </c>
      <c r="AM38" s="473">
        <f t="shared" si="9"/>
        <v>433.36340169534225</v>
      </c>
      <c r="AN38" s="473">
        <f t="shared" si="9"/>
        <v>433.36340169534225</v>
      </c>
      <c r="AO38" s="51"/>
      <c r="AP38" s="51"/>
      <c r="AQ38" s="51"/>
    </row>
    <row r="39" spans="1:43" ht="20.100000000000001" customHeight="1">
      <c r="A39" s="64"/>
      <c r="B39" s="65"/>
      <c r="C39" s="65"/>
      <c r="D39" s="65"/>
      <c r="E39" s="65"/>
      <c r="F39" s="476" t="str">
        <f t="shared" ref="F39:F42" si="10">A6</f>
        <v>URBAN</v>
      </c>
      <c r="G39" s="476" t="s">
        <v>1077</v>
      </c>
      <c r="H39" s="497">
        <v>10</v>
      </c>
      <c r="I39" s="497">
        <v>90</v>
      </c>
      <c r="J39" s="498">
        <f t="shared" ref="J39:J42" si="11">C6</f>
        <v>25</v>
      </c>
      <c r="K39" s="473">
        <f t="shared" ref="K39:Z42" si="12">($H39/100*K$33)+($I39/100*K$34)</f>
        <v>416.23948019656814</v>
      </c>
      <c r="L39" s="473">
        <f t="shared" si="12"/>
        <v>416.23948019656814</v>
      </c>
      <c r="M39" s="473">
        <f t="shared" si="12"/>
        <v>416.23948019656814</v>
      </c>
      <c r="N39" s="473">
        <f t="shared" si="12"/>
        <v>416.23948019656814</v>
      </c>
      <c r="O39" s="473">
        <f t="shared" si="12"/>
        <v>416.23948019656814</v>
      </c>
      <c r="P39" s="473">
        <f t="shared" si="12"/>
        <v>416.23948019656814</v>
      </c>
      <c r="Q39" s="473">
        <f t="shared" si="12"/>
        <v>416.23948019656814</v>
      </c>
      <c r="R39" s="473">
        <f t="shared" si="12"/>
        <v>416.23948019656814</v>
      </c>
      <c r="S39" s="473">
        <f t="shared" si="12"/>
        <v>416.23948019656814</v>
      </c>
      <c r="T39" s="473">
        <f t="shared" si="12"/>
        <v>416.99242235394172</v>
      </c>
      <c r="U39" s="473">
        <f t="shared" si="12"/>
        <v>416.23948019656814</v>
      </c>
      <c r="V39" s="473">
        <f t="shared" si="12"/>
        <v>416.23948019656814</v>
      </c>
      <c r="W39" s="473">
        <f t="shared" si="12"/>
        <v>416.23948019656814</v>
      </c>
      <c r="X39" s="473">
        <f t="shared" si="12"/>
        <v>416.23948019656814</v>
      </c>
      <c r="Y39" s="473">
        <f t="shared" si="12"/>
        <v>416.23948019656814</v>
      </c>
      <c r="Z39" s="473">
        <f t="shared" si="12"/>
        <v>416.23948019656814</v>
      </c>
      <c r="AA39" s="473">
        <f t="shared" si="9"/>
        <v>416.23948019656814</v>
      </c>
      <c r="AB39" s="473">
        <f t="shared" si="9"/>
        <v>416.23948019656814</v>
      </c>
      <c r="AC39" s="473">
        <f t="shared" si="9"/>
        <v>416.23948019656814</v>
      </c>
      <c r="AD39" s="473">
        <f t="shared" si="9"/>
        <v>416.23948019656814</v>
      </c>
      <c r="AE39" s="473">
        <f t="shared" si="9"/>
        <v>416.23948019656814</v>
      </c>
      <c r="AF39" s="473">
        <f t="shared" si="9"/>
        <v>416.23948019656814</v>
      </c>
      <c r="AG39" s="473">
        <f t="shared" si="9"/>
        <v>416.23948019656814</v>
      </c>
      <c r="AH39" s="473">
        <f t="shared" si="9"/>
        <v>416.23948019656814</v>
      </c>
      <c r="AI39" s="473">
        <f t="shared" si="9"/>
        <v>416.23948019656814</v>
      </c>
      <c r="AJ39" s="473">
        <f t="shared" si="9"/>
        <v>416.23948019656814</v>
      </c>
      <c r="AK39" s="473">
        <f t="shared" si="9"/>
        <v>416.23948019656814</v>
      </c>
      <c r="AL39" s="473">
        <f t="shared" si="9"/>
        <v>416.23948019656814</v>
      </c>
      <c r="AM39" s="473">
        <f t="shared" si="9"/>
        <v>416.23948019656814</v>
      </c>
      <c r="AN39" s="473">
        <f t="shared" si="9"/>
        <v>416.23948019656814</v>
      </c>
      <c r="AO39" s="51"/>
      <c r="AP39" s="51"/>
      <c r="AQ39" s="51"/>
    </row>
    <row r="40" spans="1:43" ht="20.100000000000001" customHeight="1">
      <c r="A40" s="64"/>
      <c r="B40" s="65"/>
      <c r="C40" s="65"/>
      <c r="D40" s="65"/>
      <c r="E40" s="65"/>
      <c r="F40" s="476" t="str">
        <f t="shared" si="10"/>
        <v>SUBURBAN</v>
      </c>
      <c r="G40" s="476" t="s">
        <v>1077</v>
      </c>
      <c r="H40" s="497">
        <f>100-I40</f>
        <v>20</v>
      </c>
      <c r="I40" s="497">
        <v>80</v>
      </c>
      <c r="J40" s="498">
        <f t="shared" si="11"/>
        <v>0</v>
      </c>
      <c r="K40" s="473">
        <f t="shared" si="12"/>
        <v>399.11555869779397</v>
      </c>
      <c r="L40" s="473">
        <f t="shared" si="12"/>
        <v>399.11555869779397</v>
      </c>
      <c r="M40" s="473">
        <f t="shared" si="9"/>
        <v>399.11555869779397</v>
      </c>
      <c r="N40" s="473">
        <f t="shared" si="9"/>
        <v>399.11555869779397</v>
      </c>
      <c r="O40" s="473">
        <f t="shared" si="9"/>
        <v>399.11555869779397</v>
      </c>
      <c r="P40" s="473">
        <f t="shared" si="9"/>
        <v>399.11555869779397</v>
      </c>
      <c r="Q40" s="473">
        <f t="shared" si="9"/>
        <v>399.11555869779397</v>
      </c>
      <c r="R40" s="473">
        <f t="shared" si="9"/>
        <v>399.11555869779397</v>
      </c>
      <c r="S40" s="473">
        <f t="shared" si="9"/>
        <v>399.11555869779397</v>
      </c>
      <c r="T40" s="473">
        <f t="shared" si="9"/>
        <v>399.88155765558452</v>
      </c>
      <c r="U40" s="473">
        <f t="shared" si="9"/>
        <v>399.11555869779397</v>
      </c>
      <c r="V40" s="473">
        <f t="shared" si="9"/>
        <v>399.11555869779397</v>
      </c>
      <c r="W40" s="473">
        <f t="shared" si="9"/>
        <v>399.11555869779397</v>
      </c>
      <c r="X40" s="473">
        <f t="shared" si="9"/>
        <v>399.11555869779397</v>
      </c>
      <c r="Y40" s="473">
        <f t="shared" si="9"/>
        <v>399.11555869779397</v>
      </c>
      <c r="Z40" s="473">
        <f t="shared" si="9"/>
        <v>399.11555869779397</v>
      </c>
      <c r="AA40" s="473">
        <f t="shared" si="9"/>
        <v>399.11555869779397</v>
      </c>
      <c r="AB40" s="473">
        <f t="shared" si="9"/>
        <v>399.11555869779397</v>
      </c>
      <c r="AC40" s="473">
        <f t="shared" si="9"/>
        <v>399.11555869779397</v>
      </c>
      <c r="AD40" s="473">
        <f t="shared" si="9"/>
        <v>399.11555869779397</v>
      </c>
      <c r="AE40" s="473">
        <f t="shared" si="9"/>
        <v>399.11555869779397</v>
      </c>
      <c r="AF40" s="473">
        <f t="shared" si="9"/>
        <v>399.11555869779397</v>
      </c>
      <c r="AG40" s="473">
        <f t="shared" si="9"/>
        <v>399.11555869779397</v>
      </c>
      <c r="AH40" s="473">
        <f t="shared" si="9"/>
        <v>399.11555869779397</v>
      </c>
      <c r="AI40" s="473">
        <f t="shared" si="9"/>
        <v>399.11555869779397</v>
      </c>
      <c r="AJ40" s="473">
        <f t="shared" si="9"/>
        <v>399.11555869779397</v>
      </c>
      <c r="AK40" s="473">
        <f t="shared" si="9"/>
        <v>399.11555869779397</v>
      </c>
      <c r="AL40" s="473">
        <f t="shared" si="9"/>
        <v>399.11555869779397</v>
      </c>
      <c r="AM40" s="473">
        <f t="shared" si="9"/>
        <v>399.11555869779397</v>
      </c>
      <c r="AN40" s="473">
        <f t="shared" si="9"/>
        <v>399.11555869779397</v>
      </c>
      <c r="AO40" s="51"/>
      <c r="AP40" s="51"/>
      <c r="AQ40" s="51"/>
    </row>
    <row r="41" spans="1:43" ht="20.100000000000001" customHeight="1">
      <c r="A41" s="64"/>
      <c r="B41" s="65"/>
      <c r="C41" s="65"/>
      <c r="D41" s="65"/>
      <c r="E41" s="65"/>
      <c r="F41" s="476" t="str">
        <f t="shared" si="10"/>
        <v>TOWN</v>
      </c>
      <c r="G41" s="476" t="s">
        <v>1077</v>
      </c>
      <c r="H41" s="497">
        <f>100-I41</f>
        <v>70</v>
      </c>
      <c r="I41" s="497">
        <v>30</v>
      </c>
      <c r="J41" s="498">
        <f t="shared" si="11"/>
        <v>0</v>
      </c>
      <c r="K41" s="473">
        <f t="shared" si="12"/>
        <v>313.49595120392337</v>
      </c>
      <c r="L41" s="473">
        <f t="shared" si="12"/>
        <v>313.49595120392337</v>
      </c>
      <c r="M41" s="473">
        <f t="shared" si="9"/>
        <v>313.49595120392337</v>
      </c>
      <c r="N41" s="473">
        <f t="shared" si="9"/>
        <v>313.49595120392337</v>
      </c>
      <c r="O41" s="473">
        <f t="shared" si="9"/>
        <v>313.49595120392337</v>
      </c>
      <c r="P41" s="473">
        <f t="shared" si="9"/>
        <v>313.49595120392337</v>
      </c>
      <c r="Q41" s="473">
        <f t="shared" si="9"/>
        <v>313.49595120392337</v>
      </c>
      <c r="R41" s="473">
        <f t="shared" si="9"/>
        <v>313.49595120392337</v>
      </c>
      <c r="S41" s="473">
        <f t="shared" si="9"/>
        <v>313.49595120392337</v>
      </c>
      <c r="T41" s="473">
        <f t="shared" si="9"/>
        <v>314.32723416379827</v>
      </c>
      <c r="U41" s="473">
        <f t="shared" si="9"/>
        <v>313.49595120392337</v>
      </c>
      <c r="V41" s="473">
        <f t="shared" si="9"/>
        <v>313.49595120392337</v>
      </c>
      <c r="W41" s="473">
        <f t="shared" si="9"/>
        <v>313.49595120392337</v>
      </c>
      <c r="X41" s="473">
        <f t="shared" si="9"/>
        <v>313.49595120392337</v>
      </c>
      <c r="Y41" s="473">
        <f t="shared" si="9"/>
        <v>313.49595120392337</v>
      </c>
      <c r="Z41" s="473">
        <f t="shared" si="9"/>
        <v>313.49595120392337</v>
      </c>
      <c r="AA41" s="473">
        <f t="shared" si="9"/>
        <v>313.49595120392337</v>
      </c>
      <c r="AB41" s="473">
        <f t="shared" si="9"/>
        <v>313.49595120392337</v>
      </c>
      <c r="AC41" s="473">
        <f t="shared" si="9"/>
        <v>313.49595120392337</v>
      </c>
      <c r="AD41" s="473">
        <f t="shared" si="9"/>
        <v>313.49595120392337</v>
      </c>
      <c r="AE41" s="473">
        <f t="shared" si="9"/>
        <v>313.49595120392337</v>
      </c>
      <c r="AF41" s="473">
        <f t="shared" si="9"/>
        <v>313.49595120392337</v>
      </c>
      <c r="AG41" s="473">
        <f t="shared" si="9"/>
        <v>313.49595120392337</v>
      </c>
      <c r="AH41" s="473">
        <f t="shared" si="9"/>
        <v>313.49595120392337</v>
      </c>
      <c r="AI41" s="473">
        <f t="shared" si="9"/>
        <v>313.49595120392337</v>
      </c>
      <c r="AJ41" s="473">
        <f t="shared" si="9"/>
        <v>313.49595120392337</v>
      </c>
      <c r="AK41" s="473">
        <f t="shared" si="9"/>
        <v>313.49595120392337</v>
      </c>
      <c r="AL41" s="473">
        <f t="shared" si="9"/>
        <v>313.49595120392337</v>
      </c>
      <c r="AM41" s="473">
        <f t="shared" si="9"/>
        <v>313.49595120392337</v>
      </c>
      <c r="AN41" s="473">
        <f t="shared" si="9"/>
        <v>313.49595120392337</v>
      </c>
      <c r="AO41" s="51"/>
      <c r="AP41" s="51"/>
      <c r="AQ41" s="51"/>
    </row>
    <row r="42" spans="1:43" ht="20.100000000000001" customHeight="1">
      <c r="A42" s="64"/>
      <c r="B42" s="65"/>
      <c r="C42" s="65"/>
      <c r="D42" s="65"/>
      <c r="E42" s="65"/>
      <c r="F42" s="476" t="str">
        <f t="shared" si="10"/>
        <v>RURAL</v>
      </c>
      <c r="G42" s="476" t="s">
        <v>1077</v>
      </c>
      <c r="H42" s="497">
        <f>100-I42</f>
        <v>100</v>
      </c>
      <c r="I42" s="497">
        <v>0</v>
      </c>
      <c r="J42" s="498">
        <f t="shared" si="11"/>
        <v>0</v>
      </c>
      <c r="K42" s="473">
        <f t="shared" si="12"/>
        <v>262.12418670760098</v>
      </c>
      <c r="L42" s="473">
        <f t="shared" si="12"/>
        <v>262.12418670760098</v>
      </c>
      <c r="M42" s="473">
        <f t="shared" si="9"/>
        <v>262.12418670760098</v>
      </c>
      <c r="N42" s="473">
        <f t="shared" si="9"/>
        <v>262.12418670760098</v>
      </c>
      <c r="O42" s="473">
        <f t="shared" si="9"/>
        <v>262.12418670760098</v>
      </c>
      <c r="P42" s="473">
        <f t="shared" si="9"/>
        <v>262.12418670760098</v>
      </c>
      <c r="Q42" s="473">
        <f t="shared" si="9"/>
        <v>262.12418670760098</v>
      </c>
      <c r="R42" s="473">
        <f t="shared" si="9"/>
        <v>262.12418670760098</v>
      </c>
      <c r="S42" s="473">
        <f t="shared" si="9"/>
        <v>262.12418670760098</v>
      </c>
      <c r="T42" s="473">
        <f t="shared" si="9"/>
        <v>262.9946400687266</v>
      </c>
      <c r="U42" s="473">
        <f t="shared" si="9"/>
        <v>262.12418670760098</v>
      </c>
      <c r="V42" s="473">
        <f t="shared" si="9"/>
        <v>262.12418670760098</v>
      </c>
      <c r="W42" s="473">
        <f t="shared" si="9"/>
        <v>262.12418670760098</v>
      </c>
      <c r="X42" s="473">
        <f t="shared" si="9"/>
        <v>262.12418670760098</v>
      </c>
      <c r="Y42" s="473">
        <f t="shared" si="9"/>
        <v>262.12418670760098</v>
      </c>
      <c r="Z42" s="473">
        <f t="shared" si="9"/>
        <v>262.12418670760098</v>
      </c>
      <c r="AA42" s="473">
        <f t="shared" si="9"/>
        <v>262.12418670760098</v>
      </c>
      <c r="AB42" s="473">
        <f t="shared" si="9"/>
        <v>262.12418670760098</v>
      </c>
      <c r="AC42" s="473">
        <f t="shared" si="9"/>
        <v>262.12418670760098</v>
      </c>
      <c r="AD42" s="473">
        <f t="shared" si="9"/>
        <v>262.12418670760098</v>
      </c>
      <c r="AE42" s="473">
        <f t="shared" si="9"/>
        <v>262.12418670760098</v>
      </c>
      <c r="AF42" s="473">
        <f t="shared" si="9"/>
        <v>262.12418670760098</v>
      </c>
      <c r="AG42" s="473">
        <f t="shared" si="9"/>
        <v>262.12418670760098</v>
      </c>
      <c r="AH42" s="473">
        <f t="shared" si="9"/>
        <v>262.12418670760098</v>
      </c>
      <c r="AI42" s="473">
        <f t="shared" si="9"/>
        <v>262.12418670760098</v>
      </c>
      <c r="AJ42" s="473">
        <f t="shared" si="9"/>
        <v>262.12418670760098</v>
      </c>
      <c r="AK42" s="473">
        <f t="shared" si="9"/>
        <v>262.12418670760098</v>
      </c>
      <c r="AL42" s="473">
        <f t="shared" si="9"/>
        <v>262.12418670760098</v>
      </c>
      <c r="AM42" s="473">
        <f t="shared" si="9"/>
        <v>262.12418670760098</v>
      </c>
      <c r="AN42" s="473">
        <f t="shared" si="9"/>
        <v>262.12418670760098</v>
      </c>
      <c r="AO42" s="51"/>
      <c r="AP42" s="51"/>
      <c r="AQ42" s="51"/>
    </row>
    <row r="43" spans="1:43" ht="20.100000000000001" customHeight="1">
      <c r="A43" s="64"/>
      <c r="B43" s="65"/>
      <c r="C43" s="65"/>
      <c r="D43" s="65"/>
      <c r="E43" s="65"/>
      <c r="F43" s="470" t="s">
        <v>1079</v>
      </c>
      <c r="G43" s="471"/>
      <c r="H43" s="471"/>
      <c r="I43" s="471"/>
      <c r="J43" s="472"/>
      <c r="K43" s="473">
        <f>($J$38/100*K38)+($J$39/100*K39)+($J$40/100*K40)+($J$41/100*K41)+($J$42/100*K42)</f>
        <v>429.08242132064873</v>
      </c>
      <c r="L43" s="473">
        <f>($J$38/100*L38)+($J$39/100*L39)+($J$40/100*L40)+($J$41/100*L41)+($J$42/100*L42)</f>
        <v>429.08242132064873</v>
      </c>
      <c r="M43" s="473">
        <f t="shared" ref="M43:AN43" si="13">($J$38/100*M38)+($J$39/100*M39)+($J$40/100*M40)+($J$41/100*M41)+($J$42/100*M42)</f>
        <v>429.08242132064873</v>
      </c>
      <c r="N43" s="473">
        <f t="shared" si="13"/>
        <v>429.08242132064873</v>
      </c>
      <c r="O43" s="473">
        <f t="shared" si="13"/>
        <v>429.08242132064873</v>
      </c>
      <c r="P43" s="473">
        <f t="shared" si="13"/>
        <v>429.08242132064873</v>
      </c>
      <c r="Q43" s="473">
        <f t="shared" si="13"/>
        <v>429.08242132064873</v>
      </c>
      <c r="R43" s="473">
        <f t="shared" si="13"/>
        <v>429.08242132064873</v>
      </c>
      <c r="S43" s="473">
        <f t="shared" si="13"/>
        <v>429.08242132064873</v>
      </c>
      <c r="T43" s="473">
        <f t="shared" si="13"/>
        <v>429.82557087770965</v>
      </c>
      <c r="U43" s="473">
        <f t="shared" si="13"/>
        <v>429.08242132064873</v>
      </c>
      <c r="V43" s="473">
        <f t="shared" si="13"/>
        <v>429.08242132064873</v>
      </c>
      <c r="W43" s="473">
        <f t="shared" si="13"/>
        <v>429.08242132064873</v>
      </c>
      <c r="X43" s="473">
        <f t="shared" si="13"/>
        <v>429.08242132064873</v>
      </c>
      <c r="Y43" s="473">
        <f t="shared" si="13"/>
        <v>429.08242132064873</v>
      </c>
      <c r="Z43" s="473">
        <f t="shared" si="13"/>
        <v>429.08242132064873</v>
      </c>
      <c r="AA43" s="473">
        <f t="shared" si="13"/>
        <v>429.08242132064873</v>
      </c>
      <c r="AB43" s="473">
        <f t="shared" si="13"/>
        <v>429.08242132064873</v>
      </c>
      <c r="AC43" s="473">
        <f t="shared" si="13"/>
        <v>429.08242132064873</v>
      </c>
      <c r="AD43" s="473">
        <f t="shared" si="13"/>
        <v>429.08242132064873</v>
      </c>
      <c r="AE43" s="473">
        <f t="shared" si="13"/>
        <v>429.08242132064873</v>
      </c>
      <c r="AF43" s="473">
        <f t="shared" si="13"/>
        <v>429.08242132064873</v>
      </c>
      <c r="AG43" s="473">
        <f t="shared" si="13"/>
        <v>429.08242132064873</v>
      </c>
      <c r="AH43" s="473">
        <f t="shared" si="13"/>
        <v>429.08242132064873</v>
      </c>
      <c r="AI43" s="473">
        <f t="shared" si="13"/>
        <v>429.08242132064873</v>
      </c>
      <c r="AJ43" s="473">
        <f t="shared" si="13"/>
        <v>429.08242132064873</v>
      </c>
      <c r="AK43" s="473">
        <f t="shared" si="13"/>
        <v>429.08242132064873</v>
      </c>
      <c r="AL43" s="473">
        <f t="shared" si="13"/>
        <v>429.08242132064873</v>
      </c>
      <c r="AM43" s="473">
        <f t="shared" si="13"/>
        <v>429.08242132064873</v>
      </c>
      <c r="AN43" s="473">
        <f t="shared" si="13"/>
        <v>429.08242132064873</v>
      </c>
      <c r="AO43" s="51"/>
      <c r="AP43" s="51"/>
      <c r="AQ43" s="51"/>
    </row>
    <row r="44" spans="1:43" ht="20.100000000000001" customHeight="1">
      <c r="A44" s="64"/>
      <c r="B44" s="65"/>
      <c r="C44" s="65"/>
      <c r="D44" s="65"/>
      <c r="E44" s="44"/>
      <c r="F44"/>
      <c r="G44"/>
      <c r="H44"/>
      <c r="I44"/>
      <c r="J44" s="72"/>
      <c r="K44" s="51"/>
      <c r="L44" s="73"/>
      <c r="M44" s="73"/>
      <c r="N44" s="73"/>
      <c r="O44" s="73"/>
      <c r="P44" s="73"/>
      <c r="Q44" s="73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</row>
    <row r="45" spans="1:43" ht="20.100000000000001" customHeight="1">
      <c r="A45" s="64"/>
      <c r="B45" s="65"/>
      <c r="C45" s="65"/>
      <c r="D45" s="65"/>
      <c r="E45" s="44"/>
      <c r="F45" s="456"/>
      <c r="G45" s="458"/>
      <c r="H45" s="457"/>
      <c r="I45" s="459"/>
      <c r="J45" s="72"/>
      <c r="K45" s="51"/>
      <c r="L45" s="73"/>
      <c r="M45" s="73"/>
      <c r="N45" s="73"/>
      <c r="O45" s="73"/>
      <c r="P45" s="73"/>
      <c r="Q45" s="73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</row>
    <row r="46" spans="1:43" ht="20.100000000000001" customHeight="1">
      <c r="A46" s="64"/>
      <c r="B46" s="65"/>
      <c r="C46" s="65"/>
      <c r="D46" s="65"/>
      <c r="E46" s="44"/>
      <c r="F46" s="71"/>
      <c r="G46" s="72"/>
      <c r="H46" s="72"/>
      <c r="I46" s="72"/>
      <c r="J46" s="72"/>
      <c r="K46" s="51"/>
      <c r="L46" s="73"/>
      <c r="M46" s="73"/>
      <c r="N46" s="73"/>
      <c r="O46" s="73"/>
      <c r="P46" s="73"/>
      <c r="Q46" s="73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</row>
    <row r="47" spans="1:43" ht="20.100000000000001" customHeight="1">
      <c r="A47" s="64"/>
      <c r="B47" s="65"/>
      <c r="C47" s="65"/>
      <c r="D47" s="65"/>
      <c r="E47" s="44"/>
      <c r="F47" s="71"/>
      <c r="G47" s="72"/>
      <c r="H47" s="72"/>
      <c r="I47" s="72"/>
      <c r="J47" s="72"/>
      <c r="K47" s="51"/>
      <c r="L47" s="73"/>
      <c r="M47" s="73"/>
      <c r="N47" s="73"/>
      <c r="O47" s="73"/>
      <c r="P47" s="73"/>
      <c r="Q47" s="73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</row>
    <row r="48" spans="1:43" ht="20.100000000000001" customHeight="1">
      <c r="A48" s="64"/>
      <c r="B48" s="65"/>
      <c r="C48" s="65"/>
      <c r="D48" s="65"/>
      <c r="E48" s="44"/>
      <c r="F48" s="71"/>
      <c r="G48" s="72"/>
      <c r="H48" s="72"/>
      <c r="I48" s="72"/>
      <c r="J48" s="72"/>
      <c r="K48" s="51"/>
      <c r="L48" s="73"/>
      <c r="M48" s="73"/>
      <c r="N48" s="73"/>
      <c r="O48" s="73"/>
      <c r="P48" s="73"/>
      <c r="Q48" s="73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</row>
    <row r="49" spans="1:43" ht="20.100000000000001" customHeight="1">
      <c r="A49" s="64"/>
      <c r="B49" s="65"/>
      <c r="C49" s="65"/>
      <c r="D49" s="65"/>
      <c r="E49" s="44"/>
      <c r="F49" s="71"/>
      <c r="G49" s="72"/>
      <c r="H49" s="72"/>
      <c r="I49" s="72"/>
      <c r="J49" s="72"/>
      <c r="K49" s="51"/>
      <c r="L49" s="73"/>
      <c r="M49" s="73"/>
      <c r="N49" s="73"/>
      <c r="O49" s="73"/>
      <c r="P49" s="73"/>
      <c r="Q49" s="73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</row>
    <row r="50" spans="1:43" ht="20.100000000000001" customHeight="1">
      <c r="A50" s="64"/>
      <c r="B50" s="65"/>
      <c r="C50" s="65"/>
      <c r="D50" s="65"/>
      <c r="E50" s="44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51"/>
      <c r="AP50" s="51"/>
      <c r="AQ50" s="51"/>
    </row>
    <row r="51" spans="1:43" ht="20.100000000000001" customHeight="1">
      <c r="A51" s="64"/>
      <c r="B51" s="65"/>
      <c r="C51" s="65"/>
      <c r="D51" s="65"/>
      <c r="E51" s="44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51"/>
      <c r="AP51" s="51"/>
      <c r="AQ51" s="51"/>
    </row>
    <row r="52" spans="1:43" ht="20.100000000000001" customHeight="1">
      <c r="A52" s="64"/>
      <c r="B52" s="65"/>
      <c r="C52" s="65"/>
      <c r="D52" s="65"/>
      <c r="E52" s="4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51"/>
      <c r="AP52" s="51"/>
      <c r="AQ52" s="51"/>
    </row>
    <row r="53" spans="1:43" ht="20.100000000000001" customHeight="1">
      <c r="A53" s="64"/>
      <c r="B53" s="65"/>
      <c r="C53" s="65"/>
      <c r="D53" s="65"/>
      <c r="E53" s="44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51"/>
      <c r="AP53" s="51"/>
      <c r="AQ53" s="51"/>
    </row>
    <row r="54" spans="1:43" ht="20.100000000000001" customHeight="1">
      <c r="A54" s="64"/>
      <c r="B54" s="65"/>
      <c r="C54" s="65"/>
      <c r="D54" s="65"/>
      <c r="E54" s="4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51"/>
      <c r="AP54" s="51"/>
      <c r="AQ54" s="51"/>
    </row>
    <row r="55" spans="1:43" ht="20.100000000000001" customHeight="1">
      <c r="A55" s="64"/>
      <c r="B55" s="65"/>
      <c r="C55" s="65"/>
      <c r="D55" s="65"/>
      <c r="E55" s="44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51"/>
      <c r="AP55" s="51"/>
      <c r="AQ55" s="51"/>
    </row>
    <row r="56" spans="1:43" ht="20.100000000000001" customHeight="1">
      <c r="A56" s="64"/>
      <c r="B56" s="65"/>
      <c r="C56" s="65"/>
      <c r="D56" s="65"/>
      <c r="E56" s="44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51"/>
      <c r="AP56" s="51"/>
      <c r="AQ56" s="51"/>
    </row>
    <row r="57" spans="1:43" ht="20.100000000000001" customHeight="1">
      <c r="A57" s="64"/>
      <c r="B57" s="65"/>
      <c r="C57" s="65"/>
      <c r="D57" s="65"/>
      <c r="E57" s="44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51"/>
      <c r="AP57" s="51"/>
      <c r="AQ57" s="51"/>
    </row>
    <row r="58" spans="1:43" ht="20.100000000000001" customHeight="1">
      <c r="A58" s="64"/>
      <c r="B58" s="65"/>
      <c r="C58" s="65"/>
      <c r="D58" s="65"/>
      <c r="E58" s="44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51"/>
      <c r="AP58" s="51"/>
      <c r="AQ58" s="51"/>
    </row>
    <row r="59" spans="1:43" ht="20.100000000000001" customHeight="1">
      <c r="A59" s="64"/>
      <c r="B59" s="65"/>
      <c r="C59" s="65"/>
      <c r="D59" s="65"/>
      <c r="E59" s="44"/>
      <c r="F59" s="71"/>
      <c r="G59" s="72"/>
      <c r="H59" s="72"/>
      <c r="I59" s="72"/>
      <c r="J59" s="72"/>
      <c r="K59" s="51"/>
      <c r="L59" s="73"/>
      <c r="M59" s="73"/>
      <c r="N59" s="73"/>
      <c r="O59" s="73"/>
      <c r="P59" s="73"/>
      <c r="Q59" s="73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51"/>
      <c r="AF59" s="51"/>
      <c r="AG59" s="51"/>
      <c r="AH59" s="51"/>
      <c r="AI59" s="51"/>
      <c r="AJ59" s="51"/>
      <c r="AK59" s="51"/>
      <c r="AL59" s="51"/>
      <c r="AM59" s="51"/>
      <c r="AN59" s="51"/>
      <c r="AO59" s="51"/>
      <c r="AP59" s="51"/>
      <c r="AQ59" s="51"/>
    </row>
    <row r="60" spans="1:43" ht="20.100000000000001" customHeight="1">
      <c r="A60" s="64"/>
      <c r="B60" s="65"/>
      <c r="C60" s="65"/>
      <c r="D60" s="65"/>
      <c r="E60" s="44"/>
      <c r="F60" s="71"/>
      <c r="G60" s="72"/>
      <c r="H60" s="72"/>
      <c r="I60" s="72"/>
      <c r="J60" s="72"/>
      <c r="K60" s="51"/>
      <c r="L60" s="73"/>
      <c r="M60" s="73"/>
      <c r="N60" s="73"/>
      <c r="O60" s="73"/>
      <c r="P60" s="73"/>
      <c r="Q60" s="73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1"/>
      <c r="AE60" s="51"/>
      <c r="AF60" s="51"/>
      <c r="AG60" s="51"/>
      <c r="AH60" s="51"/>
      <c r="AI60" s="51"/>
      <c r="AJ60" s="51"/>
      <c r="AK60" s="51"/>
      <c r="AL60" s="51"/>
      <c r="AM60" s="51"/>
      <c r="AN60" s="51"/>
      <c r="AO60" s="51"/>
      <c r="AP60" s="51"/>
      <c r="AQ60" s="51"/>
    </row>
    <row r="61" spans="1:43" ht="20.100000000000001" customHeight="1">
      <c r="A61" s="64"/>
      <c r="B61" s="65"/>
      <c r="C61" s="65"/>
      <c r="D61" s="65"/>
      <c r="E61" s="44"/>
      <c r="F61" s="71"/>
      <c r="G61" s="72"/>
      <c r="H61" s="72"/>
      <c r="I61" s="72"/>
      <c r="J61" s="72"/>
      <c r="K61" s="51"/>
      <c r="L61" s="73"/>
      <c r="M61" s="73"/>
      <c r="N61" s="73"/>
      <c r="O61" s="73"/>
      <c r="P61" s="73"/>
      <c r="Q61" s="73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</row>
    <row r="62" spans="1:43" ht="20.100000000000001" customHeight="1">
      <c r="A62" s="64"/>
      <c r="B62" s="65"/>
      <c r="C62" s="65"/>
      <c r="D62" s="65"/>
      <c r="E62" s="44"/>
      <c r="F62" s="71"/>
      <c r="G62" s="72"/>
      <c r="H62" s="72"/>
      <c r="I62" s="72"/>
      <c r="J62" s="72"/>
      <c r="K62" s="51"/>
      <c r="L62" s="73"/>
      <c r="M62" s="73"/>
      <c r="N62" s="73"/>
      <c r="O62" s="73"/>
      <c r="P62" s="73"/>
      <c r="Q62" s="73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1"/>
      <c r="AE62" s="51"/>
      <c r="AF62" s="51"/>
      <c r="AG62" s="51"/>
      <c r="AH62" s="51"/>
      <c r="AI62" s="51"/>
      <c r="AJ62" s="51"/>
      <c r="AK62" s="51"/>
      <c r="AL62" s="51"/>
      <c r="AM62" s="51"/>
      <c r="AN62" s="51"/>
      <c r="AO62" s="51"/>
      <c r="AP62" s="51"/>
      <c r="AQ62" s="51"/>
    </row>
    <row r="63" spans="1:43" ht="20.100000000000001" customHeight="1">
      <c r="A63" s="64"/>
      <c r="B63" s="65"/>
      <c r="C63" s="65"/>
      <c r="D63" s="65"/>
      <c r="E63" s="44"/>
      <c r="F63" s="71"/>
      <c r="G63" s="72"/>
      <c r="H63" s="72"/>
      <c r="I63" s="72"/>
      <c r="J63" s="72"/>
      <c r="K63" s="51"/>
      <c r="L63" s="73"/>
      <c r="M63" s="73"/>
      <c r="N63" s="73"/>
      <c r="O63" s="73"/>
      <c r="P63" s="73"/>
      <c r="Q63" s="73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</row>
    <row r="64" spans="1:43" ht="20.100000000000001" customHeight="1">
      <c r="A64" s="64"/>
      <c r="B64" s="65"/>
      <c r="C64" s="65"/>
      <c r="D64" s="65"/>
      <c r="E64" s="44"/>
      <c r="F64" s="71"/>
      <c r="G64" s="72"/>
      <c r="H64" s="72"/>
      <c r="I64" s="72"/>
      <c r="J64" s="72"/>
      <c r="K64" s="51"/>
      <c r="L64" s="73"/>
      <c r="M64" s="73"/>
      <c r="N64" s="73"/>
      <c r="O64" s="73"/>
      <c r="P64" s="73"/>
      <c r="Q64" s="73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  <c r="AN64" s="51"/>
      <c r="AO64" s="51"/>
      <c r="AP64" s="51"/>
      <c r="AQ64" s="51"/>
    </row>
    <row r="65" spans="1:43" ht="20.100000000000001" customHeight="1">
      <c r="A65" s="64"/>
      <c r="B65" s="65"/>
      <c r="C65" s="65"/>
      <c r="D65" s="65"/>
      <c r="E65" s="44"/>
      <c r="F65" s="71"/>
      <c r="G65" s="72"/>
      <c r="H65" s="72"/>
      <c r="I65" s="72"/>
      <c r="J65" s="72"/>
      <c r="K65" s="51"/>
      <c r="L65" s="73"/>
      <c r="M65" s="73"/>
      <c r="N65" s="73"/>
      <c r="O65" s="73"/>
      <c r="P65" s="73"/>
      <c r="Q65" s="73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</row>
    <row r="66" spans="1:43" ht="20.100000000000001" customHeight="1">
      <c r="A66" s="64"/>
      <c r="B66" s="65"/>
      <c r="C66" s="65"/>
      <c r="D66" s="65"/>
      <c r="E66" s="44"/>
      <c r="F66" s="71"/>
      <c r="G66" s="72"/>
      <c r="H66" s="72"/>
      <c r="I66" s="72"/>
      <c r="J66" s="72"/>
      <c r="K66" s="51"/>
      <c r="L66" s="73"/>
      <c r="M66" s="73"/>
      <c r="N66" s="73"/>
      <c r="O66" s="73"/>
      <c r="P66" s="73"/>
      <c r="Q66" s="73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</row>
    <row r="67" spans="1:43" ht="20.100000000000001" customHeight="1">
      <c r="A67" s="64"/>
      <c r="B67" s="65"/>
      <c r="C67" s="65"/>
      <c r="D67" s="65"/>
      <c r="E67" s="44"/>
      <c r="F67" s="71"/>
      <c r="G67" s="72"/>
      <c r="H67" s="72"/>
      <c r="I67" s="72"/>
      <c r="J67" s="72"/>
      <c r="K67" s="51"/>
      <c r="L67" s="73"/>
      <c r="M67" s="73"/>
      <c r="N67" s="73"/>
      <c r="O67" s="73"/>
      <c r="P67" s="73"/>
      <c r="Q67" s="73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51"/>
      <c r="AG67" s="51"/>
      <c r="AH67" s="51"/>
      <c r="AI67" s="51"/>
      <c r="AJ67" s="51"/>
      <c r="AK67" s="51"/>
      <c r="AL67" s="51"/>
      <c r="AM67" s="51"/>
      <c r="AN67" s="51"/>
      <c r="AO67" s="51"/>
      <c r="AP67" s="51"/>
      <c r="AQ67" s="51"/>
    </row>
    <row r="68" spans="1:43" ht="20.100000000000001" customHeight="1">
      <c r="A68" s="64"/>
      <c r="B68" s="65"/>
      <c r="C68" s="65"/>
      <c r="D68" s="65"/>
      <c r="E68" s="44"/>
      <c r="F68" s="71"/>
      <c r="G68" s="72"/>
      <c r="H68" s="72"/>
      <c r="I68" s="72"/>
      <c r="J68" s="72"/>
      <c r="K68" s="51"/>
      <c r="L68" s="73"/>
      <c r="M68" s="73"/>
      <c r="N68" s="73"/>
      <c r="O68" s="73"/>
      <c r="P68" s="73"/>
      <c r="Q68" s="73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</row>
    <row r="69" spans="1:43" ht="20.100000000000001" customHeight="1">
      <c r="A69" s="64"/>
      <c r="B69" s="65"/>
      <c r="C69" s="65"/>
      <c r="D69" s="65"/>
      <c r="E69" s="44"/>
      <c r="F69" s="71"/>
      <c r="G69" s="72"/>
      <c r="H69" s="72"/>
      <c r="I69" s="72"/>
      <c r="J69" s="72"/>
      <c r="K69" s="51"/>
      <c r="L69" s="73"/>
      <c r="M69" s="73"/>
      <c r="N69" s="73"/>
      <c r="O69" s="73"/>
      <c r="P69" s="73"/>
      <c r="Q69" s="73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  <c r="AE69" s="51"/>
      <c r="AF69" s="51"/>
      <c r="AG69" s="51"/>
      <c r="AH69" s="51"/>
      <c r="AI69" s="51"/>
      <c r="AJ69" s="51"/>
      <c r="AK69" s="51"/>
      <c r="AL69" s="51"/>
      <c r="AM69" s="51"/>
      <c r="AN69" s="51"/>
      <c r="AO69" s="51"/>
      <c r="AP69" s="51"/>
      <c r="AQ69" s="51"/>
    </row>
    <row r="70" spans="1:43" ht="20.100000000000001" customHeight="1">
      <c r="A70" s="64"/>
      <c r="B70" s="65"/>
      <c r="C70" s="65"/>
      <c r="D70" s="65"/>
      <c r="E70" s="44"/>
      <c r="F70" s="71"/>
      <c r="G70" s="72"/>
      <c r="H70" s="72"/>
      <c r="I70" s="72"/>
      <c r="J70" s="72"/>
      <c r="K70" s="51"/>
      <c r="L70" s="73"/>
      <c r="M70" s="73"/>
      <c r="N70" s="73"/>
      <c r="O70" s="73"/>
      <c r="P70" s="73"/>
      <c r="Q70" s="73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  <c r="AE70" s="51"/>
      <c r="AF70" s="51"/>
      <c r="AG70" s="51"/>
      <c r="AH70" s="51"/>
      <c r="AI70" s="51"/>
      <c r="AJ70" s="51"/>
      <c r="AK70" s="51"/>
      <c r="AL70" s="51"/>
      <c r="AM70" s="51"/>
      <c r="AN70" s="51"/>
      <c r="AO70" s="51"/>
      <c r="AP70" s="51"/>
      <c r="AQ70" s="51"/>
    </row>
    <row r="71" spans="1:43" ht="20.100000000000001" customHeight="1" thickBot="1">
      <c r="A71" s="74"/>
      <c r="B71" s="75"/>
      <c r="C71" s="75"/>
      <c r="D71" s="75"/>
      <c r="E71" s="76"/>
      <c r="F71" s="71"/>
      <c r="G71" s="72"/>
      <c r="H71" s="72"/>
      <c r="I71" s="72"/>
      <c r="J71" s="72"/>
      <c r="K71" s="51"/>
      <c r="L71" s="73"/>
      <c r="M71" s="73"/>
      <c r="N71" s="73"/>
      <c r="O71" s="73"/>
      <c r="P71" s="73"/>
      <c r="Q71" s="73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  <c r="AE71" s="51"/>
      <c r="AF71" s="51"/>
      <c r="AG71" s="51"/>
      <c r="AH71" s="51"/>
      <c r="AI71" s="51"/>
      <c r="AJ71" s="51"/>
      <c r="AK71" s="51"/>
      <c r="AL71" s="51"/>
      <c r="AM71" s="51"/>
      <c r="AN71" s="51"/>
      <c r="AO71" s="51"/>
      <c r="AP71" s="51"/>
      <c r="AQ71" s="51"/>
    </row>
    <row r="72" spans="1:43" ht="20.100000000000001" customHeight="1">
      <c r="A72" s="77" t="s">
        <v>277</v>
      </c>
      <c r="B72" s="78"/>
      <c r="C72" s="79"/>
      <c r="D72" s="79"/>
      <c r="E72" s="80"/>
      <c r="F72" s="71"/>
      <c r="G72" s="72"/>
      <c r="H72" s="72"/>
      <c r="I72" s="72"/>
      <c r="J72" s="72"/>
      <c r="K72" s="51"/>
      <c r="L72" s="73"/>
      <c r="M72" s="73"/>
      <c r="N72" s="73"/>
      <c r="O72" s="73"/>
      <c r="P72" s="73"/>
      <c r="Q72" s="73"/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1"/>
      <c r="AE72" s="51"/>
      <c r="AF72" s="51"/>
      <c r="AG72" s="51"/>
      <c r="AH72" s="51"/>
      <c r="AI72" s="51"/>
      <c r="AJ72" s="51"/>
      <c r="AK72" s="51"/>
      <c r="AL72" s="51"/>
      <c r="AM72" s="51"/>
      <c r="AN72" s="51"/>
      <c r="AO72" s="51"/>
      <c r="AP72" s="51"/>
      <c r="AQ72" s="51"/>
    </row>
    <row r="73" spans="1:43" ht="20.100000000000001" customHeight="1">
      <c r="A73" s="81">
        <f>INDEX('MENU OPTIONS'!A1:A29,START!B2,1)</f>
        <v>2025</v>
      </c>
      <c r="B73" s="78"/>
      <c r="C73" s="79"/>
      <c r="D73" s="79"/>
      <c r="E73" s="80"/>
      <c r="F73" s="71"/>
      <c r="G73" s="72"/>
      <c r="H73" s="72"/>
      <c r="I73" s="72"/>
      <c r="J73" s="72"/>
      <c r="K73" s="51"/>
      <c r="L73" s="73"/>
      <c r="M73" s="73"/>
      <c r="N73" s="73"/>
      <c r="O73" s="73"/>
      <c r="P73" s="73"/>
      <c r="Q73" s="73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</row>
    <row r="74" spans="1:43" ht="20.100000000000001" customHeight="1">
      <c r="A74" s="81" t="s">
        <v>35</v>
      </c>
      <c r="B74" s="611" t="s">
        <v>314</v>
      </c>
      <c r="C74" s="79"/>
      <c r="D74" s="79"/>
      <c r="E74" s="82"/>
      <c r="G74" s="83"/>
      <c r="H74" s="83"/>
      <c r="I74" s="83"/>
      <c r="J74" s="83"/>
      <c r="K74" s="51"/>
      <c r="L74" s="73"/>
      <c r="M74" s="73"/>
      <c r="N74" s="73"/>
      <c r="O74" s="84"/>
      <c r="P74" s="73"/>
      <c r="Q74" s="73"/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</row>
    <row r="75" spans="1:43" ht="20.100000000000001" customHeight="1">
      <c r="A75" s="85" t="s">
        <v>162</v>
      </c>
      <c r="B75" s="612"/>
      <c r="C75" s="79"/>
      <c r="D75" s="79"/>
      <c r="E75" s="86"/>
      <c r="AO75" s="51"/>
      <c r="AP75" s="51"/>
      <c r="AQ75" s="51"/>
    </row>
    <row r="76" spans="1:43" ht="20.100000000000001" customHeight="1">
      <c r="A76" s="87" t="s">
        <v>36</v>
      </c>
      <c r="B76" s="88" t="e">
        <f>L93</f>
        <v>#DIV/0!</v>
      </c>
      <c r="C76" s="79"/>
      <c r="D76" s="79"/>
      <c r="E76" s="89"/>
      <c r="AO76" s="51"/>
      <c r="AP76" s="51"/>
      <c r="AQ76" s="51"/>
    </row>
    <row r="77" spans="1:43" ht="20.100000000000001" customHeight="1">
      <c r="A77" s="87" t="s">
        <v>37</v>
      </c>
      <c r="B77" s="88" t="e">
        <f>#REF!/START!$B$4</f>
        <v>#REF!</v>
      </c>
      <c r="C77" s="79"/>
      <c r="D77" s="79"/>
      <c r="E77" s="89"/>
      <c r="AO77" s="51"/>
      <c r="AP77" s="51"/>
      <c r="AQ77" s="51"/>
    </row>
    <row r="78" spans="1:43" ht="20.100000000000001" customHeight="1">
      <c r="A78" s="87" t="s">
        <v>38</v>
      </c>
      <c r="B78" s="88" t="e">
        <f>#REF!/START!$B$4</f>
        <v>#REF!</v>
      </c>
      <c r="C78" s="79"/>
      <c r="D78" s="79"/>
      <c r="E78" s="89"/>
      <c r="AO78" s="51"/>
      <c r="AP78" s="51"/>
      <c r="AQ78" s="51"/>
    </row>
    <row r="79" spans="1:43" ht="20.100000000000001" customHeight="1">
      <c r="A79" s="87" t="s">
        <v>39</v>
      </c>
      <c r="B79" s="88" t="e">
        <f>#REF!/START!$B$4</f>
        <v>#REF!</v>
      </c>
      <c r="C79" s="79"/>
      <c r="D79" s="79"/>
      <c r="E79" s="89"/>
      <c r="AO79" s="51"/>
      <c r="AP79" s="51"/>
      <c r="AQ79" s="51"/>
    </row>
    <row r="80" spans="1:43" ht="20.100000000000001" customHeight="1">
      <c r="A80" s="87" t="s">
        <v>77</v>
      </c>
      <c r="B80" s="88" t="e">
        <f>#REF!/START!$B$4</f>
        <v>#REF!</v>
      </c>
      <c r="C80" s="79"/>
      <c r="D80" s="79"/>
      <c r="E80" s="89"/>
      <c r="AO80" s="51"/>
      <c r="AP80" s="51"/>
      <c r="AQ80" s="51"/>
    </row>
    <row r="81" spans="1:43" ht="20.100000000000001" customHeight="1">
      <c r="A81" s="87" t="s">
        <v>78</v>
      </c>
      <c r="B81" s="88" t="e">
        <f>#REF!/START!$B$4</f>
        <v>#REF!</v>
      </c>
      <c r="C81" s="79"/>
      <c r="D81" s="79"/>
      <c r="E81" s="89"/>
      <c r="AO81" s="51"/>
      <c r="AP81" s="51"/>
      <c r="AQ81" s="51"/>
    </row>
    <row r="82" spans="1:43" ht="20.100000000000001" customHeight="1">
      <c r="A82" s="87" t="s">
        <v>79</v>
      </c>
      <c r="B82" s="88" t="e">
        <f>#REF!/START!$B$4</f>
        <v>#REF!</v>
      </c>
      <c r="C82" s="79"/>
      <c r="D82" s="79"/>
      <c r="E82" s="89"/>
      <c r="AO82" s="51"/>
      <c r="AP82" s="51"/>
      <c r="AQ82" s="51"/>
    </row>
    <row r="83" spans="1:43" ht="20.100000000000001" customHeight="1">
      <c r="A83" s="85" t="s">
        <v>80</v>
      </c>
      <c r="B83" s="90" t="e">
        <f>#REF!/START!$B$4</f>
        <v>#REF!</v>
      </c>
      <c r="C83" s="79"/>
      <c r="D83" s="79"/>
      <c r="E83" s="89"/>
      <c r="AO83" s="51"/>
      <c r="AP83" s="51"/>
      <c r="AQ83" s="51"/>
    </row>
    <row r="84" spans="1:43" ht="20.100000000000001" customHeight="1">
      <c r="A84" s="87" t="s">
        <v>83</v>
      </c>
      <c r="B84" s="91" t="e">
        <f>SUM(B76:B83)</f>
        <v>#DIV/0!</v>
      </c>
      <c r="C84" s="79"/>
      <c r="D84" s="79"/>
      <c r="E84" s="89"/>
      <c r="AO84" s="51"/>
      <c r="AP84" s="51"/>
      <c r="AQ84" s="51"/>
    </row>
    <row r="85" spans="1:43" ht="20.100000000000001" customHeight="1">
      <c r="A85" s="92"/>
      <c r="B85" s="79"/>
      <c r="C85" s="79"/>
      <c r="D85" s="79"/>
      <c r="E85" s="93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  <c r="S85" s="51"/>
      <c r="T85" s="51"/>
      <c r="U85" s="51"/>
      <c r="V85" s="51"/>
      <c r="W85" s="51"/>
      <c r="X85" s="51"/>
      <c r="Y85" s="51"/>
      <c r="Z85" s="51"/>
      <c r="AA85" s="51"/>
      <c r="AB85" s="51"/>
      <c r="AC85" s="51"/>
      <c r="AD85" s="51"/>
      <c r="AE85" s="51"/>
      <c r="AF85" s="51"/>
      <c r="AG85" s="51"/>
      <c r="AH85" s="51"/>
      <c r="AI85" s="51"/>
      <c r="AJ85" s="51"/>
      <c r="AK85" s="51"/>
      <c r="AL85" s="51"/>
      <c r="AM85" s="51"/>
      <c r="AN85" s="51"/>
      <c r="AO85" s="51"/>
      <c r="AP85" s="51"/>
      <c r="AQ85" s="51"/>
    </row>
    <row r="86" spans="1:43" ht="20.100000000000001" customHeight="1">
      <c r="A86" s="92"/>
      <c r="B86" s="79"/>
      <c r="C86" s="79"/>
      <c r="D86" s="79"/>
      <c r="E86" s="93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</row>
    <row r="87" spans="1:43" ht="20.100000000000001" customHeight="1">
      <c r="A87" s="94"/>
      <c r="B87" s="95"/>
      <c r="C87" s="79"/>
      <c r="D87" s="79"/>
      <c r="E87" s="93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  <c r="S87" s="51"/>
      <c r="T87" s="51"/>
      <c r="U87" s="51"/>
      <c r="V87" s="51"/>
      <c r="W87" s="51"/>
      <c r="X87" s="51"/>
      <c r="Y87" s="51"/>
      <c r="Z87" s="51"/>
      <c r="AA87" s="51"/>
      <c r="AB87" s="51"/>
      <c r="AC87" s="51"/>
      <c r="AD87" s="51"/>
      <c r="AE87" s="51"/>
      <c r="AF87" s="51"/>
      <c r="AG87" s="51"/>
      <c r="AH87" s="51"/>
      <c r="AI87" s="51"/>
      <c r="AJ87" s="51"/>
      <c r="AK87" s="51"/>
      <c r="AL87" s="51"/>
      <c r="AM87" s="51"/>
      <c r="AN87" s="51"/>
      <c r="AO87" s="51"/>
      <c r="AP87" s="51"/>
      <c r="AQ87" s="51"/>
    </row>
    <row r="88" spans="1:43" ht="20.100000000000001" customHeight="1">
      <c r="A88" s="92"/>
      <c r="B88" s="96"/>
      <c r="C88" s="79"/>
      <c r="D88" s="79"/>
      <c r="E88" s="97"/>
    </row>
    <row r="89" spans="1:43" ht="20.100000000000001" customHeight="1">
      <c r="A89" s="92"/>
      <c r="B89" s="96"/>
      <c r="C89" s="79"/>
      <c r="D89" s="79"/>
      <c r="E89" s="97"/>
    </row>
    <row r="90" spans="1:43" ht="20.100000000000001" customHeight="1">
      <c r="A90" s="92"/>
      <c r="B90" s="96"/>
      <c r="C90" s="79"/>
      <c r="D90" s="79"/>
      <c r="E90" s="97"/>
    </row>
    <row r="91" spans="1:43" ht="20.100000000000001" customHeight="1" thickBot="1">
      <c r="A91" s="92"/>
      <c r="B91" s="96"/>
      <c r="C91" s="79"/>
      <c r="D91" s="79"/>
      <c r="E91" s="97"/>
      <c r="G91" s="98"/>
      <c r="H91" s="98"/>
      <c r="I91" s="98"/>
      <c r="J91" s="98"/>
    </row>
    <row r="92" spans="1:43" ht="20.100000000000001" customHeight="1">
      <c r="A92" s="92"/>
      <c r="B92" s="79"/>
      <c r="C92" s="79"/>
      <c r="D92" s="79"/>
      <c r="E92" s="97"/>
      <c r="F92" s="596" t="s">
        <v>217</v>
      </c>
      <c r="G92" s="592"/>
      <c r="H92" s="429"/>
      <c r="I92" s="429"/>
      <c r="J92" s="429"/>
      <c r="K92" s="99">
        <f t="shared" ref="K92:AN92" si="14">K112</f>
        <v>2021</v>
      </c>
      <c r="L92" s="99">
        <f t="shared" si="14"/>
        <v>2022</v>
      </c>
      <c r="M92" s="99">
        <f t="shared" si="14"/>
        <v>2023</v>
      </c>
      <c r="N92" s="99">
        <f t="shared" si="14"/>
        <v>2024</v>
      </c>
      <c r="O92" s="99">
        <f t="shared" si="14"/>
        <v>2025</v>
      </c>
      <c r="P92" s="99">
        <f t="shared" si="14"/>
        <v>2026</v>
      </c>
      <c r="Q92" s="99">
        <f t="shared" si="14"/>
        <v>2027</v>
      </c>
      <c r="R92" s="99">
        <f t="shared" si="14"/>
        <v>2028</v>
      </c>
      <c r="S92" s="99">
        <f t="shared" si="14"/>
        <v>2029</v>
      </c>
      <c r="T92" s="99">
        <f t="shared" si="14"/>
        <v>2030</v>
      </c>
      <c r="U92" s="99">
        <f t="shared" si="14"/>
        <v>2031</v>
      </c>
      <c r="V92" s="99">
        <f t="shared" si="14"/>
        <v>2032</v>
      </c>
      <c r="W92" s="99">
        <f t="shared" si="14"/>
        <v>2033</v>
      </c>
      <c r="X92" s="99">
        <f t="shared" si="14"/>
        <v>2034</v>
      </c>
      <c r="Y92" s="99">
        <f t="shared" si="14"/>
        <v>2035</v>
      </c>
      <c r="Z92" s="99">
        <f t="shared" si="14"/>
        <v>2036</v>
      </c>
      <c r="AA92" s="99">
        <f t="shared" si="14"/>
        <v>2037</v>
      </c>
      <c r="AB92" s="99">
        <f t="shared" si="14"/>
        <v>2038</v>
      </c>
      <c r="AC92" s="99">
        <f t="shared" si="14"/>
        <v>2039</v>
      </c>
      <c r="AD92" s="99">
        <f t="shared" si="14"/>
        <v>2040</v>
      </c>
      <c r="AE92" s="99">
        <f t="shared" si="14"/>
        <v>2041</v>
      </c>
      <c r="AF92" s="99">
        <f t="shared" si="14"/>
        <v>2042</v>
      </c>
      <c r="AG92" s="99">
        <f t="shared" si="14"/>
        <v>2043</v>
      </c>
      <c r="AH92" s="99">
        <f t="shared" si="14"/>
        <v>2044</v>
      </c>
      <c r="AI92" s="99">
        <f t="shared" si="14"/>
        <v>2045</v>
      </c>
      <c r="AJ92" s="99">
        <f t="shared" si="14"/>
        <v>2046</v>
      </c>
      <c r="AK92" s="99">
        <f t="shared" si="14"/>
        <v>2047</v>
      </c>
      <c r="AL92" s="99">
        <f t="shared" si="14"/>
        <v>2048</v>
      </c>
      <c r="AM92" s="99">
        <f t="shared" si="14"/>
        <v>2049</v>
      </c>
      <c r="AN92" s="100">
        <f t="shared" si="14"/>
        <v>2050</v>
      </c>
    </row>
    <row r="93" spans="1:43" ht="20.100000000000001" customHeight="1">
      <c r="A93" s="92"/>
      <c r="B93" s="96"/>
      <c r="C93" s="79"/>
      <c r="D93" s="79"/>
      <c r="E93" s="97"/>
      <c r="F93" s="101" t="s">
        <v>36</v>
      </c>
      <c r="G93" s="102" t="s">
        <v>1081</v>
      </c>
      <c r="H93" s="102"/>
      <c r="I93" s="102"/>
      <c r="J93" s="102"/>
      <c r="K93" s="103" t="str">
        <f>IF(K116=0,"",#REF!/K116)</f>
        <v/>
      </c>
      <c r="L93" s="221" t="e">
        <f>L16*L43/L114</f>
        <v>#DIV/0!</v>
      </c>
      <c r="M93" s="221" t="e">
        <f t="shared" ref="M93:AN93" si="15">M16*M43/M114</f>
        <v>#DIV/0!</v>
      </c>
      <c r="N93" s="221" t="e">
        <f t="shared" si="15"/>
        <v>#DIV/0!</v>
      </c>
      <c r="O93" s="221">
        <f t="shared" si="15"/>
        <v>1.7502779749286814</v>
      </c>
      <c r="P93" s="221">
        <f t="shared" si="15"/>
        <v>1.746794834680067</v>
      </c>
      <c r="Q93" s="221">
        <f t="shared" si="15"/>
        <v>1.7433617775049779</v>
      </c>
      <c r="R93" s="221">
        <f t="shared" si="15"/>
        <v>1.7398964820221066</v>
      </c>
      <c r="S93" s="221">
        <f t="shared" si="15"/>
        <v>1.7364810153587702</v>
      </c>
      <c r="T93" s="221">
        <f t="shared" si="15"/>
        <v>1.7360357160428548</v>
      </c>
      <c r="U93" s="221">
        <f t="shared" si="15"/>
        <v>1.7261879965311779</v>
      </c>
      <c r="V93" s="221">
        <f t="shared" si="15"/>
        <v>1.7193318293065447</v>
      </c>
      <c r="W93" s="221">
        <f t="shared" si="15"/>
        <v>1.7125451422175522</v>
      </c>
      <c r="X93" s="221">
        <f t="shared" si="15"/>
        <v>1.7057492365641678</v>
      </c>
      <c r="Y93" s="221">
        <f t="shared" si="15"/>
        <v>1.6990221541989066</v>
      </c>
      <c r="Z93" s="221">
        <f t="shared" si="15"/>
        <v>1.6922865807986041</v>
      </c>
      <c r="AA93" s="221">
        <f t="shared" si="15"/>
        <v>1.6856191690657309</v>
      </c>
      <c r="AB93" s="221">
        <f t="shared" si="15"/>
        <v>1.6789439636513377</v>
      </c>
      <c r="AC93" s="221">
        <f t="shared" si="15"/>
        <v>1.6722619710160074</v>
      </c>
      <c r="AD93" s="221">
        <f t="shared" si="15"/>
        <v>1.6656477961209661</v>
      </c>
      <c r="AE93" s="221">
        <f t="shared" si="15"/>
        <v>1.6590274724524623</v>
      </c>
      <c r="AF93" s="221">
        <f t="shared" si="15"/>
        <v>1.6524742740051952</v>
      </c>
      <c r="AG93" s="221">
        <f t="shared" si="15"/>
        <v>1.64591553777174</v>
      </c>
      <c r="AH93" s="221">
        <f t="shared" si="15"/>
        <v>1.6394232321700652</v>
      </c>
      <c r="AI93" s="221">
        <f t="shared" si="15"/>
        <v>1.6329259732701642</v>
      </c>
      <c r="AJ93" s="221">
        <f t="shared" si="15"/>
        <v>1.626494448884646</v>
      </c>
      <c r="AK93" s="221">
        <f t="shared" si="15"/>
        <v>1.6200585301242802</v>
      </c>
      <c r="AL93" s="221">
        <f t="shared" si="15"/>
        <v>1.6136191036967726</v>
      </c>
      <c r="AM93" s="221">
        <f t="shared" si="15"/>
        <v>1.6072449706314154</v>
      </c>
      <c r="AN93" s="221">
        <f t="shared" si="15"/>
        <v>1.6008678373608456</v>
      </c>
    </row>
    <row r="94" spans="1:43" ht="20.100000000000001" customHeight="1">
      <c r="A94" s="92"/>
      <c r="B94" s="96"/>
      <c r="C94" s="79"/>
      <c r="D94" s="79"/>
      <c r="E94" s="105"/>
      <c r="F94" s="106" t="s">
        <v>37</v>
      </c>
      <c r="G94" s="107" t="s">
        <v>316</v>
      </c>
      <c r="H94" s="107"/>
      <c r="I94" s="107"/>
      <c r="J94" s="107"/>
      <c r="K94" s="103" t="str">
        <f>IF(K116=0,"",#REF!/K116)</f>
        <v/>
      </c>
      <c r="L94" s="103" t="str">
        <f>IF(L116=0,"",#REF!/L116)</f>
        <v/>
      </c>
      <c r="M94" s="103" t="e">
        <f>IF(M116=0,"",#REF!/M116)</f>
        <v>#REF!</v>
      </c>
      <c r="N94" s="103" t="e">
        <f>IF(N116=0,"",#REF!/N116)</f>
        <v>#REF!</v>
      </c>
      <c r="O94" s="103" t="e">
        <f>IF(O116=0,"",#REF!/O116)</f>
        <v>#REF!</v>
      </c>
      <c r="P94" s="103" t="e">
        <f>IF(P116=0,"",#REF!/P116)</f>
        <v>#REF!</v>
      </c>
      <c r="Q94" s="103" t="e">
        <f>IF(Q116=0,"",#REF!/Q116)</f>
        <v>#REF!</v>
      </c>
      <c r="R94" s="103" t="e">
        <f>IF(R116=0,"",#REF!/R116)</f>
        <v>#REF!</v>
      </c>
      <c r="S94" s="103" t="e">
        <f>IF(S116=0,"",#REF!/S116)</f>
        <v>#REF!</v>
      </c>
      <c r="T94" s="103" t="e">
        <f>IF(T116=0,"",#REF!/T116)</f>
        <v>#REF!</v>
      </c>
      <c r="U94" s="103" t="e">
        <f>IF(U116=0,"",#REF!/U116)</f>
        <v>#REF!</v>
      </c>
      <c r="V94" s="103" t="e">
        <f>IF(V116=0,"",#REF!/V116)</f>
        <v>#REF!</v>
      </c>
      <c r="W94" s="103" t="e">
        <f>IF(W116=0,"",#REF!/W116)</f>
        <v>#REF!</v>
      </c>
      <c r="X94" s="103" t="e">
        <f>IF(X116=0,"",#REF!/X116)</f>
        <v>#REF!</v>
      </c>
      <c r="Y94" s="103" t="e">
        <f>IF(Y116=0,"",#REF!/Y116)</f>
        <v>#REF!</v>
      </c>
      <c r="Z94" s="103" t="e">
        <f>IF(Z116=0,"",#REF!/Z116)</f>
        <v>#REF!</v>
      </c>
      <c r="AA94" s="103" t="e">
        <f>IF(AA116=0,"",#REF!/AA116)</f>
        <v>#REF!</v>
      </c>
      <c r="AB94" s="103" t="e">
        <f>IF(AB116=0,"",#REF!/AB116)</f>
        <v>#REF!</v>
      </c>
      <c r="AC94" s="103" t="e">
        <f>IF(AC116=0,"",#REF!/AC116)</f>
        <v>#REF!</v>
      </c>
      <c r="AD94" s="103" t="e">
        <f>IF(AD116=0,"",#REF!/AD116)</f>
        <v>#REF!</v>
      </c>
      <c r="AE94" s="103" t="e">
        <f>IF(AE116=0,"",#REF!/AE116)</f>
        <v>#REF!</v>
      </c>
      <c r="AF94" s="103" t="e">
        <f>IF(AF116=0,"",#REF!/AF116)</f>
        <v>#REF!</v>
      </c>
      <c r="AG94" s="103" t="e">
        <f>IF(AG116=0,"",#REF!/AG116)</f>
        <v>#REF!</v>
      </c>
      <c r="AH94" s="103" t="e">
        <f>IF(AH116=0,"",#REF!/AH116)</f>
        <v>#REF!</v>
      </c>
      <c r="AI94" s="103" t="e">
        <f>IF(AI116=0,"",#REF!/AI116)</f>
        <v>#REF!</v>
      </c>
      <c r="AJ94" s="103" t="e">
        <f>IF(AJ116=0,"",#REF!/AJ116)</f>
        <v>#REF!</v>
      </c>
      <c r="AK94" s="103" t="e">
        <f>IF(AK116=0,"",#REF!/AK116)</f>
        <v>#REF!</v>
      </c>
      <c r="AL94" s="103" t="e">
        <f>IF(AL116=0,"",#REF!/AL116)</f>
        <v>#REF!</v>
      </c>
      <c r="AM94" s="103" t="e">
        <f>IF(AM116=0,"",#REF!/AM116)</f>
        <v>#REF!</v>
      </c>
      <c r="AN94" s="104" t="e">
        <f>IF(AN116=0,"",#REF!/AN116)</f>
        <v>#REF!</v>
      </c>
    </row>
    <row r="95" spans="1:43" ht="20.100000000000001" customHeight="1">
      <c r="A95" s="92"/>
      <c r="B95" s="96"/>
      <c r="C95" s="79"/>
      <c r="D95" s="79"/>
      <c r="E95" s="97"/>
      <c r="F95" s="106" t="s">
        <v>38</v>
      </c>
      <c r="G95" s="107" t="s">
        <v>315</v>
      </c>
      <c r="H95" s="107"/>
      <c r="I95" s="107"/>
      <c r="J95" s="107"/>
      <c r="K95" s="103" t="str">
        <f>IF(K116=0,"",#REF!/K116)</f>
        <v/>
      </c>
      <c r="L95" s="103" t="str">
        <f>IF(L116=0,"",#REF!/L116)</f>
        <v/>
      </c>
      <c r="M95" s="103" t="e">
        <f>IF(M116=0,"",#REF!/M116)</f>
        <v>#REF!</v>
      </c>
      <c r="N95" s="103" t="e">
        <f>IF(N116=0,"",#REF!/N116)</f>
        <v>#REF!</v>
      </c>
      <c r="O95" s="103" t="e">
        <f>IF(O116=0,"",#REF!/O116)</f>
        <v>#REF!</v>
      </c>
      <c r="P95" s="103" t="e">
        <f>IF(P116=0,"",#REF!/P116)</f>
        <v>#REF!</v>
      </c>
      <c r="Q95" s="103" t="e">
        <f>IF(Q116=0,"",#REF!/Q116)</f>
        <v>#REF!</v>
      </c>
      <c r="R95" s="103" t="e">
        <f>IF(R116=0,"",#REF!/R116)</f>
        <v>#REF!</v>
      </c>
      <c r="S95" s="103" t="e">
        <f>IF(S116=0,"",#REF!/S116)</f>
        <v>#REF!</v>
      </c>
      <c r="T95" s="103" t="e">
        <f>IF(T116=0,"",#REF!/T116)</f>
        <v>#REF!</v>
      </c>
      <c r="U95" s="103" t="e">
        <f>IF(U116=0,"",#REF!/U116)</f>
        <v>#REF!</v>
      </c>
      <c r="V95" s="103" t="e">
        <f>IF(V116=0,"",#REF!/V116)</f>
        <v>#REF!</v>
      </c>
      <c r="W95" s="103" t="e">
        <f>IF(W116=0,"",#REF!/W116)</f>
        <v>#REF!</v>
      </c>
      <c r="X95" s="103" t="e">
        <f>IF(X116=0,"",#REF!/X116)</f>
        <v>#REF!</v>
      </c>
      <c r="Y95" s="103" t="e">
        <f>IF(Y116=0,"",#REF!/Y116)</f>
        <v>#REF!</v>
      </c>
      <c r="Z95" s="103" t="e">
        <f>IF(Z116=0,"",#REF!/Z116)</f>
        <v>#REF!</v>
      </c>
      <c r="AA95" s="103" t="e">
        <f>IF(AA116=0,"",#REF!/AA116)</f>
        <v>#REF!</v>
      </c>
      <c r="AB95" s="103" t="e">
        <f>IF(AB116=0,"",#REF!/AB116)</f>
        <v>#REF!</v>
      </c>
      <c r="AC95" s="103" t="e">
        <f>IF(AC116=0,"",#REF!/AC116)</f>
        <v>#REF!</v>
      </c>
      <c r="AD95" s="103" t="e">
        <f>IF(AD116=0,"",#REF!/AD116)</f>
        <v>#REF!</v>
      </c>
      <c r="AE95" s="103" t="e">
        <f>IF(AE116=0,"",#REF!/AE116)</f>
        <v>#REF!</v>
      </c>
      <c r="AF95" s="103" t="e">
        <f>IF(AF116=0,"",#REF!/AF116)</f>
        <v>#REF!</v>
      </c>
      <c r="AG95" s="103" t="e">
        <f>IF(AG116=0,"",#REF!/AG116)</f>
        <v>#REF!</v>
      </c>
      <c r="AH95" s="103" t="e">
        <f>IF(AH116=0,"",#REF!/AH116)</f>
        <v>#REF!</v>
      </c>
      <c r="AI95" s="103" t="e">
        <f>IF(AI116=0,"",#REF!/AI116)</f>
        <v>#REF!</v>
      </c>
      <c r="AJ95" s="103" t="e">
        <f>IF(AJ116=0,"",#REF!/AJ116)</f>
        <v>#REF!</v>
      </c>
      <c r="AK95" s="103" t="e">
        <f>IF(AK116=0,"",#REF!/AK116)</f>
        <v>#REF!</v>
      </c>
      <c r="AL95" s="103" t="e">
        <f>IF(AL116=0,"",#REF!/AL116)</f>
        <v>#REF!</v>
      </c>
      <c r="AM95" s="103" t="e">
        <f>IF(AM116=0,"",#REF!/AM116)</f>
        <v>#REF!</v>
      </c>
      <c r="AN95" s="104" t="e">
        <f>IF(AN116=0,"",#REF!/AN116)</f>
        <v>#REF!</v>
      </c>
    </row>
    <row r="96" spans="1:43" ht="20.100000000000001" customHeight="1">
      <c r="A96" s="92"/>
      <c r="B96" s="96"/>
      <c r="C96" s="79"/>
      <c r="D96" s="79"/>
      <c r="E96" s="105"/>
      <c r="F96" s="106" t="s">
        <v>39</v>
      </c>
      <c r="G96" s="107" t="s">
        <v>315</v>
      </c>
      <c r="H96" s="107"/>
      <c r="I96" s="107"/>
      <c r="J96" s="107"/>
      <c r="K96" s="103" t="str">
        <f t="shared" ref="K96:AN96" si="16">IF(K116=0,"",K243/K116)</f>
        <v/>
      </c>
      <c r="L96" s="103" t="str">
        <f t="shared" si="16"/>
        <v/>
      </c>
      <c r="M96" s="103">
        <f t="shared" si="16"/>
        <v>0</v>
      </c>
      <c r="N96" s="103">
        <f t="shared" si="16"/>
        <v>0</v>
      </c>
      <c r="O96" s="103">
        <f t="shared" si="16"/>
        <v>0</v>
      </c>
      <c r="P96" s="103">
        <f t="shared" si="16"/>
        <v>0</v>
      </c>
      <c r="Q96" s="103">
        <f t="shared" si="16"/>
        <v>0</v>
      </c>
      <c r="R96" s="103">
        <f t="shared" si="16"/>
        <v>0</v>
      </c>
      <c r="S96" s="103">
        <f t="shared" si="16"/>
        <v>0</v>
      </c>
      <c r="T96" s="103">
        <f t="shared" si="16"/>
        <v>0</v>
      </c>
      <c r="U96" s="103">
        <f t="shared" si="16"/>
        <v>0</v>
      </c>
      <c r="V96" s="103">
        <f t="shared" si="16"/>
        <v>0</v>
      </c>
      <c r="W96" s="103">
        <f t="shared" si="16"/>
        <v>0</v>
      </c>
      <c r="X96" s="103">
        <f t="shared" si="16"/>
        <v>0</v>
      </c>
      <c r="Y96" s="103">
        <f t="shared" si="16"/>
        <v>0</v>
      </c>
      <c r="Z96" s="103">
        <f t="shared" si="16"/>
        <v>0</v>
      </c>
      <c r="AA96" s="103">
        <f t="shared" si="16"/>
        <v>0</v>
      </c>
      <c r="AB96" s="103">
        <f t="shared" si="16"/>
        <v>0</v>
      </c>
      <c r="AC96" s="103">
        <f t="shared" si="16"/>
        <v>0</v>
      </c>
      <c r="AD96" s="103">
        <f t="shared" si="16"/>
        <v>0</v>
      </c>
      <c r="AE96" s="103">
        <f t="shared" si="16"/>
        <v>0</v>
      </c>
      <c r="AF96" s="103">
        <f t="shared" si="16"/>
        <v>0</v>
      </c>
      <c r="AG96" s="103">
        <f t="shared" si="16"/>
        <v>0</v>
      </c>
      <c r="AH96" s="103">
        <f t="shared" si="16"/>
        <v>0</v>
      </c>
      <c r="AI96" s="103">
        <f t="shared" si="16"/>
        <v>0</v>
      </c>
      <c r="AJ96" s="103">
        <f t="shared" si="16"/>
        <v>0</v>
      </c>
      <c r="AK96" s="103">
        <f t="shared" si="16"/>
        <v>0</v>
      </c>
      <c r="AL96" s="103">
        <f t="shared" si="16"/>
        <v>0</v>
      </c>
      <c r="AM96" s="103">
        <f t="shared" si="16"/>
        <v>0</v>
      </c>
      <c r="AN96" s="104">
        <f t="shared" si="16"/>
        <v>0</v>
      </c>
    </row>
    <row r="97" spans="1:41" ht="20.100000000000001" customHeight="1">
      <c r="A97" s="92"/>
      <c r="B97" s="96"/>
      <c r="C97" s="79"/>
      <c r="D97" s="79"/>
      <c r="E97" s="97"/>
      <c r="F97" s="106" t="s">
        <v>77</v>
      </c>
      <c r="G97" s="107" t="s">
        <v>315</v>
      </c>
      <c r="H97" s="107"/>
      <c r="I97" s="107"/>
      <c r="J97" s="107"/>
      <c r="K97" s="103" t="str">
        <f t="shared" ref="K97:AN97" si="17">IF(K116=0,"",K246/K116)</f>
        <v/>
      </c>
      <c r="L97" s="103" t="str">
        <f t="shared" si="17"/>
        <v/>
      </c>
      <c r="M97" s="103">
        <f t="shared" si="17"/>
        <v>0</v>
      </c>
      <c r="N97" s="103">
        <f t="shared" si="17"/>
        <v>0</v>
      </c>
      <c r="O97" s="103">
        <f t="shared" si="17"/>
        <v>0</v>
      </c>
      <c r="P97" s="103">
        <f t="shared" si="17"/>
        <v>0</v>
      </c>
      <c r="Q97" s="103">
        <f t="shared" si="17"/>
        <v>0</v>
      </c>
      <c r="R97" s="103">
        <f t="shared" si="17"/>
        <v>0</v>
      </c>
      <c r="S97" s="103">
        <f t="shared" si="17"/>
        <v>0</v>
      </c>
      <c r="T97" s="103">
        <f t="shared" si="17"/>
        <v>0</v>
      </c>
      <c r="U97" s="103">
        <f t="shared" si="17"/>
        <v>0</v>
      </c>
      <c r="V97" s="103">
        <f t="shared" si="17"/>
        <v>0</v>
      </c>
      <c r="W97" s="103">
        <f t="shared" si="17"/>
        <v>0</v>
      </c>
      <c r="X97" s="103">
        <f t="shared" si="17"/>
        <v>0</v>
      </c>
      <c r="Y97" s="103">
        <f t="shared" si="17"/>
        <v>0</v>
      </c>
      <c r="Z97" s="103">
        <f t="shared" si="17"/>
        <v>0</v>
      </c>
      <c r="AA97" s="103">
        <f t="shared" si="17"/>
        <v>0</v>
      </c>
      <c r="AB97" s="103">
        <f t="shared" si="17"/>
        <v>0</v>
      </c>
      <c r="AC97" s="103">
        <f t="shared" si="17"/>
        <v>0</v>
      </c>
      <c r="AD97" s="103">
        <f t="shared" si="17"/>
        <v>0</v>
      </c>
      <c r="AE97" s="103">
        <f t="shared" si="17"/>
        <v>0</v>
      </c>
      <c r="AF97" s="103">
        <f t="shared" si="17"/>
        <v>0</v>
      </c>
      <c r="AG97" s="103">
        <f t="shared" si="17"/>
        <v>0</v>
      </c>
      <c r="AH97" s="103">
        <f t="shared" si="17"/>
        <v>0</v>
      </c>
      <c r="AI97" s="103">
        <f t="shared" si="17"/>
        <v>0</v>
      </c>
      <c r="AJ97" s="103">
        <f t="shared" si="17"/>
        <v>0</v>
      </c>
      <c r="AK97" s="103">
        <f t="shared" si="17"/>
        <v>0</v>
      </c>
      <c r="AL97" s="103">
        <f t="shared" si="17"/>
        <v>0</v>
      </c>
      <c r="AM97" s="103">
        <f t="shared" si="17"/>
        <v>0</v>
      </c>
      <c r="AN97" s="104">
        <f t="shared" si="17"/>
        <v>0</v>
      </c>
    </row>
    <row r="98" spans="1:41" ht="20.100000000000001" customHeight="1">
      <c r="A98" s="92"/>
      <c r="B98" s="96"/>
      <c r="C98" s="79"/>
      <c r="D98" s="79"/>
      <c r="E98" s="105"/>
      <c r="F98" s="106" t="s">
        <v>78</v>
      </c>
      <c r="G98" s="107" t="s">
        <v>315</v>
      </c>
      <c r="H98" s="107"/>
      <c r="I98" s="107"/>
      <c r="J98" s="107"/>
      <c r="K98" s="103" t="str">
        <f t="shared" ref="K98:AN98" si="18">IF(K116=0,"",K248/K116)</f>
        <v/>
      </c>
      <c r="L98" s="103" t="str">
        <f t="shared" si="18"/>
        <v/>
      </c>
      <c r="M98" s="103">
        <f t="shared" si="18"/>
        <v>0</v>
      </c>
      <c r="N98" s="103">
        <f t="shared" si="18"/>
        <v>0</v>
      </c>
      <c r="O98" s="103">
        <f t="shared" si="18"/>
        <v>0</v>
      </c>
      <c r="P98" s="103">
        <f t="shared" si="18"/>
        <v>0</v>
      </c>
      <c r="Q98" s="103">
        <f t="shared" si="18"/>
        <v>0</v>
      </c>
      <c r="R98" s="103">
        <f t="shared" si="18"/>
        <v>0</v>
      </c>
      <c r="S98" s="103">
        <f t="shared" si="18"/>
        <v>0</v>
      </c>
      <c r="T98" s="103">
        <f t="shared" si="18"/>
        <v>0</v>
      </c>
      <c r="U98" s="103">
        <f t="shared" si="18"/>
        <v>0</v>
      </c>
      <c r="V98" s="103">
        <f t="shared" si="18"/>
        <v>0</v>
      </c>
      <c r="W98" s="103">
        <f t="shared" si="18"/>
        <v>0</v>
      </c>
      <c r="X98" s="103">
        <f t="shared" si="18"/>
        <v>0</v>
      </c>
      <c r="Y98" s="103">
        <f t="shared" si="18"/>
        <v>0</v>
      </c>
      <c r="Z98" s="103">
        <f t="shared" si="18"/>
        <v>0</v>
      </c>
      <c r="AA98" s="103">
        <f t="shared" si="18"/>
        <v>0</v>
      </c>
      <c r="AB98" s="103">
        <f t="shared" si="18"/>
        <v>0</v>
      </c>
      <c r="AC98" s="103">
        <f t="shared" si="18"/>
        <v>0</v>
      </c>
      <c r="AD98" s="103">
        <f t="shared" si="18"/>
        <v>0</v>
      </c>
      <c r="AE98" s="103">
        <f t="shared" si="18"/>
        <v>0</v>
      </c>
      <c r="AF98" s="103">
        <f t="shared" si="18"/>
        <v>0</v>
      </c>
      <c r="AG98" s="103">
        <f t="shared" si="18"/>
        <v>0</v>
      </c>
      <c r="AH98" s="103">
        <f t="shared" si="18"/>
        <v>0</v>
      </c>
      <c r="AI98" s="103">
        <f t="shared" si="18"/>
        <v>0</v>
      </c>
      <c r="AJ98" s="103">
        <f t="shared" si="18"/>
        <v>0</v>
      </c>
      <c r="AK98" s="103">
        <f t="shared" si="18"/>
        <v>0</v>
      </c>
      <c r="AL98" s="103">
        <f t="shared" si="18"/>
        <v>0</v>
      </c>
      <c r="AM98" s="103">
        <f t="shared" si="18"/>
        <v>0</v>
      </c>
      <c r="AN98" s="104">
        <f t="shared" si="18"/>
        <v>0</v>
      </c>
    </row>
    <row r="99" spans="1:41" ht="20.100000000000001" customHeight="1">
      <c r="A99" s="92"/>
      <c r="B99" s="96"/>
      <c r="C99" s="79"/>
      <c r="D99" s="79"/>
      <c r="E99" s="97"/>
      <c r="F99" s="106" t="s">
        <v>79</v>
      </c>
      <c r="G99" s="107" t="s">
        <v>315</v>
      </c>
      <c r="H99" s="107"/>
      <c r="I99" s="107"/>
      <c r="J99" s="107"/>
      <c r="K99" s="103" t="str">
        <f t="shared" ref="K99:AN99" si="19">IF(K116=0,"",K250/K116)</f>
        <v/>
      </c>
      <c r="L99" s="103" t="str">
        <f t="shared" si="19"/>
        <v/>
      </c>
      <c r="M99" s="103">
        <f t="shared" si="19"/>
        <v>0</v>
      </c>
      <c r="N99" s="103">
        <f t="shared" si="19"/>
        <v>0</v>
      </c>
      <c r="O99" s="103">
        <f t="shared" si="19"/>
        <v>0</v>
      </c>
      <c r="P99" s="103">
        <f t="shared" si="19"/>
        <v>0</v>
      </c>
      <c r="Q99" s="103">
        <f t="shared" si="19"/>
        <v>0</v>
      </c>
      <c r="R99" s="103">
        <f t="shared" si="19"/>
        <v>0</v>
      </c>
      <c r="S99" s="103">
        <f t="shared" si="19"/>
        <v>0</v>
      </c>
      <c r="T99" s="103">
        <f t="shared" si="19"/>
        <v>0</v>
      </c>
      <c r="U99" s="103">
        <f t="shared" si="19"/>
        <v>0</v>
      </c>
      <c r="V99" s="103">
        <f t="shared" si="19"/>
        <v>0</v>
      </c>
      <c r="W99" s="103">
        <f t="shared" si="19"/>
        <v>0</v>
      </c>
      <c r="X99" s="103">
        <f t="shared" si="19"/>
        <v>0</v>
      </c>
      <c r="Y99" s="103">
        <f t="shared" si="19"/>
        <v>0</v>
      </c>
      <c r="Z99" s="103">
        <f t="shared" si="19"/>
        <v>0</v>
      </c>
      <c r="AA99" s="103">
        <f t="shared" si="19"/>
        <v>0</v>
      </c>
      <c r="AB99" s="103">
        <f t="shared" si="19"/>
        <v>0</v>
      </c>
      <c r="AC99" s="103">
        <f t="shared" si="19"/>
        <v>0</v>
      </c>
      <c r="AD99" s="103">
        <f t="shared" si="19"/>
        <v>0</v>
      </c>
      <c r="AE99" s="103">
        <f t="shared" si="19"/>
        <v>0</v>
      </c>
      <c r="AF99" s="103">
        <f t="shared" si="19"/>
        <v>0</v>
      </c>
      <c r="AG99" s="103">
        <f t="shared" si="19"/>
        <v>0</v>
      </c>
      <c r="AH99" s="103">
        <f t="shared" si="19"/>
        <v>0</v>
      </c>
      <c r="AI99" s="103">
        <f t="shared" si="19"/>
        <v>0</v>
      </c>
      <c r="AJ99" s="103">
        <f t="shared" si="19"/>
        <v>0</v>
      </c>
      <c r="AK99" s="103">
        <f t="shared" si="19"/>
        <v>0</v>
      </c>
      <c r="AL99" s="103">
        <f t="shared" si="19"/>
        <v>0</v>
      </c>
      <c r="AM99" s="103">
        <f t="shared" si="19"/>
        <v>0</v>
      </c>
      <c r="AN99" s="104">
        <f t="shared" si="19"/>
        <v>0</v>
      </c>
    </row>
    <row r="100" spans="1:41" ht="20.100000000000001" customHeight="1" thickBot="1">
      <c r="A100" s="92"/>
      <c r="B100" s="96"/>
      <c r="C100" s="79"/>
      <c r="D100" s="79"/>
      <c r="E100" s="105"/>
      <c r="F100" s="108" t="s">
        <v>262</v>
      </c>
      <c r="G100" s="109" t="s">
        <v>315</v>
      </c>
      <c r="H100" s="109"/>
      <c r="I100" s="109"/>
      <c r="J100" s="109"/>
      <c r="K100" s="110" t="str">
        <f t="shared" ref="K100:AN100" si="20">IF(K116=0,"",K252/K116)</f>
        <v/>
      </c>
      <c r="L100" s="110" t="str">
        <f t="shared" si="20"/>
        <v/>
      </c>
      <c r="M100" s="110">
        <f t="shared" si="20"/>
        <v>0</v>
      </c>
      <c r="N100" s="110">
        <f t="shared" si="20"/>
        <v>0</v>
      </c>
      <c r="O100" s="110">
        <f t="shared" si="20"/>
        <v>0</v>
      </c>
      <c r="P100" s="110">
        <f t="shared" si="20"/>
        <v>0</v>
      </c>
      <c r="Q100" s="110">
        <f t="shared" si="20"/>
        <v>0</v>
      </c>
      <c r="R100" s="110">
        <f t="shared" si="20"/>
        <v>0</v>
      </c>
      <c r="S100" s="110">
        <f t="shared" si="20"/>
        <v>0</v>
      </c>
      <c r="T100" s="110">
        <f t="shared" si="20"/>
        <v>0</v>
      </c>
      <c r="U100" s="110">
        <f t="shared" si="20"/>
        <v>0</v>
      </c>
      <c r="V100" s="110">
        <f t="shared" si="20"/>
        <v>0</v>
      </c>
      <c r="W100" s="110">
        <f t="shared" si="20"/>
        <v>0</v>
      </c>
      <c r="X100" s="110">
        <f t="shared" si="20"/>
        <v>0</v>
      </c>
      <c r="Y100" s="110">
        <f t="shared" si="20"/>
        <v>0</v>
      </c>
      <c r="Z100" s="110">
        <f t="shared" si="20"/>
        <v>0</v>
      </c>
      <c r="AA100" s="110">
        <f t="shared" si="20"/>
        <v>0</v>
      </c>
      <c r="AB100" s="110">
        <f t="shared" si="20"/>
        <v>0</v>
      </c>
      <c r="AC100" s="110">
        <f t="shared" si="20"/>
        <v>0</v>
      </c>
      <c r="AD100" s="110">
        <f t="shared" si="20"/>
        <v>0</v>
      </c>
      <c r="AE100" s="110">
        <f t="shared" si="20"/>
        <v>0</v>
      </c>
      <c r="AF100" s="110">
        <f t="shared" si="20"/>
        <v>0</v>
      </c>
      <c r="AG100" s="110">
        <f t="shared" si="20"/>
        <v>0</v>
      </c>
      <c r="AH100" s="110">
        <f t="shared" si="20"/>
        <v>0</v>
      </c>
      <c r="AI100" s="110">
        <f t="shared" si="20"/>
        <v>0</v>
      </c>
      <c r="AJ100" s="110">
        <f t="shared" si="20"/>
        <v>0</v>
      </c>
      <c r="AK100" s="110">
        <f t="shared" si="20"/>
        <v>0</v>
      </c>
      <c r="AL100" s="110">
        <f t="shared" si="20"/>
        <v>0</v>
      </c>
      <c r="AM100" s="110">
        <f t="shared" si="20"/>
        <v>0</v>
      </c>
      <c r="AN100" s="111">
        <f t="shared" si="20"/>
        <v>0</v>
      </c>
    </row>
    <row r="101" spans="1:41" ht="20.100000000000001" customHeight="1">
      <c r="A101" s="92"/>
      <c r="B101" s="96"/>
      <c r="C101" s="79"/>
      <c r="D101" s="79"/>
      <c r="E101" s="97"/>
      <c r="F101" s="112" t="s">
        <v>157</v>
      </c>
      <c r="K101" s="113">
        <f>SUM(K93:K100)</f>
        <v>0</v>
      </c>
      <c r="L101" s="113" t="e">
        <f>SUM(L93:L100)</f>
        <v>#DIV/0!</v>
      </c>
      <c r="M101" s="113" t="e">
        <f t="shared" ref="M101:AN101" si="21">SUM(M93:M100)</f>
        <v>#DIV/0!</v>
      </c>
      <c r="N101" s="113" t="e">
        <f t="shared" si="21"/>
        <v>#DIV/0!</v>
      </c>
      <c r="O101" s="113" t="e">
        <f t="shared" si="21"/>
        <v>#REF!</v>
      </c>
      <c r="P101" s="113" t="e">
        <f t="shared" si="21"/>
        <v>#REF!</v>
      </c>
      <c r="Q101" s="113" t="e">
        <f t="shared" si="21"/>
        <v>#REF!</v>
      </c>
      <c r="R101" s="113" t="e">
        <f t="shared" si="21"/>
        <v>#REF!</v>
      </c>
      <c r="S101" s="113" t="e">
        <f t="shared" si="21"/>
        <v>#REF!</v>
      </c>
      <c r="T101" s="113" t="e">
        <f t="shared" si="21"/>
        <v>#REF!</v>
      </c>
      <c r="U101" s="113" t="e">
        <f t="shared" si="21"/>
        <v>#REF!</v>
      </c>
      <c r="V101" s="113" t="e">
        <f t="shared" si="21"/>
        <v>#REF!</v>
      </c>
      <c r="W101" s="113" t="e">
        <f t="shared" si="21"/>
        <v>#REF!</v>
      </c>
      <c r="X101" s="113" t="e">
        <f t="shared" si="21"/>
        <v>#REF!</v>
      </c>
      <c r="Y101" s="113" t="e">
        <f t="shared" si="21"/>
        <v>#REF!</v>
      </c>
      <c r="Z101" s="113" t="e">
        <f t="shared" si="21"/>
        <v>#REF!</v>
      </c>
      <c r="AA101" s="113" t="e">
        <f t="shared" si="21"/>
        <v>#REF!</v>
      </c>
      <c r="AB101" s="113" t="e">
        <f t="shared" si="21"/>
        <v>#REF!</v>
      </c>
      <c r="AC101" s="113" t="e">
        <f t="shared" si="21"/>
        <v>#REF!</v>
      </c>
      <c r="AD101" s="113" t="e">
        <f t="shared" si="21"/>
        <v>#REF!</v>
      </c>
      <c r="AE101" s="113" t="e">
        <f t="shared" si="21"/>
        <v>#REF!</v>
      </c>
      <c r="AF101" s="113" t="e">
        <f t="shared" si="21"/>
        <v>#REF!</v>
      </c>
      <c r="AG101" s="113" t="e">
        <f t="shared" si="21"/>
        <v>#REF!</v>
      </c>
      <c r="AH101" s="113" t="e">
        <f t="shared" si="21"/>
        <v>#REF!</v>
      </c>
      <c r="AI101" s="113" t="e">
        <f t="shared" si="21"/>
        <v>#REF!</v>
      </c>
      <c r="AJ101" s="113" t="e">
        <f t="shared" si="21"/>
        <v>#REF!</v>
      </c>
      <c r="AK101" s="113" t="e">
        <f t="shared" si="21"/>
        <v>#REF!</v>
      </c>
      <c r="AL101" s="113" t="e">
        <f t="shared" si="21"/>
        <v>#REF!</v>
      </c>
      <c r="AM101" s="113" t="e">
        <f t="shared" si="21"/>
        <v>#REF!</v>
      </c>
      <c r="AN101" s="113" t="e">
        <f t="shared" si="21"/>
        <v>#REF!</v>
      </c>
    </row>
    <row r="102" spans="1:41" ht="20.100000000000001" customHeight="1">
      <c r="A102" s="92"/>
      <c r="B102" s="96"/>
      <c r="C102" s="79"/>
      <c r="D102" s="79"/>
      <c r="E102" s="105"/>
    </row>
    <row r="103" spans="1:41" ht="20.100000000000001" customHeight="1">
      <c r="A103" s="92" t="s">
        <v>154</v>
      </c>
      <c r="B103" s="114"/>
      <c r="C103" s="79"/>
      <c r="D103" s="79"/>
      <c r="E103" s="97"/>
    </row>
    <row r="104" spans="1:41" ht="20.100000000000001" customHeight="1" thickBot="1">
      <c r="A104" s="92"/>
      <c r="B104" s="115" t="s">
        <v>155</v>
      </c>
      <c r="C104" s="115" t="s">
        <v>153</v>
      </c>
      <c r="D104" s="115" t="s">
        <v>156</v>
      </c>
      <c r="E104" s="105"/>
    </row>
    <row r="105" spans="1:41" ht="20.100000000000001" customHeight="1">
      <c r="A105" s="92"/>
      <c r="B105" s="116" t="e">
        <f>IF(#REF!=1,$U$2,"")</f>
        <v>#REF!</v>
      </c>
      <c r="C105" s="117" t="e">
        <f>IF(#REF!=1,$U$2,"")</f>
        <v>#REF!</v>
      </c>
      <c r="D105" s="117" t="e">
        <f>IF(#REF!=1,$U$2,"")</f>
        <v>#REF!</v>
      </c>
      <c r="E105" s="97"/>
      <c r="F105" s="114"/>
      <c r="G105" s="114"/>
      <c r="H105" s="114"/>
      <c r="I105" s="114"/>
      <c r="J105" s="114"/>
      <c r="K105" s="114"/>
      <c r="L105" s="114"/>
      <c r="M105" s="114"/>
      <c r="N105" s="114"/>
      <c r="O105" s="114"/>
      <c r="P105" s="114"/>
      <c r="Q105" s="114"/>
    </row>
    <row r="106" spans="1:41" ht="20.100000000000001" customHeight="1">
      <c r="A106" s="92"/>
      <c r="B106" s="118" t="str">
        <f ca="1">IF((YEAR(TODAY())-MIN('DEFAULT DATA'!B6:CV6))&lt;5,"l","")</f>
        <v/>
      </c>
      <c r="C106" s="119"/>
      <c r="D106" s="119"/>
      <c r="E106" s="97"/>
    </row>
    <row r="107" spans="1:41" ht="20.100000000000001" customHeight="1">
      <c r="A107" s="92"/>
      <c r="B107" s="120"/>
      <c r="C107" s="121" t="e">
        <f>IF(#REF!=2,$U$2,"")</f>
        <v>#REF!</v>
      </c>
      <c r="D107" s="121" t="e">
        <f>IF(#REF!=2,$U$2,"")</f>
        <v>#REF!</v>
      </c>
      <c r="E107" s="97"/>
    </row>
    <row r="108" spans="1:41" ht="20.100000000000001" customHeight="1">
      <c r="A108" s="122"/>
      <c r="B108" s="120" t="str">
        <f ca="1">IF(AND((YEAR(TODAY())-MIN('DEFAULT DATA'!B6:CV6))&gt;5,(YEAR(TODAY())-MIN('DEFAULT DATA'!B6:CV6))&lt;10),"l","")</f>
        <v>l</v>
      </c>
      <c r="C108" s="123"/>
      <c r="D108" s="123"/>
      <c r="E108" s="97"/>
    </row>
    <row r="109" spans="1:41" ht="20.100000000000001" customHeight="1">
      <c r="A109" s="87"/>
      <c r="B109" s="118" t="e">
        <f>IF(#REF!=3,$U$2,"")</f>
        <v>#REF!</v>
      </c>
      <c r="C109" s="124" t="e">
        <f>IF(#REF!=3,$U$2,"")</f>
        <v>#REF!</v>
      </c>
      <c r="D109" s="124" t="e">
        <f>IF(#REF!=3,$U$2,"")</f>
        <v>#REF!</v>
      </c>
      <c r="E109" s="125" t="s">
        <v>188</v>
      </c>
    </row>
    <row r="110" spans="1:41" ht="20.100000000000001" customHeight="1">
      <c r="A110" s="92"/>
      <c r="B110" s="126" t="str">
        <f ca="1">IF((YEAR(TODAY())-MIN('DEFAULT DATA'!B6:CV6))&gt;10,"l","")</f>
        <v/>
      </c>
      <c r="C110" s="127"/>
      <c r="D110" s="127"/>
      <c r="E110" s="125" t="s">
        <v>187</v>
      </c>
    </row>
    <row r="111" spans="1:41" ht="20.100000000000001" customHeight="1" thickBot="1">
      <c r="A111" s="128"/>
      <c r="B111" s="129"/>
      <c r="C111" s="130"/>
      <c r="D111" s="130"/>
      <c r="E111" s="131"/>
    </row>
    <row r="112" spans="1:41" ht="20.100000000000001" customHeight="1" thickBot="1">
      <c r="A112" s="606" t="s">
        <v>158</v>
      </c>
      <c r="B112" s="607"/>
      <c r="C112" s="607"/>
      <c r="D112" s="607"/>
      <c r="E112" s="607"/>
      <c r="F112" s="132" t="s">
        <v>170</v>
      </c>
      <c r="G112" s="68"/>
      <c r="H112" s="68"/>
      <c r="I112" s="68"/>
      <c r="J112" s="68"/>
      <c r="K112" s="54">
        <v>2021</v>
      </c>
      <c r="L112" s="54">
        <f>K112+1</f>
        <v>2022</v>
      </c>
      <c r="M112" s="54">
        <f t="shared" ref="M112:AN112" si="22">L112+1</f>
        <v>2023</v>
      </c>
      <c r="N112" s="54">
        <f t="shared" si="22"/>
        <v>2024</v>
      </c>
      <c r="O112" s="54">
        <f t="shared" si="22"/>
        <v>2025</v>
      </c>
      <c r="P112" s="54">
        <f t="shared" si="22"/>
        <v>2026</v>
      </c>
      <c r="Q112" s="54">
        <f t="shared" si="22"/>
        <v>2027</v>
      </c>
      <c r="R112" s="54">
        <f t="shared" si="22"/>
        <v>2028</v>
      </c>
      <c r="S112" s="54">
        <f t="shared" si="22"/>
        <v>2029</v>
      </c>
      <c r="T112" s="54">
        <f t="shared" si="22"/>
        <v>2030</v>
      </c>
      <c r="U112" s="54">
        <f t="shared" si="22"/>
        <v>2031</v>
      </c>
      <c r="V112" s="54">
        <f t="shared" si="22"/>
        <v>2032</v>
      </c>
      <c r="W112" s="54">
        <f t="shared" si="22"/>
        <v>2033</v>
      </c>
      <c r="X112" s="54">
        <f t="shared" si="22"/>
        <v>2034</v>
      </c>
      <c r="Y112" s="54">
        <f t="shared" si="22"/>
        <v>2035</v>
      </c>
      <c r="Z112" s="54">
        <f t="shared" si="22"/>
        <v>2036</v>
      </c>
      <c r="AA112" s="54">
        <f t="shared" si="22"/>
        <v>2037</v>
      </c>
      <c r="AB112" s="54">
        <f t="shared" si="22"/>
        <v>2038</v>
      </c>
      <c r="AC112" s="54">
        <f t="shared" si="22"/>
        <v>2039</v>
      </c>
      <c r="AD112" s="54">
        <f t="shared" si="22"/>
        <v>2040</v>
      </c>
      <c r="AE112" s="54">
        <f t="shared" si="22"/>
        <v>2041</v>
      </c>
      <c r="AF112" s="54">
        <f t="shared" si="22"/>
        <v>2042</v>
      </c>
      <c r="AG112" s="54">
        <f t="shared" si="22"/>
        <v>2043</v>
      </c>
      <c r="AH112" s="54">
        <f t="shared" si="22"/>
        <v>2044</v>
      </c>
      <c r="AI112" s="54">
        <f t="shared" si="22"/>
        <v>2045</v>
      </c>
      <c r="AJ112" s="54">
        <f t="shared" si="22"/>
        <v>2046</v>
      </c>
      <c r="AK112" s="54">
        <f t="shared" si="22"/>
        <v>2047</v>
      </c>
      <c r="AL112" s="54">
        <f t="shared" si="22"/>
        <v>2048</v>
      </c>
      <c r="AM112" s="54">
        <f t="shared" si="22"/>
        <v>2049</v>
      </c>
      <c r="AN112" s="54">
        <f t="shared" si="22"/>
        <v>2050</v>
      </c>
      <c r="AO112" s="46"/>
    </row>
    <row r="113" spans="1:41" ht="20.100000000000001" customHeight="1">
      <c r="A113" s="133"/>
      <c r="B113" s="134"/>
      <c r="C113" s="134"/>
      <c r="D113" s="134"/>
      <c r="E113" s="37"/>
      <c r="F113" s="135" t="s">
        <v>163</v>
      </c>
      <c r="G113" s="136" t="s">
        <v>137</v>
      </c>
      <c r="H113" s="136"/>
      <c r="I113" s="136"/>
      <c r="J113" s="136"/>
      <c r="K113" s="54">
        <f>INDEX('DEFAULT DATA'!$B$9:$D$41,START!$B$3,1)</f>
        <v>0.5</v>
      </c>
      <c r="L113" s="54">
        <f>INDEX('DEFAULT DATA'!$B$9:$D$41,START!$B$3,1)</f>
        <v>0.5</v>
      </c>
      <c r="M113" s="54">
        <f>INDEX('DEFAULT DATA'!$B$9:$D$41,START!$B$3,1)</f>
        <v>0.5</v>
      </c>
      <c r="N113" s="54">
        <f>INDEX('DEFAULT DATA'!$B$9:$D$41,START!$B$3,1)</f>
        <v>0.5</v>
      </c>
      <c r="O113" s="54">
        <f>INDEX('DEFAULT DATA'!$B$9:$D$41,START!$B$3,1)</f>
        <v>0.5</v>
      </c>
      <c r="P113" s="54">
        <f>INDEX('DEFAULT DATA'!$B$9:$D$41,START!$B$3,1)</f>
        <v>0.5</v>
      </c>
      <c r="Q113" s="54">
        <f>INDEX('DEFAULT DATA'!$B$9:$D$41,START!$B$3,1)</f>
        <v>0.5</v>
      </c>
      <c r="R113" s="54">
        <f>INDEX('DEFAULT DATA'!$B$9:$D$41,START!$B$3,1)</f>
        <v>0.5</v>
      </c>
      <c r="S113" s="54">
        <f>INDEX('DEFAULT DATA'!$B$9:$D$41,START!$B$3,1)</f>
        <v>0.5</v>
      </c>
      <c r="T113" s="54">
        <f>INDEX('DEFAULT DATA'!$B$9:$D$41,START!$B$3,1)</f>
        <v>0.5</v>
      </c>
      <c r="U113" s="54">
        <f>INDEX('DEFAULT DATA'!$B$9:$D$41,START!$B$3,2)</f>
        <v>0.5</v>
      </c>
      <c r="V113" s="54">
        <f>INDEX('DEFAULT DATA'!$B$9:$D$41,START!$B$3,2)</f>
        <v>0.5</v>
      </c>
      <c r="W113" s="54">
        <f>INDEX('DEFAULT DATA'!$B$9:$D$41,START!$B$3,2)</f>
        <v>0.5</v>
      </c>
      <c r="X113" s="54">
        <f>INDEX('DEFAULT DATA'!$B$9:$D$41,START!$B$3,2)</f>
        <v>0.5</v>
      </c>
      <c r="Y113" s="54">
        <f>INDEX('DEFAULT DATA'!$B$9:$D$41,START!$B$3,2)</f>
        <v>0.5</v>
      </c>
      <c r="Z113" s="54">
        <f>INDEX('DEFAULT DATA'!$B$9:$D$41,START!$B$3,2)</f>
        <v>0.5</v>
      </c>
      <c r="AA113" s="54">
        <f>INDEX('DEFAULT DATA'!$B$9:$D$41,START!$B$3,2)</f>
        <v>0.5</v>
      </c>
      <c r="AB113" s="54">
        <f>INDEX('DEFAULT DATA'!$B$9:$D$41,START!$B$3,2)</f>
        <v>0.5</v>
      </c>
      <c r="AC113" s="54">
        <f>INDEX('DEFAULT DATA'!$B$9:$D$41,START!$B$3,2)</f>
        <v>0.5</v>
      </c>
      <c r="AD113" s="54">
        <f>INDEX('DEFAULT DATA'!$B$9:$D$41,START!$B$3,2)</f>
        <v>0.5</v>
      </c>
      <c r="AE113" s="54">
        <f>INDEX('DEFAULT DATA'!$B$9:$D$41,START!$B$3,3)</f>
        <v>0.5</v>
      </c>
      <c r="AF113" s="54">
        <f>INDEX('DEFAULT DATA'!$B$9:$D$41,START!$B$3,3)</f>
        <v>0.5</v>
      </c>
      <c r="AG113" s="54">
        <f>INDEX('DEFAULT DATA'!$B$9:$D$41,START!$B$3,3)</f>
        <v>0.5</v>
      </c>
      <c r="AH113" s="54">
        <f>INDEX('DEFAULT DATA'!$B$9:$D$41,START!$B$3,3)</f>
        <v>0.5</v>
      </c>
      <c r="AI113" s="54">
        <f>INDEX('DEFAULT DATA'!$B$9:$D$41,START!$B$3,3)</f>
        <v>0.5</v>
      </c>
      <c r="AJ113" s="54">
        <f>INDEX('DEFAULT DATA'!$B$9:$D$41,START!$B$3,3)</f>
        <v>0.5</v>
      </c>
      <c r="AK113" s="54">
        <f>INDEX('DEFAULT DATA'!$B$9:$D$41,START!$B$3,3)</f>
        <v>0.5</v>
      </c>
      <c r="AL113" s="54">
        <f>INDEX('DEFAULT DATA'!$B$9:$D$41,START!$B$3,3)</f>
        <v>0.5</v>
      </c>
      <c r="AM113" s="54">
        <f>INDEX('DEFAULT DATA'!$B$9:$D$41,START!$B$3,3)</f>
        <v>0.5</v>
      </c>
      <c r="AN113" s="54">
        <f>INDEX('DEFAULT DATA'!$B$9:$D$41,START!$B$3,3)</f>
        <v>0.5</v>
      </c>
      <c r="AO113" s="46"/>
    </row>
    <row r="114" spans="1:41" ht="20.100000000000001" customHeight="1">
      <c r="A114" s="57" t="s">
        <v>163</v>
      </c>
      <c r="B114" s="69"/>
      <c r="C114" s="137"/>
      <c r="D114" s="69"/>
      <c r="E114" s="42"/>
      <c r="F114" s="138" t="s">
        <v>166</v>
      </c>
      <c r="G114" s="136" t="s">
        <v>165</v>
      </c>
      <c r="H114" s="136"/>
      <c r="I114" s="136"/>
      <c r="J114" s="136"/>
      <c r="K114" s="54">
        <v>0</v>
      </c>
      <c r="L114" s="54">
        <f>IF(L112=$C$3,START!$B$4,INT(TRANSPORT!K114*(100+TRANSPORT!L113)/100))</f>
        <v>0</v>
      </c>
      <c r="M114" s="54">
        <f>IF(M112=$C$3,START!$B$4,INT(TRANSPORT!L114*(100+TRANSPORT!M113)/100))</f>
        <v>0</v>
      </c>
      <c r="N114" s="54">
        <f>IF(N112=$C$3,START!$B$4,INT(TRANSPORT!M114*(100+TRANSPORT!N113)/100))</f>
        <v>0</v>
      </c>
      <c r="O114" s="54">
        <f>IF(O112=$C$3,START!$B$4,INT(TRANSPORT!N114*(100+TRANSPORT!O113)/100))</f>
        <v>21000</v>
      </c>
      <c r="P114" s="54">
        <f>IF(P112=$C$3,START!$B$4,INT(TRANSPORT!O114*(100+TRANSPORT!P113)/100))</f>
        <v>21105</v>
      </c>
      <c r="Q114" s="54">
        <f>IF(Q112=$C$3,START!$B$4,INT(TRANSPORT!P114*(100+TRANSPORT!Q113)/100))</f>
        <v>21210</v>
      </c>
      <c r="R114" s="54">
        <f>IF(R112=$C$3,START!$B$4,INT(TRANSPORT!Q114*(100+TRANSPORT!R113)/100))</f>
        <v>21316</v>
      </c>
      <c r="S114" s="54">
        <f>IF(S112=$C$3,START!$B$4,INT(TRANSPORT!R114*(100+TRANSPORT!S113)/100))</f>
        <v>21422</v>
      </c>
      <c r="T114" s="54">
        <f>IF(T112=$C$3,START!$B$4,INT(TRANSPORT!S114*(100+TRANSPORT!T113)/100))</f>
        <v>21529</v>
      </c>
      <c r="U114" s="54">
        <f>IF(U112=$C$3,START!$B$4,INT(TRANSPORT!T114*(100+TRANSPORT!U113)/100))</f>
        <v>21636</v>
      </c>
      <c r="V114" s="54">
        <f>IF(V112=$C$3,START!$B$4,INT(TRANSPORT!U114*(100+TRANSPORT!V113)/100))</f>
        <v>21744</v>
      </c>
      <c r="W114" s="54">
        <f>IF(W112=$C$3,START!$B$4,INT(TRANSPORT!V114*(100+TRANSPORT!W113)/100))</f>
        <v>21852</v>
      </c>
      <c r="X114" s="54">
        <f>IF(X112=$C$3,START!$B$4,INT(TRANSPORT!W114*(100+TRANSPORT!X113)/100))</f>
        <v>21961</v>
      </c>
      <c r="Y114" s="54">
        <f>IF(Y112=$C$3,START!$B$4,INT(TRANSPORT!X114*(100+TRANSPORT!Y113)/100))</f>
        <v>22070</v>
      </c>
      <c r="Z114" s="54">
        <f>IF(Z112=$C$3,START!$B$4,INT(TRANSPORT!Y114*(100+TRANSPORT!Z113)/100))</f>
        <v>22180</v>
      </c>
      <c r="AA114" s="54">
        <f>IF(AA112=$C$3,START!$B$4,INT(TRANSPORT!Z114*(100+TRANSPORT!AA113)/100))</f>
        <v>22290</v>
      </c>
      <c r="AB114" s="54">
        <f>IF(AB112=$C$3,START!$B$4,INT(TRANSPORT!AA114*(100+TRANSPORT!AB113)/100))</f>
        <v>22401</v>
      </c>
      <c r="AC114" s="54">
        <f>IF(AC112=$C$3,START!$B$4,INT(TRANSPORT!AB114*(100+TRANSPORT!AC113)/100))</f>
        <v>22513</v>
      </c>
      <c r="AD114" s="54">
        <f>IF(AD112=$C$3,START!$B$4,INT(TRANSPORT!AC114*(100+TRANSPORT!AD113)/100))</f>
        <v>22625</v>
      </c>
      <c r="AE114" s="54">
        <f>IF(AE112=$C$3,START!$B$4,INT(TRANSPORT!AD114*(100+TRANSPORT!AE113)/100))</f>
        <v>22738</v>
      </c>
      <c r="AF114" s="54">
        <f>IF(AF112=$C$3,START!$B$4,INT(TRANSPORT!AE114*(100+TRANSPORT!AF113)/100))</f>
        <v>22851</v>
      </c>
      <c r="AG114" s="54">
        <f>IF(AG112=$C$3,START!$B$4,INT(TRANSPORT!AF114*(100+TRANSPORT!AG113)/100))</f>
        <v>22965</v>
      </c>
      <c r="AH114" s="54">
        <f>IF(AH112=$C$3,START!$B$4,INT(TRANSPORT!AG114*(100+TRANSPORT!AH113)/100))</f>
        <v>23079</v>
      </c>
      <c r="AI114" s="54">
        <f>IF(AI112=$C$3,START!$B$4,INT(TRANSPORT!AH114*(100+TRANSPORT!AI113)/100))</f>
        <v>23194</v>
      </c>
      <c r="AJ114" s="54">
        <f>IF(AJ112=$C$3,START!$B$4,INT(TRANSPORT!AI114*(100+TRANSPORT!AJ113)/100))</f>
        <v>23309</v>
      </c>
      <c r="AK114" s="54">
        <f>IF(AK112=$C$3,START!$B$4,INT(TRANSPORT!AJ114*(100+TRANSPORT!AK113)/100))</f>
        <v>23425</v>
      </c>
      <c r="AL114" s="54">
        <f>IF(AL112=$C$3,START!$B$4,INT(TRANSPORT!AK114*(100+TRANSPORT!AL113)/100))</f>
        <v>23542</v>
      </c>
      <c r="AM114" s="54">
        <f>IF(AM112=$C$3,START!$B$4,INT(TRANSPORT!AL114*(100+TRANSPORT!AM113)/100))</f>
        <v>23659</v>
      </c>
      <c r="AN114" s="54">
        <f>IF(AN112=$C$3,START!$B$4,INT(TRANSPORT!AM114*(100+TRANSPORT!AN113)/100))</f>
        <v>23777</v>
      </c>
      <c r="AO114" s="46"/>
    </row>
    <row r="115" spans="1:41" ht="20.100000000000001" customHeight="1">
      <c r="A115" s="139" t="s">
        <v>164</v>
      </c>
      <c r="B115" s="65"/>
      <c r="C115" s="140">
        <v>5000</v>
      </c>
      <c r="D115" s="65"/>
      <c r="E115" s="141" t="s">
        <v>172</v>
      </c>
      <c r="F115" s="142" t="s">
        <v>271</v>
      </c>
      <c r="G115" s="136" t="s">
        <v>168</v>
      </c>
      <c r="H115" s="136"/>
      <c r="I115" s="136"/>
      <c r="J115" s="136"/>
      <c r="K115" s="54">
        <v>0</v>
      </c>
      <c r="L115" s="54">
        <f>IF(AND(L112&gt;(2020+$B$117),L112&lt;(2022+$C$117)),ROUND(K115+($C$115/($C$117-$B$117+1)),0),ROUND(K115*(100+L113)/100,0))</f>
        <v>0</v>
      </c>
      <c r="M115" s="54">
        <f t="shared" ref="M115:AN115" si="23">IF(AND(M112&gt;(2020+$B$117),M112&lt;(2022+$C$117)),ROUND(L115+($C$115/($C$117-$B$117+1)),0),ROUND(L115*(100+M113)/100,0))</f>
        <v>625</v>
      </c>
      <c r="N115" s="54">
        <f t="shared" si="23"/>
        <v>1250</v>
      </c>
      <c r="O115" s="54">
        <f t="shared" si="23"/>
        <v>1875</v>
      </c>
      <c r="P115" s="54">
        <f t="shared" si="23"/>
        <v>2500</v>
      </c>
      <c r="Q115" s="54">
        <f t="shared" si="23"/>
        <v>3125</v>
      </c>
      <c r="R115" s="54">
        <f>IF(AND(R112&gt;(2020+$B$117),R112&lt;(2022+$C$117)),ROUND(Q115+($C$115/($C$117-$B$117+1)),0),ROUND(Q115*(100+R113)/100,0))</f>
        <v>3750</v>
      </c>
      <c r="S115" s="54">
        <f t="shared" si="23"/>
        <v>4375</v>
      </c>
      <c r="T115" s="54">
        <f t="shared" si="23"/>
        <v>5000</v>
      </c>
      <c r="U115" s="54">
        <f t="shared" si="23"/>
        <v>5025</v>
      </c>
      <c r="V115" s="54">
        <f t="shared" si="23"/>
        <v>5050</v>
      </c>
      <c r="W115" s="54">
        <f t="shared" si="23"/>
        <v>5075</v>
      </c>
      <c r="X115" s="54">
        <f t="shared" si="23"/>
        <v>5100</v>
      </c>
      <c r="Y115" s="54">
        <f t="shared" si="23"/>
        <v>5126</v>
      </c>
      <c r="Z115" s="54">
        <f t="shared" si="23"/>
        <v>5152</v>
      </c>
      <c r="AA115" s="54">
        <f t="shared" si="23"/>
        <v>5178</v>
      </c>
      <c r="AB115" s="54">
        <f t="shared" si="23"/>
        <v>5204</v>
      </c>
      <c r="AC115" s="54">
        <f t="shared" si="23"/>
        <v>5230</v>
      </c>
      <c r="AD115" s="54">
        <f t="shared" si="23"/>
        <v>5256</v>
      </c>
      <c r="AE115" s="54">
        <f t="shared" si="23"/>
        <v>5282</v>
      </c>
      <c r="AF115" s="54">
        <f t="shared" si="23"/>
        <v>5308</v>
      </c>
      <c r="AG115" s="54">
        <f t="shared" si="23"/>
        <v>5335</v>
      </c>
      <c r="AH115" s="54">
        <f t="shared" si="23"/>
        <v>5362</v>
      </c>
      <c r="AI115" s="54">
        <f t="shared" si="23"/>
        <v>5389</v>
      </c>
      <c r="AJ115" s="54">
        <f t="shared" si="23"/>
        <v>5416</v>
      </c>
      <c r="AK115" s="54">
        <f t="shared" si="23"/>
        <v>5443</v>
      </c>
      <c r="AL115" s="54">
        <f t="shared" si="23"/>
        <v>5470</v>
      </c>
      <c r="AM115" s="54">
        <f t="shared" si="23"/>
        <v>5497</v>
      </c>
      <c r="AN115" s="54">
        <f t="shared" si="23"/>
        <v>5524</v>
      </c>
      <c r="AO115" s="46"/>
    </row>
    <row r="116" spans="1:41" ht="20.100000000000001" customHeight="1">
      <c r="A116" s="139" t="s">
        <v>159</v>
      </c>
      <c r="B116" s="59" t="s">
        <v>160</v>
      </c>
      <c r="C116" s="59" t="s">
        <v>161</v>
      </c>
      <c r="D116" s="65"/>
      <c r="E116" s="44"/>
      <c r="F116" s="138" t="s">
        <v>167</v>
      </c>
      <c r="G116" s="136" t="s">
        <v>169</v>
      </c>
      <c r="H116" s="136"/>
      <c r="I116" s="136"/>
      <c r="J116" s="136"/>
      <c r="K116" s="54">
        <f>K114+K115</f>
        <v>0</v>
      </c>
      <c r="L116" s="54">
        <f t="shared" ref="L116:AN116" si="24">L114+L115</f>
        <v>0</v>
      </c>
      <c r="M116" s="54">
        <f t="shared" si="24"/>
        <v>625</v>
      </c>
      <c r="N116" s="54">
        <f t="shared" si="24"/>
        <v>1250</v>
      </c>
      <c r="O116" s="54">
        <f t="shared" si="24"/>
        <v>22875</v>
      </c>
      <c r="P116" s="54">
        <f t="shared" si="24"/>
        <v>23605</v>
      </c>
      <c r="Q116" s="54">
        <f t="shared" si="24"/>
        <v>24335</v>
      </c>
      <c r="R116" s="54">
        <f t="shared" si="24"/>
        <v>25066</v>
      </c>
      <c r="S116" s="54">
        <f t="shared" si="24"/>
        <v>25797</v>
      </c>
      <c r="T116" s="54">
        <f t="shared" si="24"/>
        <v>26529</v>
      </c>
      <c r="U116" s="54">
        <f t="shared" si="24"/>
        <v>26661</v>
      </c>
      <c r="V116" s="54">
        <f t="shared" si="24"/>
        <v>26794</v>
      </c>
      <c r="W116" s="54">
        <f t="shared" si="24"/>
        <v>26927</v>
      </c>
      <c r="X116" s="54">
        <f t="shared" si="24"/>
        <v>27061</v>
      </c>
      <c r="Y116" s="54">
        <f t="shared" si="24"/>
        <v>27196</v>
      </c>
      <c r="Z116" s="54">
        <f t="shared" si="24"/>
        <v>27332</v>
      </c>
      <c r="AA116" s="54">
        <f t="shared" si="24"/>
        <v>27468</v>
      </c>
      <c r="AB116" s="54">
        <f t="shared" si="24"/>
        <v>27605</v>
      </c>
      <c r="AC116" s="54">
        <f t="shared" si="24"/>
        <v>27743</v>
      </c>
      <c r="AD116" s="54">
        <f t="shared" si="24"/>
        <v>27881</v>
      </c>
      <c r="AE116" s="54">
        <f t="shared" si="24"/>
        <v>28020</v>
      </c>
      <c r="AF116" s="54">
        <f t="shared" si="24"/>
        <v>28159</v>
      </c>
      <c r="AG116" s="54">
        <f t="shared" si="24"/>
        <v>28300</v>
      </c>
      <c r="AH116" s="54">
        <f t="shared" si="24"/>
        <v>28441</v>
      </c>
      <c r="AI116" s="54">
        <f t="shared" si="24"/>
        <v>28583</v>
      </c>
      <c r="AJ116" s="54">
        <f t="shared" si="24"/>
        <v>28725</v>
      </c>
      <c r="AK116" s="54">
        <f t="shared" si="24"/>
        <v>28868</v>
      </c>
      <c r="AL116" s="54">
        <f t="shared" si="24"/>
        <v>29012</v>
      </c>
      <c r="AM116" s="54">
        <f t="shared" si="24"/>
        <v>29156</v>
      </c>
      <c r="AN116" s="54">
        <f t="shared" si="24"/>
        <v>29301</v>
      </c>
      <c r="AO116" s="46"/>
    </row>
    <row r="117" spans="1:41" ht="20.100000000000001" customHeight="1">
      <c r="A117" s="64"/>
      <c r="B117" s="65">
        <v>2</v>
      </c>
      <c r="C117" s="65">
        <v>9</v>
      </c>
      <c r="D117" s="65"/>
      <c r="E117" s="44"/>
      <c r="F117" s="143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</row>
    <row r="118" spans="1:41" ht="20.100000000000001" customHeight="1">
      <c r="A118" s="608" t="str">
        <f>IF(C117&lt;B117,"! end year has to be after start year!","")</f>
        <v/>
      </c>
      <c r="B118" s="609"/>
      <c r="C118" s="609"/>
      <c r="D118" s="65"/>
      <c r="E118" s="44"/>
      <c r="F118" s="144" t="s">
        <v>269</v>
      </c>
      <c r="G118" s="145"/>
      <c r="H118" s="145"/>
      <c r="I118" s="145"/>
      <c r="J118" s="145"/>
      <c r="K118" s="146" t="s">
        <v>89</v>
      </c>
      <c r="L118" s="48" t="s">
        <v>91</v>
      </c>
      <c r="M118" s="49" t="s">
        <v>92</v>
      </c>
      <c r="N118" s="48" t="s">
        <v>98</v>
      </c>
      <c r="O118" s="49" t="s">
        <v>93</v>
      </c>
      <c r="P118" s="49" t="s">
        <v>94</v>
      </c>
      <c r="Q118" s="49" t="s">
        <v>259</v>
      </c>
      <c r="R118" s="49" t="s">
        <v>260</v>
      </c>
      <c r="S118" s="50" t="s">
        <v>261</v>
      </c>
    </row>
    <row r="119" spans="1:41" ht="20.100000000000001" customHeight="1">
      <c r="A119" s="147" t="str">
        <f>IF(B117&lt;START!B2,"!  New residents scheduled starting year for the study","")</f>
        <v>!  New residents scheduled starting year for the study</v>
      </c>
      <c r="B119" s="27"/>
      <c r="C119" s="27"/>
      <c r="D119" s="65"/>
      <c r="E119" s="44"/>
      <c r="F119" s="148" t="s">
        <v>268</v>
      </c>
      <c r="G119" s="52" t="s">
        <v>84</v>
      </c>
      <c r="H119" s="52"/>
      <c r="I119" s="52"/>
      <c r="J119" s="52"/>
      <c r="K119" s="53">
        <f>C5</f>
        <v>75</v>
      </c>
      <c r="L119" s="221">
        <f>INDEX('DEFAULT DATA'!$T$9:$X$41,START!$B$3,1)</f>
        <v>2</v>
      </c>
      <c r="M119" s="221">
        <f>INDEX('DEFAULT DATA'!$AV$9:$AZ$41,START!$B$3,1)</f>
        <v>0.3</v>
      </c>
      <c r="N119" s="221">
        <v>1</v>
      </c>
      <c r="O119" s="221">
        <v>1</v>
      </c>
      <c r="P119" s="221">
        <f>INDEX('DEFAULT DATA'!$BS$9:$BW$41,START!$B$3,1)</f>
        <v>2</v>
      </c>
      <c r="Q119" s="221">
        <f>INDEX('DEFAULT DATA'!$CC$9:$CG$41,START!$B$3,1)</f>
        <v>2</v>
      </c>
      <c r="R119" s="221">
        <f>INDEX('DEFAULT DATA'!$CM$9:$CQ$41,START!$B$3,1)</f>
        <v>2</v>
      </c>
      <c r="S119" s="221">
        <f>INDEX('DEFAULT DATA'!$CW$9:$DA$41,START!$B$3,1)</f>
        <v>2</v>
      </c>
    </row>
    <row r="120" spans="1:41" ht="20.100000000000001" customHeight="1">
      <c r="A120" s="64"/>
      <c r="B120" s="59"/>
      <c r="C120" s="59"/>
      <c r="D120" s="65"/>
      <c r="E120" s="44"/>
      <c r="F120" s="114"/>
      <c r="G120" s="52" t="s">
        <v>85</v>
      </c>
      <c r="H120" s="52"/>
      <c r="I120" s="52"/>
      <c r="J120" s="52"/>
      <c r="K120" s="53">
        <f>C6</f>
        <v>25</v>
      </c>
      <c r="L120" s="221">
        <f>INDEX('DEFAULT DATA'!$T$9:$X$41,START!$B$3,2)</f>
        <v>1.5</v>
      </c>
      <c r="M120" s="221">
        <f>INDEX('DEFAULT DATA'!$AV$9:$AZ$41,START!$B$3,2)</f>
        <v>0.7</v>
      </c>
      <c r="N120" s="221">
        <v>1</v>
      </c>
      <c r="O120" s="221">
        <v>1</v>
      </c>
      <c r="P120" s="221">
        <f>INDEX('DEFAULT DATA'!$BS$9:$BW$41,START!$B$3,2)</f>
        <v>1.5</v>
      </c>
      <c r="Q120" s="221">
        <f>INDEX('DEFAULT DATA'!$CC$9:$CG$41,START!$B$3,2)</f>
        <v>2</v>
      </c>
      <c r="R120" s="221">
        <f>INDEX('DEFAULT DATA'!$CM$9:$CQ$41,START!$B$3,2)</f>
        <v>1.5</v>
      </c>
      <c r="S120" s="221">
        <f>INDEX('DEFAULT DATA'!$CW$9:$DA$41,START!$B$3,2)</f>
        <v>1</v>
      </c>
    </row>
    <row r="121" spans="1:41" ht="20.100000000000001" customHeight="1">
      <c r="A121" s="64"/>
      <c r="B121" s="59"/>
      <c r="C121" s="59"/>
      <c r="D121" s="65"/>
      <c r="E121" s="44"/>
      <c r="F121" s="114"/>
      <c r="G121" s="52" t="s">
        <v>86</v>
      </c>
      <c r="H121" s="52"/>
      <c r="I121" s="52"/>
      <c r="J121" s="52"/>
      <c r="K121" s="53">
        <f>C7</f>
        <v>0</v>
      </c>
      <c r="L121" s="221">
        <f>INDEX('DEFAULT DATA'!$T$9:$X$41,START!$B$3,3)</f>
        <v>1</v>
      </c>
      <c r="M121" s="221">
        <f>INDEX('DEFAULT DATA'!$AV$9:$AZ$41,START!$B$3,3)</f>
        <v>1.2</v>
      </c>
      <c r="N121" s="221">
        <v>1</v>
      </c>
      <c r="O121" s="221">
        <v>1</v>
      </c>
      <c r="P121" s="221">
        <f>INDEX('DEFAULT DATA'!$BS$9:$BW$41,START!$B$3,3)</f>
        <v>0.7</v>
      </c>
      <c r="Q121" s="221">
        <f>INDEX('DEFAULT DATA'!$CC$9:$CG$41,START!$B$3,3)</f>
        <v>1</v>
      </c>
      <c r="R121" s="221">
        <f>INDEX('DEFAULT DATA'!$CM$9:$CQ$41,START!$B$3,3)</f>
        <v>0.5</v>
      </c>
      <c r="S121" s="221">
        <f>INDEX('DEFAULT DATA'!$CW$9:$DA$41,START!$B$3,3)</f>
        <v>0.5</v>
      </c>
    </row>
    <row r="122" spans="1:41" ht="20.100000000000001" customHeight="1">
      <c r="A122" s="64"/>
      <c r="B122" s="59"/>
      <c r="C122" s="59"/>
      <c r="D122" s="65"/>
      <c r="E122" s="44"/>
      <c r="F122" s="114"/>
      <c r="G122" s="52" t="s">
        <v>87</v>
      </c>
      <c r="H122" s="52"/>
      <c r="I122" s="52"/>
      <c r="J122" s="52"/>
      <c r="K122" s="53">
        <f>C8</f>
        <v>0</v>
      </c>
      <c r="L122" s="221">
        <f>INDEX('DEFAULT DATA'!$T$9:$X$41,START!$B$3,4)</f>
        <v>0.8</v>
      </c>
      <c r="M122" s="221">
        <f>INDEX('DEFAULT DATA'!$AV$9:$AZ$41,START!$B$3,4)</f>
        <v>1.2</v>
      </c>
      <c r="N122" s="221">
        <v>1</v>
      </c>
      <c r="O122" s="221">
        <v>1</v>
      </c>
      <c r="P122" s="221">
        <f>INDEX('DEFAULT DATA'!$BS$9:$BW$41,START!$B$3,4)</f>
        <v>0.7</v>
      </c>
      <c r="Q122" s="221">
        <f>INDEX('DEFAULT DATA'!$CC$9:$CG$41,START!$B$3,4)</f>
        <v>1</v>
      </c>
      <c r="R122" s="221">
        <f>INDEX('DEFAULT DATA'!$CM$9:$CQ$41,START!$B$3,4)</f>
        <v>1</v>
      </c>
      <c r="S122" s="221">
        <f>INDEX('DEFAULT DATA'!$CW$9:$DA$41,START!$B$3,4)</f>
        <v>0.7</v>
      </c>
    </row>
    <row r="123" spans="1:41" ht="20.100000000000001" customHeight="1">
      <c r="A123" s="64"/>
      <c r="B123" s="59"/>
      <c r="C123" s="59"/>
      <c r="D123" s="65"/>
      <c r="E123" s="44"/>
      <c r="F123" s="114"/>
      <c r="G123" s="52" t="s">
        <v>88</v>
      </c>
      <c r="H123" s="52"/>
      <c r="I123" s="52"/>
      <c r="J123" s="52"/>
      <c r="K123" s="53">
        <f>C9</f>
        <v>0</v>
      </c>
      <c r="L123" s="221">
        <f>INDEX('DEFAULT DATA'!$T$9:$X$41,START!$B$3,5)</f>
        <v>0.5</v>
      </c>
      <c r="M123" s="221">
        <f>INDEX('DEFAULT DATA'!$AV$9:$AZ$41,START!$B$3,5)</f>
        <v>3</v>
      </c>
      <c r="N123" s="221">
        <v>1</v>
      </c>
      <c r="O123" s="221">
        <v>1</v>
      </c>
      <c r="P123" s="221">
        <f>INDEX('DEFAULT DATA'!$BS$9:$BW$41,START!$B$3,5)</f>
        <v>0.5</v>
      </c>
      <c r="Q123" s="221">
        <f>INDEX('DEFAULT DATA'!$CC$9:$CG$41,START!$B$3,5)</f>
        <v>0.5</v>
      </c>
      <c r="R123" s="221">
        <f>INDEX('DEFAULT DATA'!$CM$9:$CQ$41,START!$B$3,5)</f>
        <v>0.5</v>
      </c>
      <c r="S123" s="221">
        <f>INDEX('DEFAULT DATA'!$CW$9:$DA$41,START!$B$3,5)</f>
        <v>0.2</v>
      </c>
    </row>
    <row r="124" spans="1:41" ht="20.100000000000001" customHeight="1">
      <c r="A124" s="149"/>
      <c r="B124" s="150"/>
      <c r="C124" s="151"/>
      <c r="D124" s="151"/>
      <c r="E124" s="44"/>
      <c r="F124" s="114"/>
      <c r="G124" s="62" t="s">
        <v>174</v>
      </c>
      <c r="H124" s="62"/>
      <c r="I124" s="62"/>
      <c r="J124" s="62"/>
      <c r="L124" s="63">
        <f>($C$5/100*L119)+($C$6/100*L120)+($C$7/100*L121)+($C$8/100*L122)+($C$9/100*L123)</f>
        <v>1.875</v>
      </c>
      <c r="M124" s="63">
        <f t="shared" ref="M124:S124" si="25">($C$5/100*M119)+($C$6/100*M120)+($C$7/100*M121)+($C$8/100*M122)+($C$9/100*M123)</f>
        <v>0.39999999999999997</v>
      </c>
      <c r="N124" s="63">
        <f t="shared" si="25"/>
        <v>1</v>
      </c>
      <c r="O124" s="63">
        <f t="shared" si="25"/>
        <v>1</v>
      </c>
      <c r="P124" s="63">
        <f t="shared" si="25"/>
        <v>1.875</v>
      </c>
      <c r="Q124" s="63">
        <f t="shared" si="25"/>
        <v>2</v>
      </c>
      <c r="R124" s="63">
        <f t="shared" si="25"/>
        <v>1.875</v>
      </c>
      <c r="S124" s="63">
        <f t="shared" si="25"/>
        <v>1.75</v>
      </c>
    </row>
    <row r="125" spans="1:41" ht="20.100000000000001" customHeight="1">
      <c r="A125" s="152" t="s">
        <v>150</v>
      </c>
      <c r="B125" s="153"/>
      <c r="C125" s="154" t="s">
        <v>89</v>
      </c>
      <c r="D125" s="41"/>
      <c r="E125" s="42"/>
      <c r="F125" s="114"/>
      <c r="S125" s="155"/>
    </row>
    <row r="126" spans="1:41" ht="20.100000000000001" customHeight="1">
      <c r="A126" s="581" t="s">
        <v>84</v>
      </c>
      <c r="B126" s="582"/>
      <c r="C126" s="43">
        <v>0</v>
      </c>
      <c r="D126" s="30"/>
      <c r="E126" s="44"/>
      <c r="F126" s="148" t="s">
        <v>267</v>
      </c>
      <c r="G126" s="52" t="s">
        <v>84</v>
      </c>
      <c r="H126" s="52"/>
      <c r="I126" s="52"/>
      <c r="J126" s="52"/>
      <c r="K126" s="53">
        <f>C126</f>
        <v>0</v>
      </c>
      <c r="L126" s="221">
        <f>INDEX('DEFAULT DATA'!$T$9:$X$41,START!$B$3,1)</f>
        <v>2</v>
      </c>
      <c r="M126" s="221">
        <f>INDEX('DEFAULT DATA'!$AV$9:$AZ$41,START!$B$3,1)</f>
        <v>0.3</v>
      </c>
      <c r="N126" s="221">
        <v>1</v>
      </c>
      <c r="O126" s="221">
        <v>1</v>
      </c>
      <c r="P126" s="221">
        <f>INDEX('DEFAULT DATA'!$BS$9:$BW$41,START!$B$3,1)</f>
        <v>2</v>
      </c>
      <c r="Q126" s="221">
        <f>INDEX('DEFAULT DATA'!$CC$9:$CG$41,START!$B$3,1)</f>
        <v>2</v>
      </c>
      <c r="R126" s="221">
        <f>INDEX('DEFAULT DATA'!$CM$9:$CQ$41,START!$B$3,1)</f>
        <v>2</v>
      </c>
      <c r="S126" s="221">
        <f>INDEX('DEFAULT DATA'!$CW$9:$DA$41,START!$B$3,1)</f>
        <v>2</v>
      </c>
    </row>
    <row r="127" spans="1:41" ht="20.100000000000001" customHeight="1">
      <c r="A127" s="583" t="s">
        <v>85</v>
      </c>
      <c r="B127" s="584"/>
      <c r="C127" s="45">
        <v>0</v>
      </c>
      <c r="D127" s="30"/>
      <c r="E127" s="44"/>
      <c r="F127" s="114"/>
      <c r="G127" s="52" t="s">
        <v>85</v>
      </c>
      <c r="H127" s="52"/>
      <c r="I127" s="52"/>
      <c r="J127" s="52"/>
      <c r="K127" s="53">
        <f t="shared" ref="K127:K130" si="26">C127</f>
        <v>0</v>
      </c>
      <c r="L127" s="221">
        <f>INDEX('DEFAULT DATA'!$T$9:$X$41,START!$B$3,2)</f>
        <v>1.5</v>
      </c>
      <c r="M127" s="221">
        <f>INDEX('DEFAULT DATA'!$AV$9:$AZ$41,START!$B$3,2)</f>
        <v>0.7</v>
      </c>
      <c r="N127" s="221">
        <v>1</v>
      </c>
      <c r="O127" s="221">
        <v>1</v>
      </c>
      <c r="P127" s="221">
        <f>INDEX('DEFAULT DATA'!$BS$9:$BW$41,START!$B$3,2)</f>
        <v>1.5</v>
      </c>
      <c r="Q127" s="221">
        <f>INDEX('DEFAULT DATA'!$CC$9:$CG$41,START!$B$3,2)</f>
        <v>2</v>
      </c>
      <c r="R127" s="221">
        <f>INDEX('DEFAULT DATA'!$CM$9:$CQ$41,START!$B$3,2)</f>
        <v>1.5</v>
      </c>
      <c r="S127" s="221">
        <f>INDEX('DEFAULT DATA'!$CW$9:$DA$41,START!$B$3,2)</f>
        <v>1</v>
      </c>
    </row>
    <row r="128" spans="1:41" ht="20.100000000000001" customHeight="1">
      <c r="A128" s="583" t="s">
        <v>86</v>
      </c>
      <c r="B128" s="584"/>
      <c r="C128" s="45">
        <v>70</v>
      </c>
      <c r="D128" s="30"/>
      <c r="E128" s="44"/>
      <c r="F128" s="114"/>
      <c r="G128" s="52" t="s">
        <v>86</v>
      </c>
      <c r="H128" s="52"/>
      <c r="I128" s="52"/>
      <c r="J128" s="52"/>
      <c r="K128" s="53">
        <f t="shared" si="26"/>
        <v>70</v>
      </c>
      <c r="L128" s="221">
        <f>INDEX('DEFAULT DATA'!$T$9:$X$41,START!$B$3,3)</f>
        <v>1</v>
      </c>
      <c r="M128" s="221">
        <f>INDEX('DEFAULT DATA'!$AV$9:$AZ$41,START!$B$3,3)</f>
        <v>1.2</v>
      </c>
      <c r="N128" s="221">
        <v>1</v>
      </c>
      <c r="O128" s="221">
        <v>1</v>
      </c>
      <c r="P128" s="221">
        <f>INDEX('DEFAULT DATA'!$BS$9:$BW$41,START!$B$3,3)</f>
        <v>0.7</v>
      </c>
      <c r="Q128" s="221">
        <f>INDEX('DEFAULT DATA'!$CC$9:$CG$41,START!$B$3,3)</f>
        <v>1</v>
      </c>
      <c r="R128" s="221">
        <f>INDEX('DEFAULT DATA'!$CM$9:$CQ$41,START!$B$3,3)</f>
        <v>0.5</v>
      </c>
      <c r="S128" s="221">
        <f>INDEX('DEFAULT DATA'!$CW$9:$DA$41,START!$B$3,3)</f>
        <v>0.5</v>
      </c>
    </row>
    <row r="129" spans="1:40" ht="20.100000000000001" customHeight="1">
      <c r="A129" s="583" t="s">
        <v>87</v>
      </c>
      <c r="B129" s="584"/>
      <c r="C129" s="45">
        <v>30</v>
      </c>
      <c r="D129" s="30"/>
      <c r="E129" s="44"/>
      <c r="F129" s="114"/>
      <c r="G129" s="52" t="s">
        <v>87</v>
      </c>
      <c r="H129" s="52"/>
      <c r="I129" s="52"/>
      <c r="J129" s="52"/>
      <c r="K129" s="53">
        <f t="shared" si="26"/>
        <v>30</v>
      </c>
      <c r="L129" s="221">
        <f>INDEX('DEFAULT DATA'!$T$9:$X$41,START!$B$3,4)</f>
        <v>0.8</v>
      </c>
      <c r="M129" s="221">
        <f>INDEX('DEFAULT DATA'!$AV$9:$AZ$41,START!$B$3,4)</f>
        <v>1.2</v>
      </c>
      <c r="N129" s="221">
        <v>1</v>
      </c>
      <c r="O129" s="221">
        <v>1</v>
      </c>
      <c r="P129" s="221">
        <f>INDEX('DEFAULT DATA'!$BS$9:$BW$41,START!$B$3,4)</f>
        <v>0.7</v>
      </c>
      <c r="Q129" s="221">
        <f>INDEX('DEFAULT DATA'!$CC$9:$CG$41,START!$B$3,4)</f>
        <v>1</v>
      </c>
      <c r="R129" s="221">
        <f>INDEX('DEFAULT DATA'!$CM$9:$CQ$41,START!$B$3,4)</f>
        <v>1</v>
      </c>
      <c r="S129" s="221">
        <f>INDEX('DEFAULT DATA'!$CW$9:$DA$41,START!$B$3,4)</f>
        <v>0.7</v>
      </c>
    </row>
    <row r="130" spans="1:40" ht="20.100000000000001" customHeight="1">
      <c r="A130" s="583" t="s">
        <v>88</v>
      </c>
      <c r="B130" s="584"/>
      <c r="C130" s="45">
        <v>0</v>
      </c>
      <c r="D130" s="30"/>
      <c r="E130" s="44"/>
      <c r="F130" s="114"/>
      <c r="G130" s="52" t="s">
        <v>88</v>
      </c>
      <c r="H130" s="52"/>
      <c r="I130" s="52"/>
      <c r="J130" s="52"/>
      <c r="K130" s="53">
        <f t="shared" si="26"/>
        <v>0</v>
      </c>
      <c r="L130" s="221">
        <f>INDEX('DEFAULT DATA'!$T$9:$X$41,START!$B$3,5)</f>
        <v>0.5</v>
      </c>
      <c r="M130" s="221">
        <f>INDEX('DEFAULT DATA'!$AV$9:$AZ$41,START!$B$3,5)</f>
        <v>3</v>
      </c>
      <c r="N130" s="221">
        <v>1</v>
      </c>
      <c r="O130" s="221">
        <v>1</v>
      </c>
      <c r="P130" s="221">
        <f>INDEX('DEFAULT DATA'!$BS$9:$BW$41,START!$B$3,5)</f>
        <v>0.5</v>
      </c>
      <c r="Q130" s="221">
        <f>INDEX('DEFAULT DATA'!$CC$9:$CG$41,START!$B$3,5)</f>
        <v>0.5</v>
      </c>
      <c r="R130" s="221">
        <f>INDEX('DEFAULT DATA'!$CM$9:$CQ$41,START!$B$3,5)</f>
        <v>0.5</v>
      </c>
      <c r="S130" s="221">
        <f>INDEX('DEFAULT DATA'!$CW$9:$DA$41,START!$B$3,5)</f>
        <v>0.2</v>
      </c>
    </row>
    <row r="131" spans="1:40" ht="20.100000000000001" customHeight="1">
      <c r="A131" s="26"/>
      <c r="B131" s="56"/>
      <c r="C131" s="30">
        <f>SUM(C126:C130)</f>
        <v>100</v>
      </c>
      <c r="D131" s="30"/>
      <c r="E131" s="44"/>
      <c r="F131" s="114"/>
      <c r="G131" s="62" t="s">
        <v>174</v>
      </c>
      <c r="H131" s="62"/>
      <c r="I131" s="62"/>
      <c r="J131" s="62"/>
      <c r="L131" s="63">
        <f>($C$126/100*L126)+($C$127/100*L127)+($C$128/100*L128)+($C$129/100*L129)+($C$130/100*L130)</f>
        <v>0.94</v>
      </c>
      <c r="M131" s="63">
        <f t="shared" ref="M131:S131" si="27">($C$126/100*M126)+($C$127/100*M127)+($C$128/100*M128)+($C$129/100*M129)+($C$130/100*M130)</f>
        <v>1.2</v>
      </c>
      <c r="N131" s="63">
        <f t="shared" si="27"/>
        <v>1</v>
      </c>
      <c r="O131" s="63">
        <f t="shared" si="27"/>
        <v>1</v>
      </c>
      <c r="P131" s="63">
        <f t="shared" si="27"/>
        <v>0.7</v>
      </c>
      <c r="Q131" s="63">
        <f t="shared" si="27"/>
        <v>1</v>
      </c>
      <c r="R131" s="63">
        <f t="shared" si="27"/>
        <v>0.64999999999999991</v>
      </c>
      <c r="S131" s="63">
        <f t="shared" si="27"/>
        <v>0.55999999999999994</v>
      </c>
    </row>
    <row r="132" spans="1:40" ht="20.100000000000001" customHeight="1">
      <c r="A132" s="156" t="str">
        <f>IF(C131=100,"","The sum is not 100%")</f>
        <v/>
      </c>
      <c r="B132" s="65"/>
      <c r="C132" s="65"/>
      <c r="D132" s="65"/>
      <c r="E132" s="44"/>
      <c r="F132" s="144" t="s">
        <v>270</v>
      </c>
    </row>
    <row r="133" spans="1:40" ht="20.100000000000001" customHeight="1" thickBot="1">
      <c r="A133" s="64"/>
      <c r="B133" s="65"/>
      <c r="C133" s="65"/>
      <c r="D133" s="65"/>
      <c r="E133" s="44"/>
      <c r="F133" s="588" t="s">
        <v>189</v>
      </c>
      <c r="G133" s="589"/>
      <c r="H133" s="455"/>
      <c r="I133" s="455"/>
      <c r="J133" s="455"/>
      <c r="K133" s="157">
        <v>2021</v>
      </c>
      <c r="L133" s="157">
        <f>L112</f>
        <v>2022</v>
      </c>
      <c r="M133" s="157">
        <f t="shared" ref="M133:AN133" si="28">M112</f>
        <v>2023</v>
      </c>
      <c r="N133" s="157">
        <f t="shared" si="28"/>
        <v>2024</v>
      </c>
      <c r="O133" s="157">
        <f t="shared" si="28"/>
        <v>2025</v>
      </c>
      <c r="P133" s="157">
        <f t="shared" si="28"/>
        <v>2026</v>
      </c>
      <c r="Q133" s="157">
        <f t="shared" si="28"/>
        <v>2027</v>
      </c>
      <c r="R133" s="157">
        <f t="shared" si="28"/>
        <v>2028</v>
      </c>
      <c r="S133" s="157">
        <f t="shared" si="28"/>
        <v>2029</v>
      </c>
      <c r="T133" s="157">
        <f t="shared" si="28"/>
        <v>2030</v>
      </c>
      <c r="U133" s="157">
        <f t="shared" si="28"/>
        <v>2031</v>
      </c>
      <c r="V133" s="157">
        <f t="shared" si="28"/>
        <v>2032</v>
      </c>
      <c r="W133" s="157">
        <f t="shared" si="28"/>
        <v>2033</v>
      </c>
      <c r="X133" s="157">
        <f t="shared" si="28"/>
        <v>2034</v>
      </c>
      <c r="Y133" s="157">
        <f t="shared" si="28"/>
        <v>2035</v>
      </c>
      <c r="Z133" s="157">
        <f t="shared" si="28"/>
        <v>2036</v>
      </c>
      <c r="AA133" s="157">
        <f t="shared" si="28"/>
        <v>2037</v>
      </c>
      <c r="AB133" s="157">
        <f t="shared" si="28"/>
        <v>2038</v>
      </c>
      <c r="AC133" s="157">
        <f t="shared" si="28"/>
        <v>2039</v>
      </c>
      <c r="AD133" s="157">
        <f t="shared" si="28"/>
        <v>2040</v>
      </c>
      <c r="AE133" s="157">
        <f t="shared" si="28"/>
        <v>2041</v>
      </c>
      <c r="AF133" s="157">
        <f t="shared" si="28"/>
        <v>2042</v>
      </c>
      <c r="AG133" s="157">
        <f t="shared" si="28"/>
        <v>2043</v>
      </c>
      <c r="AH133" s="157">
        <f t="shared" si="28"/>
        <v>2044</v>
      </c>
      <c r="AI133" s="157">
        <f t="shared" si="28"/>
        <v>2045</v>
      </c>
      <c r="AJ133" s="157">
        <f t="shared" si="28"/>
        <v>2046</v>
      </c>
      <c r="AK133" s="157">
        <f t="shared" si="28"/>
        <v>2047</v>
      </c>
      <c r="AL133" s="157">
        <f t="shared" si="28"/>
        <v>2048</v>
      </c>
      <c r="AM133" s="157">
        <f t="shared" si="28"/>
        <v>2049</v>
      </c>
      <c r="AN133" s="157">
        <f t="shared" si="28"/>
        <v>2050</v>
      </c>
    </row>
    <row r="134" spans="1:40" ht="20.100000000000001" customHeight="1">
      <c r="A134" s="64"/>
      <c r="B134" s="65"/>
      <c r="C134" s="65"/>
      <c r="D134" s="65"/>
      <c r="E134" s="44"/>
      <c r="F134" s="585" t="s">
        <v>264</v>
      </c>
      <c r="G134" s="158" t="s">
        <v>36</v>
      </c>
      <c r="H134" s="158"/>
      <c r="I134" s="158"/>
      <c r="J134" s="158"/>
      <c r="K134" s="159"/>
      <c r="L134" s="160">
        <f>L124</f>
        <v>1.875</v>
      </c>
      <c r="M134" s="160">
        <f>L134</f>
        <v>1.875</v>
      </c>
      <c r="N134" s="160">
        <f t="shared" ref="N134:AN141" si="29">M134</f>
        <v>1.875</v>
      </c>
      <c r="O134" s="160">
        <f t="shared" si="29"/>
        <v>1.875</v>
      </c>
      <c r="P134" s="160">
        <f t="shared" si="29"/>
        <v>1.875</v>
      </c>
      <c r="Q134" s="160">
        <f t="shared" si="29"/>
        <v>1.875</v>
      </c>
      <c r="R134" s="160">
        <f t="shared" si="29"/>
        <v>1.875</v>
      </c>
      <c r="S134" s="160">
        <f t="shared" si="29"/>
        <v>1.875</v>
      </c>
      <c r="T134" s="160">
        <f t="shared" si="29"/>
        <v>1.875</v>
      </c>
      <c r="U134" s="160">
        <f t="shared" si="29"/>
        <v>1.875</v>
      </c>
      <c r="V134" s="160">
        <f t="shared" si="29"/>
        <v>1.875</v>
      </c>
      <c r="W134" s="160">
        <f t="shared" si="29"/>
        <v>1.875</v>
      </c>
      <c r="X134" s="160">
        <f t="shared" si="29"/>
        <v>1.875</v>
      </c>
      <c r="Y134" s="160">
        <f t="shared" si="29"/>
        <v>1.875</v>
      </c>
      <c r="Z134" s="160">
        <f t="shared" si="29"/>
        <v>1.875</v>
      </c>
      <c r="AA134" s="160">
        <f t="shared" si="29"/>
        <v>1.875</v>
      </c>
      <c r="AB134" s="160">
        <f t="shared" si="29"/>
        <v>1.875</v>
      </c>
      <c r="AC134" s="160">
        <f t="shared" si="29"/>
        <v>1.875</v>
      </c>
      <c r="AD134" s="160">
        <f t="shared" si="29"/>
        <v>1.875</v>
      </c>
      <c r="AE134" s="160">
        <f t="shared" si="29"/>
        <v>1.875</v>
      </c>
      <c r="AF134" s="160">
        <f t="shared" si="29"/>
        <v>1.875</v>
      </c>
      <c r="AG134" s="160">
        <f t="shared" si="29"/>
        <v>1.875</v>
      </c>
      <c r="AH134" s="160">
        <f t="shared" si="29"/>
        <v>1.875</v>
      </c>
      <c r="AI134" s="160">
        <f t="shared" si="29"/>
        <v>1.875</v>
      </c>
      <c r="AJ134" s="160">
        <f t="shared" si="29"/>
        <v>1.875</v>
      </c>
      <c r="AK134" s="160">
        <f t="shared" si="29"/>
        <v>1.875</v>
      </c>
      <c r="AL134" s="160">
        <f t="shared" si="29"/>
        <v>1.875</v>
      </c>
      <c r="AM134" s="160">
        <f t="shared" si="29"/>
        <v>1.875</v>
      </c>
      <c r="AN134" s="161">
        <f t="shared" si="29"/>
        <v>1.875</v>
      </c>
    </row>
    <row r="135" spans="1:40" ht="20.100000000000001" customHeight="1">
      <c r="A135" s="64"/>
      <c r="B135" s="65"/>
      <c r="C135" s="65"/>
      <c r="D135" s="65"/>
      <c r="E135" s="44"/>
      <c r="F135" s="586"/>
      <c r="G135" s="162" t="s">
        <v>37</v>
      </c>
      <c r="H135" s="162"/>
      <c r="I135" s="162"/>
      <c r="J135" s="162"/>
      <c r="K135" s="107"/>
      <c r="L135" s="163">
        <f>M124</f>
        <v>0.39999999999999997</v>
      </c>
      <c r="M135" s="163">
        <f t="shared" ref="M135:AB141" si="30">L135</f>
        <v>0.39999999999999997</v>
      </c>
      <c r="N135" s="163">
        <f t="shared" si="30"/>
        <v>0.39999999999999997</v>
      </c>
      <c r="O135" s="163">
        <f t="shared" si="30"/>
        <v>0.39999999999999997</v>
      </c>
      <c r="P135" s="163">
        <f t="shared" si="30"/>
        <v>0.39999999999999997</v>
      </c>
      <c r="Q135" s="163">
        <f t="shared" si="30"/>
        <v>0.39999999999999997</v>
      </c>
      <c r="R135" s="163">
        <f t="shared" si="30"/>
        <v>0.39999999999999997</v>
      </c>
      <c r="S135" s="163">
        <f t="shared" si="30"/>
        <v>0.39999999999999997</v>
      </c>
      <c r="T135" s="163">
        <f t="shared" si="30"/>
        <v>0.39999999999999997</v>
      </c>
      <c r="U135" s="163">
        <f t="shared" si="30"/>
        <v>0.39999999999999997</v>
      </c>
      <c r="V135" s="163">
        <f t="shared" si="30"/>
        <v>0.39999999999999997</v>
      </c>
      <c r="W135" s="163">
        <f t="shared" si="30"/>
        <v>0.39999999999999997</v>
      </c>
      <c r="X135" s="163">
        <f t="shared" si="30"/>
        <v>0.39999999999999997</v>
      </c>
      <c r="Y135" s="163">
        <f t="shared" si="30"/>
        <v>0.39999999999999997</v>
      </c>
      <c r="Z135" s="163">
        <f t="shared" si="30"/>
        <v>0.39999999999999997</v>
      </c>
      <c r="AA135" s="163">
        <f t="shared" si="30"/>
        <v>0.39999999999999997</v>
      </c>
      <c r="AB135" s="163">
        <f t="shared" si="30"/>
        <v>0.39999999999999997</v>
      </c>
      <c r="AC135" s="163">
        <f t="shared" si="29"/>
        <v>0.39999999999999997</v>
      </c>
      <c r="AD135" s="163">
        <f t="shared" si="29"/>
        <v>0.39999999999999997</v>
      </c>
      <c r="AE135" s="163">
        <f t="shared" si="29"/>
        <v>0.39999999999999997</v>
      </c>
      <c r="AF135" s="163">
        <f t="shared" si="29"/>
        <v>0.39999999999999997</v>
      </c>
      <c r="AG135" s="163">
        <f t="shared" si="29"/>
        <v>0.39999999999999997</v>
      </c>
      <c r="AH135" s="163">
        <f t="shared" si="29"/>
        <v>0.39999999999999997</v>
      </c>
      <c r="AI135" s="163">
        <f t="shared" si="29"/>
        <v>0.39999999999999997</v>
      </c>
      <c r="AJ135" s="163">
        <f t="shared" si="29"/>
        <v>0.39999999999999997</v>
      </c>
      <c r="AK135" s="163">
        <f t="shared" si="29"/>
        <v>0.39999999999999997</v>
      </c>
      <c r="AL135" s="163">
        <f t="shared" si="29"/>
        <v>0.39999999999999997</v>
      </c>
      <c r="AM135" s="163">
        <f t="shared" si="29"/>
        <v>0.39999999999999997</v>
      </c>
      <c r="AN135" s="164">
        <f t="shared" si="29"/>
        <v>0.39999999999999997</v>
      </c>
    </row>
    <row r="136" spans="1:40" ht="20.100000000000001" customHeight="1">
      <c r="A136" s="64"/>
      <c r="B136" s="65"/>
      <c r="C136" s="65"/>
      <c r="D136" s="65"/>
      <c r="E136" s="44"/>
      <c r="F136" s="586"/>
      <c r="G136" s="162" t="s">
        <v>38</v>
      </c>
      <c r="H136" s="162"/>
      <c r="I136" s="162"/>
      <c r="J136" s="162"/>
      <c r="K136" s="107"/>
      <c r="L136" s="163">
        <f>N124</f>
        <v>1</v>
      </c>
      <c r="M136" s="163">
        <f t="shared" si="30"/>
        <v>1</v>
      </c>
      <c r="N136" s="163">
        <f t="shared" si="29"/>
        <v>1</v>
      </c>
      <c r="O136" s="163">
        <f t="shared" si="29"/>
        <v>1</v>
      </c>
      <c r="P136" s="163">
        <f t="shared" si="29"/>
        <v>1</v>
      </c>
      <c r="Q136" s="163">
        <f t="shared" si="29"/>
        <v>1</v>
      </c>
      <c r="R136" s="163">
        <f t="shared" si="29"/>
        <v>1</v>
      </c>
      <c r="S136" s="163">
        <f t="shared" si="29"/>
        <v>1</v>
      </c>
      <c r="T136" s="163">
        <f t="shared" si="29"/>
        <v>1</v>
      </c>
      <c r="U136" s="163">
        <f t="shared" si="29"/>
        <v>1</v>
      </c>
      <c r="V136" s="163">
        <f t="shared" si="29"/>
        <v>1</v>
      </c>
      <c r="W136" s="163">
        <f t="shared" si="29"/>
        <v>1</v>
      </c>
      <c r="X136" s="163">
        <f t="shared" si="29"/>
        <v>1</v>
      </c>
      <c r="Y136" s="163">
        <f t="shared" si="29"/>
        <v>1</v>
      </c>
      <c r="Z136" s="163">
        <f t="shared" si="29"/>
        <v>1</v>
      </c>
      <c r="AA136" s="163">
        <f t="shared" si="29"/>
        <v>1</v>
      </c>
      <c r="AB136" s="163">
        <f t="shared" si="29"/>
        <v>1</v>
      </c>
      <c r="AC136" s="163">
        <f t="shared" si="29"/>
        <v>1</v>
      </c>
      <c r="AD136" s="163">
        <f t="shared" si="29"/>
        <v>1</v>
      </c>
      <c r="AE136" s="163">
        <f t="shared" si="29"/>
        <v>1</v>
      </c>
      <c r="AF136" s="163">
        <f t="shared" si="29"/>
        <v>1</v>
      </c>
      <c r="AG136" s="163">
        <f t="shared" si="29"/>
        <v>1</v>
      </c>
      <c r="AH136" s="163">
        <f t="shared" si="29"/>
        <v>1</v>
      </c>
      <c r="AI136" s="163">
        <f t="shared" si="29"/>
        <v>1</v>
      </c>
      <c r="AJ136" s="163">
        <f t="shared" si="29"/>
        <v>1</v>
      </c>
      <c r="AK136" s="163">
        <f t="shared" si="29"/>
        <v>1</v>
      </c>
      <c r="AL136" s="163">
        <f t="shared" si="29"/>
        <v>1</v>
      </c>
      <c r="AM136" s="163">
        <f t="shared" si="29"/>
        <v>1</v>
      </c>
      <c r="AN136" s="164">
        <f t="shared" si="29"/>
        <v>1</v>
      </c>
    </row>
    <row r="137" spans="1:40" ht="20.100000000000001" customHeight="1">
      <c r="A137" s="64"/>
      <c r="B137" s="65"/>
      <c r="C137" s="65"/>
      <c r="D137" s="65"/>
      <c r="E137" s="44"/>
      <c r="F137" s="586"/>
      <c r="G137" s="162" t="s">
        <v>39</v>
      </c>
      <c r="H137" s="162"/>
      <c r="I137" s="162"/>
      <c r="J137" s="162"/>
      <c r="K137" s="107"/>
      <c r="L137" s="163">
        <f>O124</f>
        <v>1</v>
      </c>
      <c r="M137" s="163">
        <f t="shared" si="30"/>
        <v>1</v>
      </c>
      <c r="N137" s="163">
        <f t="shared" si="29"/>
        <v>1</v>
      </c>
      <c r="O137" s="163">
        <f t="shared" si="29"/>
        <v>1</v>
      </c>
      <c r="P137" s="163">
        <f t="shared" si="29"/>
        <v>1</v>
      </c>
      <c r="Q137" s="163">
        <f t="shared" si="29"/>
        <v>1</v>
      </c>
      <c r="R137" s="163">
        <f t="shared" si="29"/>
        <v>1</v>
      </c>
      <c r="S137" s="163">
        <f t="shared" si="29"/>
        <v>1</v>
      </c>
      <c r="T137" s="163">
        <f t="shared" si="29"/>
        <v>1</v>
      </c>
      <c r="U137" s="163">
        <f t="shared" si="29"/>
        <v>1</v>
      </c>
      <c r="V137" s="163">
        <f t="shared" si="29"/>
        <v>1</v>
      </c>
      <c r="W137" s="163">
        <f t="shared" si="29"/>
        <v>1</v>
      </c>
      <c r="X137" s="163">
        <f t="shared" si="29"/>
        <v>1</v>
      </c>
      <c r="Y137" s="163">
        <f t="shared" si="29"/>
        <v>1</v>
      </c>
      <c r="Z137" s="163">
        <f t="shared" si="29"/>
        <v>1</v>
      </c>
      <c r="AA137" s="163">
        <f t="shared" si="29"/>
        <v>1</v>
      </c>
      <c r="AB137" s="163">
        <f t="shared" si="29"/>
        <v>1</v>
      </c>
      <c r="AC137" s="163">
        <f t="shared" si="29"/>
        <v>1</v>
      </c>
      <c r="AD137" s="163">
        <f t="shared" si="29"/>
        <v>1</v>
      </c>
      <c r="AE137" s="163">
        <f t="shared" si="29"/>
        <v>1</v>
      </c>
      <c r="AF137" s="163">
        <f t="shared" si="29"/>
        <v>1</v>
      </c>
      <c r="AG137" s="163">
        <f t="shared" si="29"/>
        <v>1</v>
      </c>
      <c r="AH137" s="163">
        <f t="shared" si="29"/>
        <v>1</v>
      </c>
      <c r="AI137" s="163">
        <f t="shared" si="29"/>
        <v>1</v>
      </c>
      <c r="AJ137" s="163">
        <f t="shared" si="29"/>
        <v>1</v>
      </c>
      <c r="AK137" s="163">
        <f t="shared" si="29"/>
        <v>1</v>
      </c>
      <c r="AL137" s="163">
        <f t="shared" si="29"/>
        <v>1</v>
      </c>
      <c r="AM137" s="163">
        <f t="shared" si="29"/>
        <v>1</v>
      </c>
      <c r="AN137" s="164">
        <f t="shared" si="29"/>
        <v>1</v>
      </c>
    </row>
    <row r="138" spans="1:40" ht="20.100000000000001" customHeight="1">
      <c r="A138" s="64"/>
      <c r="B138" s="65"/>
      <c r="C138" s="65"/>
      <c r="D138" s="65"/>
      <c r="E138" s="44"/>
      <c r="F138" s="586"/>
      <c r="G138" s="162" t="s">
        <v>77</v>
      </c>
      <c r="H138" s="162"/>
      <c r="I138" s="162"/>
      <c r="J138" s="162"/>
      <c r="K138" s="107"/>
      <c r="L138" s="163">
        <f>P124</f>
        <v>1.875</v>
      </c>
      <c r="M138" s="163">
        <f t="shared" si="30"/>
        <v>1.875</v>
      </c>
      <c r="N138" s="163">
        <f t="shared" si="29"/>
        <v>1.875</v>
      </c>
      <c r="O138" s="163">
        <f t="shared" si="29"/>
        <v>1.875</v>
      </c>
      <c r="P138" s="163">
        <f t="shared" si="29"/>
        <v>1.875</v>
      </c>
      <c r="Q138" s="163">
        <f t="shared" si="29"/>
        <v>1.875</v>
      </c>
      <c r="R138" s="163">
        <f t="shared" si="29"/>
        <v>1.875</v>
      </c>
      <c r="S138" s="163">
        <f t="shared" si="29"/>
        <v>1.875</v>
      </c>
      <c r="T138" s="163">
        <f t="shared" si="29"/>
        <v>1.875</v>
      </c>
      <c r="U138" s="163">
        <f t="shared" si="29"/>
        <v>1.875</v>
      </c>
      <c r="V138" s="163">
        <f t="shared" si="29"/>
        <v>1.875</v>
      </c>
      <c r="W138" s="163">
        <f t="shared" si="29"/>
        <v>1.875</v>
      </c>
      <c r="X138" s="163">
        <f t="shared" si="29"/>
        <v>1.875</v>
      </c>
      <c r="Y138" s="163">
        <f t="shared" si="29"/>
        <v>1.875</v>
      </c>
      <c r="Z138" s="163">
        <f t="shared" si="29"/>
        <v>1.875</v>
      </c>
      <c r="AA138" s="163">
        <f t="shared" si="29"/>
        <v>1.875</v>
      </c>
      <c r="AB138" s="163">
        <f t="shared" si="29"/>
        <v>1.875</v>
      </c>
      <c r="AC138" s="163">
        <f t="shared" si="29"/>
        <v>1.875</v>
      </c>
      <c r="AD138" s="163">
        <f t="shared" si="29"/>
        <v>1.875</v>
      </c>
      <c r="AE138" s="163">
        <f t="shared" si="29"/>
        <v>1.875</v>
      </c>
      <c r="AF138" s="163">
        <f t="shared" si="29"/>
        <v>1.875</v>
      </c>
      <c r="AG138" s="163">
        <f t="shared" si="29"/>
        <v>1.875</v>
      </c>
      <c r="AH138" s="163">
        <f t="shared" si="29"/>
        <v>1.875</v>
      </c>
      <c r="AI138" s="163">
        <f t="shared" si="29"/>
        <v>1.875</v>
      </c>
      <c r="AJ138" s="163">
        <f t="shared" si="29"/>
        <v>1.875</v>
      </c>
      <c r="AK138" s="163">
        <f t="shared" si="29"/>
        <v>1.875</v>
      </c>
      <c r="AL138" s="163">
        <f t="shared" si="29"/>
        <v>1.875</v>
      </c>
      <c r="AM138" s="163">
        <f t="shared" si="29"/>
        <v>1.875</v>
      </c>
      <c r="AN138" s="164">
        <f t="shared" si="29"/>
        <v>1.875</v>
      </c>
    </row>
    <row r="139" spans="1:40" ht="20.100000000000001" customHeight="1">
      <c r="A139" s="64"/>
      <c r="B139" s="65"/>
      <c r="C139" s="65"/>
      <c r="D139" s="65"/>
      <c r="E139" s="44"/>
      <c r="F139" s="586"/>
      <c r="G139" s="162" t="s">
        <v>78</v>
      </c>
      <c r="H139" s="162"/>
      <c r="I139" s="162"/>
      <c r="J139" s="162"/>
      <c r="K139" s="107"/>
      <c r="L139" s="163">
        <f>Q124</f>
        <v>2</v>
      </c>
      <c r="M139" s="163">
        <f t="shared" si="30"/>
        <v>2</v>
      </c>
      <c r="N139" s="163">
        <f t="shared" si="29"/>
        <v>2</v>
      </c>
      <c r="O139" s="163">
        <f t="shared" si="29"/>
        <v>2</v>
      </c>
      <c r="P139" s="163">
        <f t="shared" si="29"/>
        <v>2</v>
      </c>
      <c r="Q139" s="163">
        <f t="shared" si="29"/>
        <v>2</v>
      </c>
      <c r="R139" s="163">
        <f t="shared" si="29"/>
        <v>2</v>
      </c>
      <c r="S139" s="163">
        <f t="shared" si="29"/>
        <v>2</v>
      </c>
      <c r="T139" s="163">
        <f t="shared" si="29"/>
        <v>2</v>
      </c>
      <c r="U139" s="163">
        <f t="shared" si="29"/>
        <v>2</v>
      </c>
      <c r="V139" s="163">
        <f t="shared" si="29"/>
        <v>2</v>
      </c>
      <c r="W139" s="163">
        <f t="shared" si="29"/>
        <v>2</v>
      </c>
      <c r="X139" s="163">
        <f t="shared" si="29"/>
        <v>2</v>
      </c>
      <c r="Y139" s="163">
        <f t="shared" si="29"/>
        <v>2</v>
      </c>
      <c r="Z139" s="163">
        <f t="shared" si="29"/>
        <v>2</v>
      </c>
      <c r="AA139" s="163">
        <f t="shared" si="29"/>
        <v>2</v>
      </c>
      <c r="AB139" s="163">
        <f t="shared" si="29"/>
        <v>2</v>
      </c>
      <c r="AC139" s="163">
        <f t="shared" si="29"/>
        <v>2</v>
      </c>
      <c r="AD139" s="163">
        <f t="shared" si="29"/>
        <v>2</v>
      </c>
      <c r="AE139" s="163">
        <f t="shared" si="29"/>
        <v>2</v>
      </c>
      <c r="AF139" s="163">
        <f t="shared" si="29"/>
        <v>2</v>
      </c>
      <c r="AG139" s="163">
        <f t="shared" si="29"/>
        <v>2</v>
      </c>
      <c r="AH139" s="163">
        <f t="shared" si="29"/>
        <v>2</v>
      </c>
      <c r="AI139" s="163">
        <f t="shared" si="29"/>
        <v>2</v>
      </c>
      <c r="AJ139" s="163">
        <f t="shared" si="29"/>
        <v>2</v>
      </c>
      <c r="AK139" s="163">
        <f t="shared" si="29"/>
        <v>2</v>
      </c>
      <c r="AL139" s="163">
        <f t="shared" si="29"/>
        <v>2</v>
      </c>
      <c r="AM139" s="163">
        <f t="shared" si="29"/>
        <v>2</v>
      </c>
      <c r="AN139" s="164">
        <f t="shared" si="29"/>
        <v>2</v>
      </c>
    </row>
    <row r="140" spans="1:40" ht="20.100000000000001" customHeight="1">
      <c r="A140" s="64"/>
      <c r="B140" s="65"/>
      <c r="C140" s="65"/>
      <c r="D140" s="65"/>
      <c r="E140" s="44"/>
      <c r="F140" s="586"/>
      <c r="G140" s="162" t="s">
        <v>79</v>
      </c>
      <c r="H140" s="162"/>
      <c r="I140" s="162"/>
      <c r="J140" s="162"/>
      <c r="K140" s="107"/>
      <c r="L140" s="163">
        <f>R124</f>
        <v>1.875</v>
      </c>
      <c r="M140" s="163">
        <f t="shared" si="30"/>
        <v>1.875</v>
      </c>
      <c r="N140" s="163">
        <f t="shared" si="29"/>
        <v>1.875</v>
      </c>
      <c r="O140" s="163">
        <f t="shared" si="29"/>
        <v>1.875</v>
      </c>
      <c r="P140" s="163">
        <f t="shared" si="29"/>
        <v>1.875</v>
      </c>
      <c r="Q140" s="163">
        <f t="shared" si="29"/>
        <v>1.875</v>
      </c>
      <c r="R140" s="163">
        <f t="shared" si="29"/>
        <v>1.875</v>
      </c>
      <c r="S140" s="163">
        <f t="shared" si="29"/>
        <v>1.875</v>
      </c>
      <c r="T140" s="163">
        <f t="shared" si="29"/>
        <v>1.875</v>
      </c>
      <c r="U140" s="163">
        <f t="shared" si="29"/>
        <v>1.875</v>
      </c>
      <c r="V140" s="163">
        <f t="shared" si="29"/>
        <v>1.875</v>
      </c>
      <c r="W140" s="163">
        <f t="shared" si="29"/>
        <v>1.875</v>
      </c>
      <c r="X140" s="163">
        <f t="shared" si="29"/>
        <v>1.875</v>
      </c>
      <c r="Y140" s="163">
        <f t="shared" si="29"/>
        <v>1.875</v>
      </c>
      <c r="Z140" s="163">
        <f t="shared" si="29"/>
        <v>1.875</v>
      </c>
      <c r="AA140" s="163">
        <f t="shared" si="29"/>
        <v>1.875</v>
      </c>
      <c r="AB140" s="163">
        <f t="shared" si="29"/>
        <v>1.875</v>
      </c>
      <c r="AC140" s="163">
        <f t="shared" si="29"/>
        <v>1.875</v>
      </c>
      <c r="AD140" s="163">
        <f t="shared" si="29"/>
        <v>1.875</v>
      </c>
      <c r="AE140" s="163">
        <f t="shared" si="29"/>
        <v>1.875</v>
      </c>
      <c r="AF140" s="163">
        <f t="shared" si="29"/>
        <v>1.875</v>
      </c>
      <c r="AG140" s="163">
        <f t="shared" si="29"/>
        <v>1.875</v>
      </c>
      <c r="AH140" s="163">
        <f t="shared" si="29"/>
        <v>1.875</v>
      </c>
      <c r="AI140" s="163">
        <f t="shared" si="29"/>
        <v>1.875</v>
      </c>
      <c r="AJ140" s="163">
        <f t="shared" si="29"/>
        <v>1.875</v>
      </c>
      <c r="AK140" s="163">
        <f t="shared" si="29"/>
        <v>1.875</v>
      </c>
      <c r="AL140" s="163">
        <f t="shared" si="29"/>
        <v>1.875</v>
      </c>
      <c r="AM140" s="163">
        <f t="shared" si="29"/>
        <v>1.875</v>
      </c>
      <c r="AN140" s="164">
        <f t="shared" si="29"/>
        <v>1.875</v>
      </c>
    </row>
    <row r="141" spans="1:40" ht="20.100000000000001" customHeight="1" thickBot="1">
      <c r="A141" s="64"/>
      <c r="B141" s="65"/>
      <c r="C141" s="65"/>
      <c r="D141" s="65"/>
      <c r="E141" s="44"/>
      <c r="F141" s="587"/>
      <c r="G141" s="165" t="s">
        <v>80</v>
      </c>
      <c r="H141" s="165"/>
      <c r="I141" s="165"/>
      <c r="J141" s="165"/>
      <c r="K141" s="109"/>
      <c r="L141" s="166">
        <f>S124</f>
        <v>1.75</v>
      </c>
      <c r="M141" s="166">
        <f t="shared" si="30"/>
        <v>1.75</v>
      </c>
      <c r="N141" s="166">
        <f t="shared" si="29"/>
        <v>1.75</v>
      </c>
      <c r="O141" s="166">
        <f t="shared" si="29"/>
        <v>1.75</v>
      </c>
      <c r="P141" s="166">
        <f t="shared" si="29"/>
        <v>1.75</v>
      </c>
      <c r="Q141" s="166">
        <f t="shared" si="29"/>
        <v>1.75</v>
      </c>
      <c r="R141" s="166">
        <f t="shared" si="29"/>
        <v>1.75</v>
      </c>
      <c r="S141" s="166">
        <f t="shared" si="29"/>
        <v>1.75</v>
      </c>
      <c r="T141" s="166">
        <f t="shared" si="29"/>
        <v>1.75</v>
      </c>
      <c r="U141" s="166">
        <f t="shared" si="29"/>
        <v>1.75</v>
      </c>
      <c r="V141" s="166">
        <f t="shared" si="29"/>
        <v>1.75</v>
      </c>
      <c r="W141" s="166">
        <f t="shared" si="29"/>
        <v>1.75</v>
      </c>
      <c r="X141" s="166">
        <f t="shared" si="29"/>
        <v>1.75</v>
      </c>
      <c r="Y141" s="166">
        <f t="shared" si="29"/>
        <v>1.75</v>
      </c>
      <c r="Z141" s="166">
        <f t="shared" si="29"/>
        <v>1.75</v>
      </c>
      <c r="AA141" s="166">
        <f t="shared" si="29"/>
        <v>1.75</v>
      </c>
      <c r="AB141" s="166">
        <f t="shared" si="29"/>
        <v>1.75</v>
      </c>
      <c r="AC141" s="166">
        <f t="shared" si="29"/>
        <v>1.75</v>
      </c>
      <c r="AD141" s="166">
        <f t="shared" si="29"/>
        <v>1.75</v>
      </c>
      <c r="AE141" s="166">
        <f t="shared" si="29"/>
        <v>1.75</v>
      </c>
      <c r="AF141" s="166">
        <f t="shared" si="29"/>
        <v>1.75</v>
      </c>
      <c r="AG141" s="166">
        <f t="shared" si="29"/>
        <v>1.75</v>
      </c>
      <c r="AH141" s="166">
        <f t="shared" si="29"/>
        <v>1.75</v>
      </c>
      <c r="AI141" s="166">
        <f t="shared" si="29"/>
        <v>1.75</v>
      </c>
      <c r="AJ141" s="166">
        <f t="shared" si="29"/>
        <v>1.75</v>
      </c>
      <c r="AK141" s="166">
        <f t="shared" si="29"/>
        <v>1.75</v>
      </c>
      <c r="AL141" s="166">
        <f t="shared" si="29"/>
        <v>1.75</v>
      </c>
      <c r="AM141" s="166">
        <f t="shared" si="29"/>
        <v>1.75</v>
      </c>
      <c r="AN141" s="167">
        <f t="shared" si="29"/>
        <v>1.75</v>
      </c>
    </row>
    <row r="142" spans="1:40" ht="20.100000000000001" customHeight="1">
      <c r="A142" s="64"/>
      <c r="B142" s="65"/>
      <c r="C142" s="65"/>
      <c r="D142" s="65"/>
      <c r="E142" s="44"/>
      <c r="F142" s="585" t="s">
        <v>265</v>
      </c>
      <c r="G142" s="158" t="s">
        <v>36</v>
      </c>
      <c r="H142" s="158"/>
      <c r="I142" s="158"/>
      <c r="J142" s="158"/>
      <c r="K142" s="159"/>
      <c r="L142" s="160">
        <f>L131</f>
        <v>0.94</v>
      </c>
      <c r="M142" s="160">
        <f>L142</f>
        <v>0.94</v>
      </c>
      <c r="N142" s="160">
        <f t="shared" ref="N142:AN149" si="31">M142</f>
        <v>0.94</v>
      </c>
      <c r="O142" s="160">
        <f t="shared" si="31"/>
        <v>0.94</v>
      </c>
      <c r="P142" s="160">
        <f t="shared" si="31"/>
        <v>0.94</v>
      </c>
      <c r="Q142" s="160">
        <f t="shared" si="31"/>
        <v>0.94</v>
      </c>
      <c r="R142" s="160">
        <f t="shared" si="31"/>
        <v>0.94</v>
      </c>
      <c r="S142" s="160">
        <f t="shared" si="31"/>
        <v>0.94</v>
      </c>
      <c r="T142" s="160">
        <f t="shared" si="31"/>
        <v>0.94</v>
      </c>
      <c r="U142" s="160">
        <f t="shared" si="31"/>
        <v>0.94</v>
      </c>
      <c r="V142" s="160">
        <f t="shared" si="31"/>
        <v>0.94</v>
      </c>
      <c r="W142" s="160">
        <f t="shared" si="31"/>
        <v>0.94</v>
      </c>
      <c r="X142" s="160">
        <f t="shared" si="31"/>
        <v>0.94</v>
      </c>
      <c r="Y142" s="160">
        <f t="shared" si="31"/>
        <v>0.94</v>
      </c>
      <c r="Z142" s="160">
        <f t="shared" si="31"/>
        <v>0.94</v>
      </c>
      <c r="AA142" s="160">
        <f t="shared" si="31"/>
        <v>0.94</v>
      </c>
      <c r="AB142" s="160">
        <f t="shared" si="31"/>
        <v>0.94</v>
      </c>
      <c r="AC142" s="160">
        <f t="shared" si="31"/>
        <v>0.94</v>
      </c>
      <c r="AD142" s="160">
        <f t="shared" si="31"/>
        <v>0.94</v>
      </c>
      <c r="AE142" s="160">
        <f t="shared" si="31"/>
        <v>0.94</v>
      </c>
      <c r="AF142" s="160">
        <f t="shared" si="31"/>
        <v>0.94</v>
      </c>
      <c r="AG142" s="160">
        <f t="shared" si="31"/>
        <v>0.94</v>
      </c>
      <c r="AH142" s="160">
        <f t="shared" si="31"/>
        <v>0.94</v>
      </c>
      <c r="AI142" s="160">
        <f t="shared" si="31"/>
        <v>0.94</v>
      </c>
      <c r="AJ142" s="160">
        <f t="shared" si="31"/>
        <v>0.94</v>
      </c>
      <c r="AK142" s="160">
        <f t="shared" si="31"/>
        <v>0.94</v>
      </c>
      <c r="AL142" s="160">
        <f t="shared" si="31"/>
        <v>0.94</v>
      </c>
      <c r="AM142" s="160">
        <f t="shared" si="31"/>
        <v>0.94</v>
      </c>
      <c r="AN142" s="161">
        <f t="shared" si="31"/>
        <v>0.94</v>
      </c>
    </row>
    <row r="143" spans="1:40" ht="20.100000000000001" customHeight="1">
      <c r="A143" s="64"/>
      <c r="B143" s="65"/>
      <c r="C143" s="65"/>
      <c r="D143" s="65"/>
      <c r="E143" s="44"/>
      <c r="F143" s="586"/>
      <c r="G143" s="162" t="s">
        <v>37</v>
      </c>
      <c r="H143" s="162"/>
      <c r="I143" s="162"/>
      <c r="J143" s="162"/>
      <c r="K143" s="107"/>
      <c r="L143" s="163">
        <f>M131</f>
        <v>1.2</v>
      </c>
      <c r="M143" s="163">
        <f t="shared" ref="M143:AB149" si="32">L143</f>
        <v>1.2</v>
      </c>
      <c r="N143" s="163">
        <f t="shared" si="32"/>
        <v>1.2</v>
      </c>
      <c r="O143" s="163">
        <f t="shared" si="32"/>
        <v>1.2</v>
      </c>
      <c r="P143" s="163">
        <f t="shared" si="32"/>
        <v>1.2</v>
      </c>
      <c r="Q143" s="163">
        <f t="shared" si="32"/>
        <v>1.2</v>
      </c>
      <c r="R143" s="163">
        <f t="shared" si="32"/>
        <v>1.2</v>
      </c>
      <c r="S143" s="163">
        <f t="shared" si="32"/>
        <v>1.2</v>
      </c>
      <c r="T143" s="163">
        <f t="shared" si="32"/>
        <v>1.2</v>
      </c>
      <c r="U143" s="163">
        <f t="shared" si="32"/>
        <v>1.2</v>
      </c>
      <c r="V143" s="163">
        <f t="shared" si="32"/>
        <v>1.2</v>
      </c>
      <c r="W143" s="163">
        <f t="shared" si="32"/>
        <v>1.2</v>
      </c>
      <c r="X143" s="163">
        <f t="shared" si="32"/>
        <v>1.2</v>
      </c>
      <c r="Y143" s="163">
        <f t="shared" si="32"/>
        <v>1.2</v>
      </c>
      <c r="Z143" s="163">
        <f t="shared" si="32"/>
        <v>1.2</v>
      </c>
      <c r="AA143" s="163">
        <f t="shared" si="32"/>
        <v>1.2</v>
      </c>
      <c r="AB143" s="163">
        <f t="shared" si="32"/>
        <v>1.2</v>
      </c>
      <c r="AC143" s="163">
        <f t="shared" si="31"/>
        <v>1.2</v>
      </c>
      <c r="AD143" s="163">
        <f t="shared" si="31"/>
        <v>1.2</v>
      </c>
      <c r="AE143" s="163">
        <f t="shared" si="31"/>
        <v>1.2</v>
      </c>
      <c r="AF143" s="163">
        <f t="shared" si="31"/>
        <v>1.2</v>
      </c>
      <c r="AG143" s="163">
        <f t="shared" si="31"/>
        <v>1.2</v>
      </c>
      <c r="AH143" s="163">
        <f t="shared" si="31"/>
        <v>1.2</v>
      </c>
      <c r="AI143" s="163">
        <f t="shared" si="31"/>
        <v>1.2</v>
      </c>
      <c r="AJ143" s="163">
        <f t="shared" si="31"/>
        <v>1.2</v>
      </c>
      <c r="AK143" s="163">
        <f t="shared" si="31"/>
        <v>1.2</v>
      </c>
      <c r="AL143" s="163">
        <f t="shared" si="31"/>
        <v>1.2</v>
      </c>
      <c r="AM143" s="163">
        <f t="shared" si="31"/>
        <v>1.2</v>
      </c>
      <c r="AN143" s="164">
        <f t="shared" si="31"/>
        <v>1.2</v>
      </c>
    </row>
    <row r="144" spans="1:40" ht="20.100000000000001" customHeight="1">
      <c r="A144" s="64"/>
      <c r="B144" s="65"/>
      <c r="C144" s="65"/>
      <c r="D144" s="65"/>
      <c r="E144" s="44"/>
      <c r="F144" s="586"/>
      <c r="G144" s="162" t="s">
        <v>38</v>
      </c>
      <c r="H144" s="162"/>
      <c r="I144" s="162"/>
      <c r="J144" s="162"/>
      <c r="K144" s="107"/>
      <c r="L144" s="163">
        <f>N131</f>
        <v>1</v>
      </c>
      <c r="M144" s="163">
        <f t="shared" si="32"/>
        <v>1</v>
      </c>
      <c r="N144" s="163">
        <f t="shared" si="31"/>
        <v>1</v>
      </c>
      <c r="O144" s="163">
        <f t="shared" si="31"/>
        <v>1</v>
      </c>
      <c r="P144" s="163">
        <f t="shared" si="31"/>
        <v>1</v>
      </c>
      <c r="Q144" s="163">
        <f t="shared" si="31"/>
        <v>1</v>
      </c>
      <c r="R144" s="163">
        <f t="shared" si="31"/>
        <v>1</v>
      </c>
      <c r="S144" s="163">
        <f t="shared" si="31"/>
        <v>1</v>
      </c>
      <c r="T144" s="163">
        <f t="shared" si="31"/>
        <v>1</v>
      </c>
      <c r="U144" s="163">
        <f t="shared" si="31"/>
        <v>1</v>
      </c>
      <c r="V144" s="163">
        <f t="shared" si="31"/>
        <v>1</v>
      </c>
      <c r="W144" s="163">
        <f t="shared" si="31"/>
        <v>1</v>
      </c>
      <c r="X144" s="163">
        <f t="shared" si="31"/>
        <v>1</v>
      </c>
      <c r="Y144" s="163">
        <f t="shared" si="31"/>
        <v>1</v>
      </c>
      <c r="Z144" s="163">
        <f t="shared" si="31"/>
        <v>1</v>
      </c>
      <c r="AA144" s="163">
        <f t="shared" si="31"/>
        <v>1</v>
      </c>
      <c r="AB144" s="163">
        <f t="shared" si="31"/>
        <v>1</v>
      </c>
      <c r="AC144" s="163">
        <f t="shared" si="31"/>
        <v>1</v>
      </c>
      <c r="AD144" s="163">
        <f t="shared" si="31"/>
        <v>1</v>
      </c>
      <c r="AE144" s="163">
        <f t="shared" si="31"/>
        <v>1</v>
      </c>
      <c r="AF144" s="163">
        <f t="shared" si="31"/>
        <v>1</v>
      </c>
      <c r="AG144" s="163">
        <f t="shared" si="31"/>
        <v>1</v>
      </c>
      <c r="AH144" s="163">
        <f t="shared" si="31"/>
        <v>1</v>
      </c>
      <c r="AI144" s="163">
        <f t="shared" si="31"/>
        <v>1</v>
      </c>
      <c r="AJ144" s="163">
        <f t="shared" si="31"/>
        <v>1</v>
      </c>
      <c r="AK144" s="163">
        <f t="shared" si="31"/>
        <v>1</v>
      </c>
      <c r="AL144" s="163">
        <f t="shared" si="31"/>
        <v>1</v>
      </c>
      <c r="AM144" s="163">
        <f t="shared" si="31"/>
        <v>1</v>
      </c>
      <c r="AN144" s="164">
        <f t="shared" si="31"/>
        <v>1</v>
      </c>
    </row>
    <row r="145" spans="1:40" ht="20.100000000000001" customHeight="1">
      <c r="A145" s="64"/>
      <c r="B145" s="65"/>
      <c r="C145" s="65"/>
      <c r="D145" s="65"/>
      <c r="E145" s="44"/>
      <c r="F145" s="586"/>
      <c r="G145" s="162" t="s">
        <v>39</v>
      </c>
      <c r="H145" s="162"/>
      <c r="I145" s="162"/>
      <c r="J145" s="162"/>
      <c r="K145" s="107"/>
      <c r="L145" s="163">
        <f>O131</f>
        <v>1</v>
      </c>
      <c r="M145" s="163">
        <f t="shared" si="32"/>
        <v>1</v>
      </c>
      <c r="N145" s="163">
        <f t="shared" si="31"/>
        <v>1</v>
      </c>
      <c r="O145" s="163">
        <f t="shared" si="31"/>
        <v>1</v>
      </c>
      <c r="P145" s="163">
        <f t="shared" si="31"/>
        <v>1</v>
      </c>
      <c r="Q145" s="163">
        <f t="shared" si="31"/>
        <v>1</v>
      </c>
      <c r="R145" s="163">
        <f t="shared" si="31"/>
        <v>1</v>
      </c>
      <c r="S145" s="163">
        <f t="shared" si="31"/>
        <v>1</v>
      </c>
      <c r="T145" s="163">
        <f t="shared" si="31"/>
        <v>1</v>
      </c>
      <c r="U145" s="163">
        <f t="shared" si="31"/>
        <v>1</v>
      </c>
      <c r="V145" s="163">
        <f t="shared" si="31"/>
        <v>1</v>
      </c>
      <c r="W145" s="163">
        <f t="shared" si="31"/>
        <v>1</v>
      </c>
      <c r="X145" s="163">
        <f t="shared" si="31"/>
        <v>1</v>
      </c>
      <c r="Y145" s="163">
        <f t="shared" si="31"/>
        <v>1</v>
      </c>
      <c r="Z145" s="163">
        <f t="shared" si="31"/>
        <v>1</v>
      </c>
      <c r="AA145" s="163">
        <f t="shared" si="31"/>
        <v>1</v>
      </c>
      <c r="AB145" s="163">
        <f t="shared" si="31"/>
        <v>1</v>
      </c>
      <c r="AC145" s="163">
        <f t="shared" si="31"/>
        <v>1</v>
      </c>
      <c r="AD145" s="163">
        <f t="shared" si="31"/>
        <v>1</v>
      </c>
      <c r="AE145" s="163">
        <f t="shared" si="31"/>
        <v>1</v>
      </c>
      <c r="AF145" s="163">
        <f t="shared" si="31"/>
        <v>1</v>
      </c>
      <c r="AG145" s="163">
        <f t="shared" si="31"/>
        <v>1</v>
      </c>
      <c r="AH145" s="163">
        <f t="shared" si="31"/>
        <v>1</v>
      </c>
      <c r="AI145" s="163">
        <f t="shared" si="31"/>
        <v>1</v>
      </c>
      <c r="AJ145" s="163">
        <f t="shared" si="31"/>
        <v>1</v>
      </c>
      <c r="AK145" s="163">
        <f t="shared" si="31"/>
        <v>1</v>
      </c>
      <c r="AL145" s="163">
        <f t="shared" si="31"/>
        <v>1</v>
      </c>
      <c r="AM145" s="163">
        <f t="shared" si="31"/>
        <v>1</v>
      </c>
      <c r="AN145" s="164">
        <f t="shared" si="31"/>
        <v>1</v>
      </c>
    </row>
    <row r="146" spans="1:40" ht="20.100000000000001" customHeight="1">
      <c r="A146" s="64"/>
      <c r="B146" s="65"/>
      <c r="C146" s="65"/>
      <c r="D146" s="65"/>
      <c r="E146" s="44"/>
      <c r="F146" s="586"/>
      <c r="G146" s="162" t="s">
        <v>77</v>
      </c>
      <c r="H146" s="162"/>
      <c r="I146" s="162"/>
      <c r="J146" s="162"/>
      <c r="K146" s="107"/>
      <c r="L146" s="163">
        <f>P131</f>
        <v>0.7</v>
      </c>
      <c r="M146" s="163">
        <f t="shared" si="32"/>
        <v>0.7</v>
      </c>
      <c r="N146" s="163">
        <f t="shared" si="31"/>
        <v>0.7</v>
      </c>
      <c r="O146" s="163">
        <f t="shared" si="31"/>
        <v>0.7</v>
      </c>
      <c r="P146" s="163">
        <f t="shared" si="31"/>
        <v>0.7</v>
      </c>
      <c r="Q146" s="163">
        <f t="shared" si="31"/>
        <v>0.7</v>
      </c>
      <c r="R146" s="163">
        <f t="shared" si="31"/>
        <v>0.7</v>
      </c>
      <c r="S146" s="163">
        <f t="shared" si="31"/>
        <v>0.7</v>
      </c>
      <c r="T146" s="163">
        <f t="shared" si="31"/>
        <v>0.7</v>
      </c>
      <c r="U146" s="163">
        <f t="shared" si="31"/>
        <v>0.7</v>
      </c>
      <c r="V146" s="163">
        <f t="shared" si="31"/>
        <v>0.7</v>
      </c>
      <c r="W146" s="163">
        <f t="shared" si="31"/>
        <v>0.7</v>
      </c>
      <c r="X146" s="163">
        <f t="shared" si="31"/>
        <v>0.7</v>
      </c>
      <c r="Y146" s="163">
        <f t="shared" si="31"/>
        <v>0.7</v>
      </c>
      <c r="Z146" s="163">
        <f t="shared" si="31"/>
        <v>0.7</v>
      </c>
      <c r="AA146" s="163">
        <f t="shared" si="31"/>
        <v>0.7</v>
      </c>
      <c r="AB146" s="163">
        <f t="shared" si="31"/>
        <v>0.7</v>
      </c>
      <c r="AC146" s="163">
        <f t="shared" si="31"/>
        <v>0.7</v>
      </c>
      <c r="AD146" s="163">
        <f t="shared" si="31"/>
        <v>0.7</v>
      </c>
      <c r="AE146" s="163">
        <f t="shared" si="31"/>
        <v>0.7</v>
      </c>
      <c r="AF146" s="163">
        <f t="shared" si="31"/>
        <v>0.7</v>
      </c>
      <c r="AG146" s="163">
        <f t="shared" si="31"/>
        <v>0.7</v>
      </c>
      <c r="AH146" s="163">
        <f t="shared" si="31"/>
        <v>0.7</v>
      </c>
      <c r="AI146" s="163">
        <f t="shared" si="31"/>
        <v>0.7</v>
      </c>
      <c r="AJ146" s="163">
        <f t="shared" si="31"/>
        <v>0.7</v>
      </c>
      <c r="AK146" s="163">
        <f t="shared" si="31"/>
        <v>0.7</v>
      </c>
      <c r="AL146" s="163">
        <f t="shared" si="31"/>
        <v>0.7</v>
      </c>
      <c r="AM146" s="163">
        <f t="shared" si="31"/>
        <v>0.7</v>
      </c>
      <c r="AN146" s="164">
        <f t="shared" si="31"/>
        <v>0.7</v>
      </c>
    </row>
    <row r="147" spans="1:40" ht="20.100000000000001" customHeight="1">
      <c r="A147" s="64"/>
      <c r="B147" s="65"/>
      <c r="C147" s="65"/>
      <c r="D147" s="65"/>
      <c r="E147" s="44"/>
      <c r="F147" s="586"/>
      <c r="G147" s="162" t="s">
        <v>78</v>
      </c>
      <c r="H147" s="162"/>
      <c r="I147" s="162"/>
      <c r="J147" s="162"/>
      <c r="K147" s="107"/>
      <c r="L147" s="163">
        <f>Q131</f>
        <v>1</v>
      </c>
      <c r="M147" s="163">
        <f t="shared" si="32"/>
        <v>1</v>
      </c>
      <c r="N147" s="163">
        <f t="shared" si="31"/>
        <v>1</v>
      </c>
      <c r="O147" s="163">
        <f t="shared" si="31"/>
        <v>1</v>
      </c>
      <c r="P147" s="163">
        <f t="shared" si="31"/>
        <v>1</v>
      </c>
      <c r="Q147" s="163">
        <f t="shared" si="31"/>
        <v>1</v>
      </c>
      <c r="R147" s="163">
        <f t="shared" si="31"/>
        <v>1</v>
      </c>
      <c r="S147" s="163">
        <f t="shared" si="31"/>
        <v>1</v>
      </c>
      <c r="T147" s="163">
        <f t="shared" si="31"/>
        <v>1</v>
      </c>
      <c r="U147" s="163">
        <f t="shared" si="31"/>
        <v>1</v>
      </c>
      <c r="V147" s="163">
        <f t="shared" si="31"/>
        <v>1</v>
      </c>
      <c r="W147" s="163">
        <f t="shared" si="31"/>
        <v>1</v>
      </c>
      <c r="X147" s="163">
        <f t="shared" si="31"/>
        <v>1</v>
      </c>
      <c r="Y147" s="163">
        <f t="shared" si="31"/>
        <v>1</v>
      </c>
      <c r="Z147" s="163">
        <f t="shared" si="31"/>
        <v>1</v>
      </c>
      <c r="AA147" s="163">
        <f t="shared" si="31"/>
        <v>1</v>
      </c>
      <c r="AB147" s="163">
        <f t="shared" si="31"/>
        <v>1</v>
      </c>
      <c r="AC147" s="163">
        <f t="shared" si="31"/>
        <v>1</v>
      </c>
      <c r="AD147" s="163">
        <f t="shared" si="31"/>
        <v>1</v>
      </c>
      <c r="AE147" s="163">
        <f t="shared" si="31"/>
        <v>1</v>
      </c>
      <c r="AF147" s="163">
        <f t="shared" si="31"/>
        <v>1</v>
      </c>
      <c r="AG147" s="163">
        <f t="shared" si="31"/>
        <v>1</v>
      </c>
      <c r="AH147" s="163">
        <f t="shared" si="31"/>
        <v>1</v>
      </c>
      <c r="AI147" s="163">
        <f t="shared" si="31"/>
        <v>1</v>
      </c>
      <c r="AJ147" s="163">
        <f t="shared" si="31"/>
        <v>1</v>
      </c>
      <c r="AK147" s="163">
        <f t="shared" si="31"/>
        <v>1</v>
      </c>
      <c r="AL147" s="163">
        <f t="shared" si="31"/>
        <v>1</v>
      </c>
      <c r="AM147" s="163">
        <f t="shared" si="31"/>
        <v>1</v>
      </c>
      <c r="AN147" s="164">
        <f t="shared" si="31"/>
        <v>1</v>
      </c>
    </row>
    <row r="148" spans="1:40" ht="20.100000000000001" customHeight="1">
      <c r="A148" s="64"/>
      <c r="B148" s="65"/>
      <c r="C148" s="65"/>
      <c r="D148" s="65"/>
      <c r="E148" s="44"/>
      <c r="F148" s="586"/>
      <c r="G148" s="162" t="s">
        <v>79</v>
      </c>
      <c r="H148" s="162"/>
      <c r="I148" s="162"/>
      <c r="J148" s="162"/>
      <c r="K148" s="107"/>
      <c r="L148" s="163">
        <f>R131</f>
        <v>0.64999999999999991</v>
      </c>
      <c r="M148" s="163">
        <f t="shared" si="32"/>
        <v>0.64999999999999991</v>
      </c>
      <c r="N148" s="163">
        <f t="shared" si="31"/>
        <v>0.64999999999999991</v>
      </c>
      <c r="O148" s="163">
        <f t="shared" si="31"/>
        <v>0.64999999999999991</v>
      </c>
      <c r="P148" s="163">
        <f t="shared" si="31"/>
        <v>0.64999999999999991</v>
      </c>
      <c r="Q148" s="163">
        <f t="shared" si="31"/>
        <v>0.64999999999999991</v>
      </c>
      <c r="R148" s="163">
        <f t="shared" si="31"/>
        <v>0.64999999999999991</v>
      </c>
      <c r="S148" s="163">
        <f t="shared" si="31"/>
        <v>0.64999999999999991</v>
      </c>
      <c r="T148" s="163">
        <f t="shared" si="31"/>
        <v>0.64999999999999991</v>
      </c>
      <c r="U148" s="163">
        <f t="shared" si="31"/>
        <v>0.64999999999999991</v>
      </c>
      <c r="V148" s="163">
        <f t="shared" si="31"/>
        <v>0.64999999999999991</v>
      </c>
      <c r="W148" s="163">
        <f t="shared" si="31"/>
        <v>0.64999999999999991</v>
      </c>
      <c r="X148" s="163">
        <f t="shared" si="31"/>
        <v>0.64999999999999991</v>
      </c>
      <c r="Y148" s="163">
        <f t="shared" si="31"/>
        <v>0.64999999999999991</v>
      </c>
      <c r="Z148" s="163">
        <f t="shared" si="31"/>
        <v>0.64999999999999991</v>
      </c>
      <c r="AA148" s="163">
        <f t="shared" si="31"/>
        <v>0.64999999999999991</v>
      </c>
      <c r="AB148" s="163">
        <f t="shared" si="31"/>
        <v>0.64999999999999991</v>
      </c>
      <c r="AC148" s="163">
        <f t="shared" si="31"/>
        <v>0.64999999999999991</v>
      </c>
      <c r="AD148" s="163">
        <f t="shared" si="31"/>
        <v>0.64999999999999991</v>
      </c>
      <c r="AE148" s="163">
        <f t="shared" si="31"/>
        <v>0.64999999999999991</v>
      </c>
      <c r="AF148" s="163">
        <f t="shared" si="31"/>
        <v>0.64999999999999991</v>
      </c>
      <c r="AG148" s="163">
        <f t="shared" si="31"/>
        <v>0.64999999999999991</v>
      </c>
      <c r="AH148" s="163">
        <f t="shared" si="31"/>
        <v>0.64999999999999991</v>
      </c>
      <c r="AI148" s="163">
        <f t="shared" si="31"/>
        <v>0.64999999999999991</v>
      </c>
      <c r="AJ148" s="163">
        <f t="shared" si="31"/>
        <v>0.64999999999999991</v>
      </c>
      <c r="AK148" s="163">
        <f t="shared" si="31"/>
        <v>0.64999999999999991</v>
      </c>
      <c r="AL148" s="163">
        <f t="shared" si="31"/>
        <v>0.64999999999999991</v>
      </c>
      <c r="AM148" s="163">
        <f t="shared" si="31"/>
        <v>0.64999999999999991</v>
      </c>
      <c r="AN148" s="164">
        <f t="shared" si="31"/>
        <v>0.64999999999999991</v>
      </c>
    </row>
    <row r="149" spans="1:40" ht="20.100000000000001" customHeight="1" thickBot="1">
      <c r="A149" s="64"/>
      <c r="B149" s="65"/>
      <c r="C149" s="65"/>
      <c r="D149" s="65"/>
      <c r="E149" s="44"/>
      <c r="F149" s="587"/>
      <c r="G149" s="165" t="s">
        <v>80</v>
      </c>
      <c r="H149" s="165"/>
      <c r="I149" s="165"/>
      <c r="J149" s="165"/>
      <c r="K149" s="109"/>
      <c r="L149" s="166">
        <f>S131</f>
        <v>0.55999999999999994</v>
      </c>
      <c r="M149" s="166">
        <f t="shared" si="32"/>
        <v>0.55999999999999994</v>
      </c>
      <c r="N149" s="166">
        <f t="shared" si="31"/>
        <v>0.55999999999999994</v>
      </c>
      <c r="O149" s="166">
        <f t="shared" si="31"/>
        <v>0.55999999999999994</v>
      </c>
      <c r="P149" s="166">
        <f t="shared" si="31"/>
        <v>0.55999999999999994</v>
      </c>
      <c r="Q149" s="166">
        <f t="shared" si="31"/>
        <v>0.55999999999999994</v>
      </c>
      <c r="R149" s="166">
        <f t="shared" si="31"/>
        <v>0.55999999999999994</v>
      </c>
      <c r="S149" s="166">
        <f t="shared" si="31"/>
        <v>0.55999999999999994</v>
      </c>
      <c r="T149" s="166">
        <f t="shared" si="31"/>
        <v>0.55999999999999994</v>
      </c>
      <c r="U149" s="166">
        <f t="shared" si="31"/>
        <v>0.55999999999999994</v>
      </c>
      <c r="V149" s="166">
        <f t="shared" si="31"/>
        <v>0.55999999999999994</v>
      </c>
      <c r="W149" s="166">
        <f t="shared" si="31"/>
        <v>0.55999999999999994</v>
      </c>
      <c r="X149" s="166">
        <f t="shared" si="31"/>
        <v>0.55999999999999994</v>
      </c>
      <c r="Y149" s="166">
        <f t="shared" si="31"/>
        <v>0.55999999999999994</v>
      </c>
      <c r="Z149" s="166">
        <f t="shared" si="31"/>
        <v>0.55999999999999994</v>
      </c>
      <c r="AA149" s="166">
        <f t="shared" si="31"/>
        <v>0.55999999999999994</v>
      </c>
      <c r="AB149" s="166">
        <f t="shared" si="31"/>
        <v>0.55999999999999994</v>
      </c>
      <c r="AC149" s="166">
        <f t="shared" si="31"/>
        <v>0.55999999999999994</v>
      </c>
      <c r="AD149" s="166">
        <f t="shared" si="31"/>
        <v>0.55999999999999994</v>
      </c>
      <c r="AE149" s="166">
        <f t="shared" si="31"/>
        <v>0.55999999999999994</v>
      </c>
      <c r="AF149" s="166">
        <f t="shared" si="31"/>
        <v>0.55999999999999994</v>
      </c>
      <c r="AG149" s="166">
        <f t="shared" si="31"/>
        <v>0.55999999999999994</v>
      </c>
      <c r="AH149" s="166">
        <f t="shared" si="31"/>
        <v>0.55999999999999994</v>
      </c>
      <c r="AI149" s="166">
        <f t="shared" si="31"/>
        <v>0.55999999999999994</v>
      </c>
      <c r="AJ149" s="166">
        <f t="shared" si="31"/>
        <v>0.55999999999999994</v>
      </c>
      <c r="AK149" s="166">
        <f t="shared" si="31"/>
        <v>0.55999999999999994</v>
      </c>
      <c r="AL149" s="166">
        <f t="shared" si="31"/>
        <v>0.55999999999999994</v>
      </c>
      <c r="AM149" s="166">
        <f t="shared" si="31"/>
        <v>0.55999999999999994</v>
      </c>
      <c r="AN149" s="167">
        <f t="shared" si="31"/>
        <v>0.55999999999999994</v>
      </c>
    </row>
    <row r="150" spans="1:40" ht="20.100000000000001" customHeight="1">
      <c r="A150" s="64"/>
      <c r="B150" s="65"/>
      <c r="C150" s="65"/>
      <c r="D150" s="65"/>
      <c r="E150" s="44"/>
      <c r="F150" s="578" t="s">
        <v>266</v>
      </c>
      <c r="G150" s="158" t="s">
        <v>36</v>
      </c>
      <c r="H150" s="158"/>
      <c r="I150" s="158"/>
      <c r="J150" s="158"/>
      <c r="K150" s="159"/>
      <c r="L150" s="160" t="e">
        <f>(L$114/L$116*L134)+(L$115/L$116*L142)</f>
        <v>#DIV/0!</v>
      </c>
      <c r="M150" s="160">
        <f t="shared" ref="M150:AN157" si="33">(M$114/M$116*M134)+(M$115/M$116*M142)</f>
        <v>0.94</v>
      </c>
      <c r="N150" s="160">
        <f t="shared" si="33"/>
        <v>0.94</v>
      </c>
      <c r="O150" s="160">
        <f t="shared" si="33"/>
        <v>1.798360655737705</v>
      </c>
      <c r="P150" s="160">
        <f t="shared" si="33"/>
        <v>1.7759743698368988</v>
      </c>
      <c r="Q150" s="160">
        <f t="shared" si="33"/>
        <v>1.7549311690980069</v>
      </c>
      <c r="R150" s="160">
        <f t="shared" si="33"/>
        <v>1.7351192850873693</v>
      </c>
      <c r="S150" s="160">
        <f t="shared" si="33"/>
        <v>1.7164302050626041</v>
      </c>
      <c r="T150" s="160">
        <f t="shared" si="33"/>
        <v>1.6987777526480456</v>
      </c>
      <c r="U150" s="160">
        <f t="shared" si="33"/>
        <v>1.6987734893664903</v>
      </c>
      <c r="V150" s="160">
        <f t="shared" si="33"/>
        <v>1.6987758453385087</v>
      </c>
      <c r="W150" s="160">
        <f t="shared" si="33"/>
        <v>1.6987781780369147</v>
      </c>
      <c r="X150" s="160">
        <f t="shared" si="33"/>
        <v>1.6987869997413252</v>
      </c>
      <c r="Y150" s="160">
        <f t="shared" si="33"/>
        <v>1.698767833504927</v>
      </c>
      <c r="Z150" s="160">
        <f t="shared" si="33"/>
        <v>1.6987553051368358</v>
      </c>
      <c r="AA150" s="160">
        <f t="shared" si="33"/>
        <v>1.6987429008300567</v>
      </c>
      <c r="AB150" s="160">
        <f t="shared" si="33"/>
        <v>1.698737004165912</v>
      </c>
      <c r="AC150" s="160">
        <f t="shared" si="33"/>
        <v>1.6987375193742567</v>
      </c>
      <c r="AD150" s="160">
        <f t="shared" si="33"/>
        <v>1.6987380294824432</v>
      </c>
      <c r="AE150" s="160">
        <f t="shared" si="33"/>
        <v>1.6987448251249107</v>
      </c>
      <c r="AF150" s="160">
        <f t="shared" si="33"/>
        <v>1.6987515536773323</v>
      </c>
      <c r="AG150" s="160">
        <f t="shared" si="33"/>
        <v>1.6987376325088339</v>
      </c>
      <c r="AH150" s="160">
        <f t="shared" si="33"/>
        <v>1.6987238493723851</v>
      </c>
      <c r="AI150" s="160">
        <f t="shared" si="33"/>
        <v>1.6987163698702026</v>
      </c>
      <c r="AJ150" s="160">
        <f t="shared" si="33"/>
        <v>1.6987089643167974</v>
      </c>
      <c r="AK150" s="160">
        <f t="shared" si="33"/>
        <v>1.6987077386725786</v>
      </c>
      <c r="AL150" s="160">
        <f t="shared" si="33"/>
        <v>1.6987126016820624</v>
      </c>
      <c r="AM150" s="160">
        <f t="shared" si="33"/>
        <v>1.6987174166552339</v>
      </c>
      <c r="AN150" s="161">
        <f>(AN$114/AN$116*AN134)+(AN$115/AN$116*AN142)</f>
        <v>1.6987282004027164</v>
      </c>
    </row>
    <row r="151" spans="1:40" ht="20.100000000000001" customHeight="1">
      <c r="A151" s="64"/>
      <c r="B151" s="65"/>
      <c r="C151" s="65"/>
      <c r="D151" s="65"/>
      <c r="E151" s="44"/>
      <c r="F151" s="579"/>
      <c r="G151" s="162" t="s">
        <v>37</v>
      </c>
      <c r="H151" s="162"/>
      <c r="I151" s="162"/>
      <c r="J151" s="162"/>
      <c r="K151" s="107"/>
      <c r="L151" s="163" t="e">
        <f t="shared" ref="L151:AA157" si="34">(L$114/L$116*L135)+(L$115/L$116*L143)</f>
        <v>#DIV/0!</v>
      </c>
      <c r="M151" s="163">
        <f t="shared" si="34"/>
        <v>1.2</v>
      </c>
      <c r="N151" s="163">
        <f t="shared" si="34"/>
        <v>1.2</v>
      </c>
      <c r="O151" s="163">
        <f t="shared" si="34"/>
        <v>0.46557377049180326</v>
      </c>
      <c r="P151" s="163">
        <f t="shared" si="34"/>
        <v>0.48472781190425751</v>
      </c>
      <c r="Q151" s="163">
        <f t="shared" si="34"/>
        <v>0.50273268954181216</v>
      </c>
      <c r="R151" s="163">
        <f t="shared" si="34"/>
        <v>0.51968403414984432</v>
      </c>
      <c r="S151" s="163">
        <f t="shared" si="34"/>
        <v>0.53567469085552588</v>
      </c>
      <c r="T151" s="163">
        <f t="shared" si="34"/>
        <v>0.55077839345621771</v>
      </c>
      <c r="U151" s="163">
        <f t="shared" si="34"/>
        <v>0.5507820411837514</v>
      </c>
      <c r="V151" s="163">
        <f t="shared" si="34"/>
        <v>0.5507800253788161</v>
      </c>
      <c r="W151" s="163">
        <f t="shared" si="34"/>
        <v>0.55077802948713184</v>
      </c>
      <c r="X151" s="163">
        <f t="shared" si="34"/>
        <v>0.5507704815047485</v>
      </c>
      <c r="Y151" s="163">
        <f t="shared" si="34"/>
        <v>0.5507868804235917</v>
      </c>
      <c r="Z151" s="163">
        <f t="shared" si="34"/>
        <v>0.5507975998829211</v>
      </c>
      <c r="AA151" s="163">
        <f t="shared" si="34"/>
        <v>0.55080821319353435</v>
      </c>
      <c r="AB151" s="163">
        <f t="shared" si="33"/>
        <v>0.55081325846766882</v>
      </c>
      <c r="AC151" s="163">
        <f t="shared" si="33"/>
        <v>0.55081281764769496</v>
      </c>
      <c r="AD151" s="163">
        <f t="shared" si="33"/>
        <v>0.55081238119149234</v>
      </c>
      <c r="AE151" s="163">
        <f t="shared" si="33"/>
        <v>0.55080656673804418</v>
      </c>
      <c r="AF151" s="163">
        <f t="shared" si="33"/>
        <v>0.55080080968784406</v>
      </c>
      <c r="AG151" s="163">
        <f t="shared" si="33"/>
        <v>0.55081272084805655</v>
      </c>
      <c r="AH151" s="163">
        <f t="shared" si="33"/>
        <v>0.55082451390598075</v>
      </c>
      <c r="AI151" s="163">
        <f t="shared" si="33"/>
        <v>0.55083091348004054</v>
      </c>
      <c r="AJ151" s="163">
        <f t="shared" si="33"/>
        <v>0.55083724978241944</v>
      </c>
      <c r="AK151" s="163">
        <f t="shared" si="33"/>
        <v>0.55083829846196475</v>
      </c>
      <c r="AL151" s="163">
        <f t="shared" si="33"/>
        <v>0.55083413759823507</v>
      </c>
      <c r="AM151" s="163">
        <f t="shared" si="33"/>
        <v>0.550830017835094</v>
      </c>
      <c r="AN151" s="164">
        <f t="shared" si="33"/>
        <v>0.55082079109927984</v>
      </c>
    </row>
    <row r="152" spans="1:40" ht="20.100000000000001" customHeight="1">
      <c r="A152" s="64"/>
      <c r="B152" s="65"/>
      <c r="C152" s="65"/>
      <c r="D152" s="65"/>
      <c r="E152" s="44"/>
      <c r="F152" s="579"/>
      <c r="G152" s="162" t="s">
        <v>38</v>
      </c>
      <c r="H152" s="162"/>
      <c r="I152" s="162"/>
      <c r="J152" s="162"/>
      <c r="K152" s="107"/>
      <c r="L152" s="163" t="e">
        <f t="shared" si="34"/>
        <v>#DIV/0!</v>
      </c>
      <c r="M152" s="163">
        <f t="shared" si="33"/>
        <v>1</v>
      </c>
      <c r="N152" s="163">
        <f t="shared" si="33"/>
        <v>1</v>
      </c>
      <c r="O152" s="163">
        <f t="shared" si="33"/>
        <v>1</v>
      </c>
      <c r="P152" s="163">
        <f t="shared" si="33"/>
        <v>1</v>
      </c>
      <c r="Q152" s="163">
        <f t="shared" si="33"/>
        <v>1</v>
      </c>
      <c r="R152" s="163">
        <f t="shared" si="33"/>
        <v>1</v>
      </c>
      <c r="S152" s="163">
        <f t="shared" si="33"/>
        <v>1</v>
      </c>
      <c r="T152" s="163">
        <f t="shared" si="33"/>
        <v>1</v>
      </c>
      <c r="U152" s="163">
        <f t="shared" si="33"/>
        <v>1</v>
      </c>
      <c r="V152" s="163">
        <f t="shared" si="33"/>
        <v>1</v>
      </c>
      <c r="W152" s="163">
        <f t="shared" si="33"/>
        <v>1</v>
      </c>
      <c r="X152" s="163">
        <f t="shared" si="33"/>
        <v>1</v>
      </c>
      <c r="Y152" s="163">
        <f t="shared" si="33"/>
        <v>1</v>
      </c>
      <c r="Z152" s="163">
        <f t="shared" si="33"/>
        <v>1</v>
      </c>
      <c r="AA152" s="163">
        <f t="shared" si="33"/>
        <v>1</v>
      </c>
      <c r="AB152" s="163">
        <f t="shared" si="33"/>
        <v>1</v>
      </c>
      <c r="AC152" s="163">
        <f t="shared" si="33"/>
        <v>1</v>
      </c>
      <c r="AD152" s="163">
        <f t="shared" si="33"/>
        <v>1</v>
      </c>
      <c r="AE152" s="163">
        <f t="shared" si="33"/>
        <v>1</v>
      </c>
      <c r="AF152" s="163">
        <f t="shared" si="33"/>
        <v>1</v>
      </c>
      <c r="AG152" s="163">
        <f t="shared" si="33"/>
        <v>1</v>
      </c>
      <c r="AH152" s="163">
        <f t="shared" si="33"/>
        <v>1</v>
      </c>
      <c r="AI152" s="163">
        <f t="shared" si="33"/>
        <v>1</v>
      </c>
      <c r="AJ152" s="163">
        <f t="shared" si="33"/>
        <v>1</v>
      </c>
      <c r="AK152" s="163">
        <f t="shared" si="33"/>
        <v>1</v>
      </c>
      <c r="AL152" s="163">
        <f t="shared" si="33"/>
        <v>1</v>
      </c>
      <c r="AM152" s="163">
        <f t="shared" si="33"/>
        <v>1</v>
      </c>
      <c r="AN152" s="164">
        <f t="shared" si="33"/>
        <v>1</v>
      </c>
    </row>
    <row r="153" spans="1:40" ht="20.100000000000001" customHeight="1">
      <c r="A153" s="64"/>
      <c r="B153" s="65"/>
      <c r="C153" s="65"/>
      <c r="D153" s="65"/>
      <c r="E153" s="44"/>
      <c r="F153" s="579"/>
      <c r="G153" s="162" t="s">
        <v>39</v>
      </c>
      <c r="H153" s="162"/>
      <c r="I153" s="162"/>
      <c r="J153" s="162"/>
      <c r="K153" s="107"/>
      <c r="L153" s="163" t="e">
        <f t="shared" si="34"/>
        <v>#DIV/0!</v>
      </c>
      <c r="M153" s="163">
        <f t="shared" si="33"/>
        <v>1</v>
      </c>
      <c r="N153" s="163">
        <f t="shared" si="33"/>
        <v>1</v>
      </c>
      <c r="O153" s="163">
        <f t="shared" si="33"/>
        <v>1</v>
      </c>
      <c r="P153" s="163">
        <f t="shared" si="33"/>
        <v>1</v>
      </c>
      <c r="Q153" s="163">
        <f t="shared" si="33"/>
        <v>1</v>
      </c>
      <c r="R153" s="163">
        <f t="shared" si="33"/>
        <v>1</v>
      </c>
      <c r="S153" s="163">
        <f t="shared" si="33"/>
        <v>1</v>
      </c>
      <c r="T153" s="163">
        <f t="shared" si="33"/>
        <v>1</v>
      </c>
      <c r="U153" s="163">
        <f t="shared" si="33"/>
        <v>1</v>
      </c>
      <c r="V153" s="163">
        <f t="shared" si="33"/>
        <v>1</v>
      </c>
      <c r="W153" s="163">
        <f t="shared" si="33"/>
        <v>1</v>
      </c>
      <c r="X153" s="163">
        <f t="shared" si="33"/>
        <v>1</v>
      </c>
      <c r="Y153" s="163">
        <f t="shared" si="33"/>
        <v>1</v>
      </c>
      <c r="Z153" s="163">
        <f t="shared" si="33"/>
        <v>1</v>
      </c>
      <c r="AA153" s="163">
        <f t="shared" si="33"/>
        <v>1</v>
      </c>
      <c r="AB153" s="163">
        <f t="shared" si="33"/>
        <v>1</v>
      </c>
      <c r="AC153" s="163">
        <f t="shared" si="33"/>
        <v>1</v>
      </c>
      <c r="AD153" s="163">
        <f t="shared" si="33"/>
        <v>1</v>
      </c>
      <c r="AE153" s="163">
        <f t="shared" si="33"/>
        <v>1</v>
      </c>
      <c r="AF153" s="163">
        <f t="shared" si="33"/>
        <v>1</v>
      </c>
      <c r="AG153" s="163">
        <f t="shared" si="33"/>
        <v>1</v>
      </c>
      <c r="AH153" s="163">
        <f t="shared" si="33"/>
        <v>1</v>
      </c>
      <c r="AI153" s="163">
        <f t="shared" si="33"/>
        <v>1</v>
      </c>
      <c r="AJ153" s="163">
        <f t="shared" si="33"/>
        <v>1</v>
      </c>
      <c r="AK153" s="163">
        <f t="shared" si="33"/>
        <v>1</v>
      </c>
      <c r="AL153" s="163">
        <f t="shared" si="33"/>
        <v>1</v>
      </c>
      <c r="AM153" s="163">
        <f t="shared" si="33"/>
        <v>1</v>
      </c>
      <c r="AN153" s="164">
        <f t="shared" si="33"/>
        <v>1</v>
      </c>
    </row>
    <row r="154" spans="1:40" ht="20.100000000000001" customHeight="1">
      <c r="A154" s="64"/>
      <c r="B154" s="65"/>
      <c r="C154" s="65"/>
      <c r="D154" s="65"/>
      <c r="E154" s="44"/>
      <c r="F154" s="579"/>
      <c r="G154" s="162" t="s">
        <v>77</v>
      </c>
      <c r="H154" s="162"/>
      <c r="I154" s="162"/>
      <c r="J154" s="162"/>
      <c r="K154" s="107"/>
      <c r="L154" s="163" t="e">
        <f t="shared" si="34"/>
        <v>#DIV/0!</v>
      </c>
      <c r="M154" s="163">
        <f t="shared" si="33"/>
        <v>0.7</v>
      </c>
      <c r="N154" s="163">
        <f t="shared" si="33"/>
        <v>0.7</v>
      </c>
      <c r="O154" s="163">
        <f t="shared" si="33"/>
        <v>1.778688524590164</v>
      </c>
      <c r="P154" s="163">
        <f t="shared" si="33"/>
        <v>1.7505560262656215</v>
      </c>
      <c r="Q154" s="163">
        <f t="shared" si="33"/>
        <v>1.7241113622354634</v>
      </c>
      <c r="R154" s="163">
        <f t="shared" si="33"/>
        <v>1.6992140748424158</v>
      </c>
      <c r="S154" s="163">
        <f t="shared" si="33"/>
        <v>1.6757277978059464</v>
      </c>
      <c r="T154" s="163">
        <f t="shared" si="33"/>
        <v>1.6535442346111804</v>
      </c>
      <c r="U154" s="163">
        <f t="shared" si="33"/>
        <v>1.6535388770113648</v>
      </c>
      <c r="V154" s="163">
        <f t="shared" si="33"/>
        <v>1.6535418377248638</v>
      </c>
      <c r="W154" s="163">
        <f t="shared" si="33"/>
        <v>1.6535447691907752</v>
      </c>
      <c r="X154" s="163">
        <f t="shared" si="33"/>
        <v>1.6535558552899008</v>
      </c>
      <c r="Y154" s="163">
        <f t="shared" si="33"/>
        <v>1.6535317693778495</v>
      </c>
      <c r="Z154" s="163">
        <f t="shared" si="33"/>
        <v>1.6535160251719596</v>
      </c>
      <c r="AA154" s="163">
        <f t="shared" si="33"/>
        <v>1.6535004368719965</v>
      </c>
      <c r="AB154" s="163">
        <f t="shared" si="33"/>
        <v>1.6534930266256112</v>
      </c>
      <c r="AC154" s="163">
        <f t="shared" si="33"/>
        <v>1.6534936740799482</v>
      </c>
      <c r="AD154" s="163">
        <f t="shared" si="33"/>
        <v>1.6534943151249957</v>
      </c>
      <c r="AE154" s="163">
        <f t="shared" si="33"/>
        <v>1.6535028551034974</v>
      </c>
      <c r="AF154" s="163">
        <f t="shared" si="33"/>
        <v>1.6535113107709791</v>
      </c>
      <c r="AG154" s="163">
        <f t="shared" si="33"/>
        <v>1.6534938162544168</v>
      </c>
      <c r="AH154" s="163">
        <f t="shared" si="33"/>
        <v>1.6534764952005907</v>
      </c>
      <c r="AI154" s="163">
        <f t="shared" si="33"/>
        <v>1.6534670958261906</v>
      </c>
      <c r="AJ154" s="163">
        <f t="shared" si="33"/>
        <v>1.6534577893820714</v>
      </c>
      <c r="AK154" s="163">
        <f t="shared" si="33"/>
        <v>1.653456249133989</v>
      </c>
      <c r="AL154" s="163">
        <f t="shared" si="33"/>
        <v>1.653462360402592</v>
      </c>
      <c r="AM154" s="163">
        <f t="shared" si="33"/>
        <v>1.6534684113047058</v>
      </c>
      <c r="AN154" s="164">
        <f t="shared" si="33"/>
        <v>1.6534819630729325</v>
      </c>
    </row>
    <row r="155" spans="1:40" ht="20.100000000000001" customHeight="1">
      <c r="A155" s="64"/>
      <c r="B155" s="65"/>
      <c r="C155" s="65"/>
      <c r="D155" s="65"/>
      <c r="E155" s="44"/>
      <c r="F155" s="579"/>
      <c r="G155" s="162" t="s">
        <v>78</v>
      </c>
      <c r="H155" s="162"/>
      <c r="I155" s="162"/>
      <c r="J155" s="162"/>
      <c r="K155" s="107"/>
      <c r="L155" s="163" t="e">
        <f t="shared" si="34"/>
        <v>#DIV/0!</v>
      </c>
      <c r="M155" s="163">
        <f t="shared" si="33"/>
        <v>1</v>
      </c>
      <c r="N155" s="163">
        <f t="shared" si="33"/>
        <v>1</v>
      </c>
      <c r="O155" s="163">
        <f t="shared" si="33"/>
        <v>1.918032786885246</v>
      </c>
      <c r="P155" s="163">
        <f t="shared" si="33"/>
        <v>1.894090235119678</v>
      </c>
      <c r="Q155" s="163">
        <f t="shared" si="33"/>
        <v>1.8715841380727347</v>
      </c>
      <c r="R155" s="163">
        <f t="shared" si="33"/>
        <v>1.8503949573126943</v>
      </c>
      <c r="S155" s="163">
        <f t="shared" si="33"/>
        <v>1.8304066364305929</v>
      </c>
      <c r="T155" s="163">
        <f t="shared" si="33"/>
        <v>1.8115270081797279</v>
      </c>
      <c r="U155" s="163">
        <f t="shared" si="33"/>
        <v>1.8115224485203105</v>
      </c>
      <c r="V155" s="163">
        <f t="shared" si="33"/>
        <v>1.8115249682764798</v>
      </c>
      <c r="W155" s="163">
        <f t="shared" si="33"/>
        <v>1.8115274631410851</v>
      </c>
      <c r="X155" s="163">
        <f t="shared" si="33"/>
        <v>1.8115368981190645</v>
      </c>
      <c r="Y155" s="163">
        <f t="shared" si="33"/>
        <v>1.8115163994705104</v>
      </c>
      <c r="Z155" s="163">
        <f t="shared" si="33"/>
        <v>1.8115030001463486</v>
      </c>
      <c r="AA155" s="163">
        <f t="shared" si="33"/>
        <v>1.8114897335080822</v>
      </c>
      <c r="AB155" s="163">
        <f t="shared" si="33"/>
        <v>1.8114834269154139</v>
      </c>
      <c r="AC155" s="163">
        <f t="shared" si="33"/>
        <v>1.8114839779403815</v>
      </c>
      <c r="AD155" s="163">
        <f t="shared" si="33"/>
        <v>1.8114845235106345</v>
      </c>
      <c r="AE155" s="163">
        <f t="shared" si="33"/>
        <v>1.8114917915774447</v>
      </c>
      <c r="AF155" s="163">
        <f t="shared" si="33"/>
        <v>1.8114989878901948</v>
      </c>
      <c r="AG155" s="163">
        <f t="shared" si="33"/>
        <v>1.8114840989399295</v>
      </c>
      <c r="AH155" s="163">
        <f t="shared" si="33"/>
        <v>1.811469357617524</v>
      </c>
      <c r="AI155" s="163">
        <f t="shared" si="33"/>
        <v>1.8114613581499492</v>
      </c>
      <c r="AJ155" s="163">
        <f t="shared" si="33"/>
        <v>1.8114534377719758</v>
      </c>
      <c r="AK155" s="163">
        <f t="shared" si="33"/>
        <v>1.8114521269225441</v>
      </c>
      <c r="AL155" s="163">
        <f t="shared" si="33"/>
        <v>1.8114573280022059</v>
      </c>
      <c r="AM155" s="163">
        <f t="shared" si="33"/>
        <v>1.8114624777061326</v>
      </c>
      <c r="AN155" s="164">
        <f t="shared" si="33"/>
        <v>1.8114740111259</v>
      </c>
    </row>
    <row r="156" spans="1:40" ht="20.100000000000001" customHeight="1">
      <c r="A156" s="64"/>
      <c r="B156" s="65"/>
      <c r="C156" s="65"/>
      <c r="D156" s="65"/>
      <c r="E156" s="44"/>
      <c r="F156" s="579"/>
      <c r="G156" s="162" t="s">
        <v>79</v>
      </c>
      <c r="H156" s="162"/>
      <c r="I156" s="162"/>
      <c r="J156" s="162"/>
      <c r="K156" s="107"/>
      <c r="L156" s="163" t="e">
        <f t="shared" si="34"/>
        <v>#DIV/0!</v>
      </c>
      <c r="M156" s="163">
        <f t="shared" si="33"/>
        <v>0.64999999999999991</v>
      </c>
      <c r="N156" s="163">
        <f t="shared" si="33"/>
        <v>0.64999999999999991</v>
      </c>
      <c r="O156" s="163">
        <f t="shared" si="33"/>
        <v>1.7745901639344264</v>
      </c>
      <c r="P156" s="163">
        <f t="shared" si="33"/>
        <v>1.7452605380216055</v>
      </c>
      <c r="Q156" s="163">
        <f t="shared" si="33"/>
        <v>1.7176905691391</v>
      </c>
      <c r="R156" s="163">
        <f t="shared" si="33"/>
        <v>1.6917338227080507</v>
      </c>
      <c r="S156" s="163">
        <f t="shared" si="33"/>
        <v>1.6672481296274761</v>
      </c>
      <c r="T156" s="163">
        <f t="shared" si="33"/>
        <v>1.6441205850201668</v>
      </c>
      <c r="U156" s="163">
        <f t="shared" si="33"/>
        <v>1.6441149994373803</v>
      </c>
      <c r="V156" s="163">
        <f t="shared" si="33"/>
        <v>1.6441180861386877</v>
      </c>
      <c r="W156" s="163">
        <f t="shared" si="33"/>
        <v>1.6441211423478295</v>
      </c>
      <c r="X156" s="163">
        <f t="shared" si="33"/>
        <v>1.6441327001958539</v>
      </c>
      <c r="Y156" s="163">
        <f t="shared" si="33"/>
        <v>1.644107589351375</v>
      </c>
      <c r="Z156" s="163">
        <f t="shared" si="33"/>
        <v>1.6440911751792768</v>
      </c>
      <c r="AA156" s="163">
        <f t="shared" si="33"/>
        <v>1.6440749235474006</v>
      </c>
      <c r="AB156" s="163">
        <f t="shared" si="33"/>
        <v>1.6440671979713819</v>
      </c>
      <c r="AC156" s="163">
        <f t="shared" si="33"/>
        <v>1.6440678729769671</v>
      </c>
      <c r="AD156" s="163">
        <f t="shared" si="33"/>
        <v>1.6440685413005274</v>
      </c>
      <c r="AE156" s="163">
        <f t="shared" si="33"/>
        <v>1.6440774446823696</v>
      </c>
      <c r="AF156" s="163">
        <f t="shared" si="33"/>
        <v>1.6440862601654889</v>
      </c>
      <c r="AG156" s="163">
        <f t="shared" si="33"/>
        <v>1.6440680212014134</v>
      </c>
      <c r="AH156" s="163">
        <f t="shared" si="33"/>
        <v>1.6440499630814669</v>
      </c>
      <c r="AI156" s="163">
        <f t="shared" si="33"/>
        <v>1.6440401637336879</v>
      </c>
      <c r="AJ156" s="163">
        <f t="shared" si="33"/>
        <v>1.6440304612706702</v>
      </c>
      <c r="AK156" s="163">
        <f t="shared" si="33"/>
        <v>1.6440288554801163</v>
      </c>
      <c r="AL156" s="163">
        <f t="shared" si="33"/>
        <v>1.6440352268027023</v>
      </c>
      <c r="AM156" s="163">
        <f t="shared" si="33"/>
        <v>1.6440415351900124</v>
      </c>
      <c r="AN156" s="164">
        <f>(AN$114/AN$116*AN140)+(AN$115/AN$116*AN148)</f>
        <v>1.6440556636292276</v>
      </c>
    </row>
    <row r="157" spans="1:40" ht="20.100000000000001" customHeight="1" thickBot="1">
      <c r="A157" s="64"/>
      <c r="B157" s="65"/>
      <c r="C157" s="65"/>
      <c r="D157" s="65"/>
      <c r="E157" s="44"/>
      <c r="F157" s="580"/>
      <c r="G157" s="165" t="s">
        <v>80</v>
      </c>
      <c r="H157" s="165"/>
      <c r="I157" s="165"/>
      <c r="J157" s="165"/>
      <c r="K157" s="109"/>
      <c r="L157" s="166" t="e">
        <f t="shared" si="34"/>
        <v>#DIV/0!</v>
      </c>
      <c r="M157" s="166">
        <f t="shared" si="33"/>
        <v>0.55999999999999994</v>
      </c>
      <c r="N157" s="166">
        <f t="shared" si="33"/>
        <v>0.55999999999999994</v>
      </c>
      <c r="O157" s="166">
        <f t="shared" si="33"/>
        <v>1.6524590163934427</v>
      </c>
      <c r="P157" s="166">
        <f t="shared" si="33"/>
        <v>1.6239673797924168</v>
      </c>
      <c r="Q157" s="166">
        <f t="shared" si="33"/>
        <v>1.5971851243065542</v>
      </c>
      <c r="R157" s="166">
        <f t="shared" si="33"/>
        <v>1.5719699992021063</v>
      </c>
      <c r="S157" s="166">
        <f t="shared" si="33"/>
        <v>1.5481838973524054</v>
      </c>
      <c r="T157" s="166">
        <f t="shared" si="33"/>
        <v>1.5257171397338762</v>
      </c>
      <c r="U157" s="166">
        <f t="shared" si="33"/>
        <v>1.5257117137391694</v>
      </c>
      <c r="V157" s="166">
        <f t="shared" si="33"/>
        <v>1.5257147122490109</v>
      </c>
      <c r="W157" s="166">
        <f t="shared" si="33"/>
        <v>1.5257176811378912</v>
      </c>
      <c r="X157" s="166">
        <f t="shared" si="33"/>
        <v>1.5257289087616865</v>
      </c>
      <c r="Y157" s="166">
        <f t="shared" si="33"/>
        <v>1.5257045153699074</v>
      </c>
      <c r="Z157" s="166">
        <f t="shared" si="33"/>
        <v>1.5256885701741547</v>
      </c>
      <c r="AA157" s="166">
        <f t="shared" si="33"/>
        <v>1.5256727828746177</v>
      </c>
      <c r="AB157" s="166">
        <f t="shared" si="33"/>
        <v>1.5256652780293425</v>
      </c>
      <c r="AC157" s="166">
        <f t="shared" si="33"/>
        <v>1.5256659337490539</v>
      </c>
      <c r="AD157" s="166">
        <f t="shared" si="33"/>
        <v>1.5256665829776552</v>
      </c>
      <c r="AE157" s="166">
        <f t="shared" si="33"/>
        <v>1.5256752319771592</v>
      </c>
      <c r="AF157" s="166">
        <f t="shared" si="33"/>
        <v>1.5256837955893319</v>
      </c>
      <c r="AG157" s="166">
        <f t="shared" si="33"/>
        <v>1.525666077738516</v>
      </c>
      <c r="AH157" s="166">
        <f t="shared" si="33"/>
        <v>1.5256485355648537</v>
      </c>
      <c r="AI157" s="166">
        <f t="shared" si="33"/>
        <v>1.5256390161984397</v>
      </c>
      <c r="AJ157" s="166">
        <f t="shared" si="33"/>
        <v>1.525629590948651</v>
      </c>
      <c r="AK157" s="166">
        <f t="shared" si="33"/>
        <v>1.5256280310378274</v>
      </c>
      <c r="AL157" s="166">
        <f t="shared" si="33"/>
        <v>1.5256342203226252</v>
      </c>
      <c r="AM157" s="166">
        <f t="shared" si="33"/>
        <v>1.5256403484702976</v>
      </c>
      <c r="AN157" s="167">
        <f>(AN$114/AN$116*AN141)+(AN$115/AN$116*AN149)</f>
        <v>1.5256540732398212</v>
      </c>
    </row>
    <row r="158" spans="1:40" ht="20.100000000000001" customHeight="1">
      <c r="A158" s="64"/>
      <c r="B158" s="65"/>
      <c r="C158" s="65"/>
      <c r="D158" s="65"/>
      <c r="E158" s="44"/>
      <c r="F158" s="168"/>
      <c r="G158" s="168"/>
      <c r="H158" s="168"/>
      <c r="I158" s="168"/>
      <c r="J158" s="168"/>
      <c r="K158" s="168"/>
      <c r="L158" s="168"/>
      <c r="M158" s="168"/>
      <c r="N158" s="168"/>
      <c r="O158" s="168"/>
      <c r="P158" s="168"/>
      <c r="Q158" s="168"/>
      <c r="R158" s="168"/>
      <c r="S158" s="168"/>
      <c r="T158" s="168"/>
      <c r="U158" s="168"/>
      <c r="V158" s="168"/>
      <c r="W158" s="168"/>
      <c r="X158" s="168"/>
      <c r="Y158" s="168"/>
      <c r="Z158" s="168"/>
      <c r="AA158" s="168"/>
      <c r="AB158" s="168"/>
      <c r="AC158" s="168"/>
      <c r="AD158" s="168"/>
      <c r="AE158" s="168"/>
      <c r="AF158" s="168"/>
      <c r="AG158" s="168"/>
      <c r="AH158" s="168"/>
      <c r="AI158" s="168"/>
      <c r="AJ158" s="168"/>
      <c r="AK158" s="168"/>
      <c r="AL158" s="168"/>
      <c r="AM158" s="168"/>
      <c r="AN158" s="168"/>
    </row>
    <row r="159" spans="1:40" ht="20.100000000000001" customHeight="1">
      <c r="A159" s="64"/>
      <c r="B159" s="65"/>
      <c r="C159" s="65"/>
      <c r="D159" s="65"/>
      <c r="E159" s="44"/>
      <c r="F159" s="168"/>
      <c r="G159" s="168"/>
      <c r="H159" s="168"/>
      <c r="I159" s="168"/>
      <c r="J159" s="168"/>
      <c r="K159" s="168"/>
      <c r="L159" s="168"/>
      <c r="M159" s="168"/>
      <c r="N159" s="168"/>
      <c r="O159" s="168"/>
      <c r="P159" s="168"/>
      <c r="Q159" s="168"/>
      <c r="R159" s="168"/>
      <c r="S159" s="168"/>
      <c r="T159" s="168"/>
      <c r="U159" s="168"/>
      <c r="V159" s="168"/>
      <c r="W159" s="168"/>
      <c r="X159" s="168"/>
      <c r="Y159" s="168"/>
      <c r="Z159" s="168"/>
      <c r="AA159" s="168"/>
      <c r="AB159" s="168"/>
      <c r="AC159" s="168"/>
      <c r="AD159" s="168"/>
      <c r="AE159" s="168"/>
      <c r="AF159" s="168"/>
      <c r="AG159" s="168"/>
      <c r="AH159" s="168"/>
      <c r="AI159" s="168"/>
      <c r="AJ159" s="168"/>
      <c r="AK159" s="168"/>
      <c r="AL159" s="168"/>
      <c r="AM159" s="168"/>
      <c r="AN159" s="168"/>
    </row>
    <row r="160" spans="1:40" ht="20.100000000000001" customHeight="1" thickBot="1">
      <c r="A160" s="64"/>
      <c r="B160" s="65"/>
      <c r="C160" s="65"/>
      <c r="D160" s="65"/>
      <c r="E160" s="44"/>
      <c r="F160" s="169" t="s">
        <v>194</v>
      </c>
      <c r="G160" s="168"/>
      <c r="H160" s="168"/>
      <c r="I160" s="168"/>
      <c r="J160" s="168"/>
      <c r="K160" s="168"/>
      <c r="L160" s="168"/>
      <c r="M160" s="168"/>
      <c r="N160" s="168"/>
      <c r="O160" s="168"/>
      <c r="P160" s="168"/>
      <c r="Q160" s="168"/>
      <c r="R160" s="168"/>
      <c r="S160" s="168"/>
      <c r="T160" s="168"/>
      <c r="U160" s="168"/>
      <c r="V160" s="168"/>
      <c r="W160" s="168"/>
      <c r="X160" s="168"/>
      <c r="Y160" s="168"/>
      <c r="Z160" s="168"/>
      <c r="AA160" s="168"/>
      <c r="AB160" s="168"/>
      <c r="AC160" s="168"/>
      <c r="AD160" s="168"/>
      <c r="AE160" s="168"/>
      <c r="AF160" s="168"/>
      <c r="AG160" s="168"/>
      <c r="AH160" s="168"/>
      <c r="AI160" s="168"/>
      <c r="AJ160" s="168"/>
      <c r="AK160" s="168"/>
      <c r="AL160" s="168"/>
      <c r="AM160" s="168"/>
      <c r="AN160" s="168"/>
    </row>
    <row r="161" spans="1:40" ht="20.100000000000001" customHeight="1">
      <c r="A161" s="64"/>
      <c r="B161" s="65"/>
      <c r="C161" s="65"/>
      <c r="D161" s="65"/>
      <c r="E161" s="44"/>
      <c r="F161" s="595" t="s">
        <v>205</v>
      </c>
      <c r="G161" s="596"/>
      <c r="H161" s="431"/>
      <c r="I161" s="431"/>
      <c r="J161" s="431"/>
      <c r="K161" s="99">
        <f t="shared" ref="K161:AN161" si="35">K133</f>
        <v>2021</v>
      </c>
      <c r="L161" s="99">
        <f t="shared" si="35"/>
        <v>2022</v>
      </c>
      <c r="M161" s="99">
        <f t="shared" si="35"/>
        <v>2023</v>
      </c>
      <c r="N161" s="99">
        <f t="shared" si="35"/>
        <v>2024</v>
      </c>
      <c r="O161" s="99">
        <f t="shared" si="35"/>
        <v>2025</v>
      </c>
      <c r="P161" s="99">
        <f t="shared" si="35"/>
        <v>2026</v>
      </c>
      <c r="Q161" s="99">
        <f t="shared" si="35"/>
        <v>2027</v>
      </c>
      <c r="R161" s="99">
        <f t="shared" si="35"/>
        <v>2028</v>
      </c>
      <c r="S161" s="99">
        <f t="shared" si="35"/>
        <v>2029</v>
      </c>
      <c r="T161" s="99">
        <f t="shared" si="35"/>
        <v>2030</v>
      </c>
      <c r="U161" s="99">
        <f t="shared" si="35"/>
        <v>2031</v>
      </c>
      <c r="V161" s="99">
        <f t="shared" si="35"/>
        <v>2032</v>
      </c>
      <c r="W161" s="99">
        <f t="shared" si="35"/>
        <v>2033</v>
      </c>
      <c r="X161" s="99">
        <f t="shared" si="35"/>
        <v>2034</v>
      </c>
      <c r="Y161" s="99">
        <f t="shared" si="35"/>
        <v>2035</v>
      </c>
      <c r="Z161" s="99">
        <f t="shared" si="35"/>
        <v>2036</v>
      </c>
      <c r="AA161" s="99">
        <f t="shared" si="35"/>
        <v>2037</v>
      </c>
      <c r="AB161" s="99">
        <f t="shared" si="35"/>
        <v>2038</v>
      </c>
      <c r="AC161" s="99">
        <f t="shared" si="35"/>
        <v>2039</v>
      </c>
      <c r="AD161" s="99">
        <f t="shared" si="35"/>
        <v>2040</v>
      </c>
      <c r="AE161" s="99">
        <f t="shared" si="35"/>
        <v>2041</v>
      </c>
      <c r="AF161" s="99">
        <f t="shared" si="35"/>
        <v>2042</v>
      </c>
      <c r="AG161" s="99">
        <f t="shared" si="35"/>
        <v>2043</v>
      </c>
      <c r="AH161" s="99">
        <f t="shared" si="35"/>
        <v>2044</v>
      </c>
      <c r="AI161" s="99">
        <f t="shared" si="35"/>
        <v>2045</v>
      </c>
      <c r="AJ161" s="99">
        <f t="shared" si="35"/>
        <v>2046</v>
      </c>
      <c r="AK161" s="99">
        <f t="shared" si="35"/>
        <v>2047</v>
      </c>
      <c r="AL161" s="99">
        <f t="shared" si="35"/>
        <v>2048</v>
      </c>
      <c r="AM161" s="99">
        <f t="shared" si="35"/>
        <v>2049</v>
      </c>
      <c r="AN161" s="100">
        <f t="shared" si="35"/>
        <v>2050</v>
      </c>
    </row>
    <row r="162" spans="1:40" ht="20.100000000000001" customHeight="1">
      <c r="A162" s="64"/>
      <c r="B162" s="65"/>
      <c r="C162" s="65"/>
      <c r="D162" s="65"/>
      <c r="E162" s="44"/>
      <c r="F162" s="106" t="s">
        <v>36</v>
      </c>
      <c r="G162" s="162" t="s">
        <v>197</v>
      </c>
      <c r="H162" s="162"/>
      <c r="I162" s="162"/>
      <c r="J162" s="162"/>
      <c r="K162" s="170"/>
      <c r="L162" s="163" t="e">
        <f>INDEX('DEFAULT DATA'!$I$9:$I$40,START!$B$3,1)*L150*(100+INDEX('DEFAULT DATA'!$L$9:$N$40,START!$B$3,1))/100</f>
        <v>#DIV/0!</v>
      </c>
      <c r="M162" s="163">
        <f>INDEX('DEFAULT DATA'!$I$9:$I$40,START!$B$3,1)*M150*(100+INDEX('DEFAULT DATA'!$L$9:$N$40,START!$B$3,1))/100</f>
        <v>510.72912918365319</v>
      </c>
      <c r="N162" s="163">
        <f>INDEX('DEFAULT DATA'!$I$9:$I$40,START!$B$3,1)*N150*(100+INDEX('DEFAULT DATA'!$L$9:$N$40,START!$B$3,1))/100</f>
        <v>510.72912918365319</v>
      </c>
      <c r="O162" s="163">
        <f>INDEX('DEFAULT DATA'!$I$9:$I$40,START!$B$3,1)*O150*(100+INDEX('DEFAULT DATA'!$L$9:$N$40,START!$B$3,1))/100</f>
        <v>977.10124645006556</v>
      </c>
      <c r="P162" s="163">
        <f>INDEX('DEFAULT DATA'!$I$9:$I$40,START!$B$3,1)*P150*(100+INDEX('DEFAULT DATA'!$L$9:$N$40,START!$B$3,1))/100</f>
        <v>964.9381312332838</v>
      </c>
      <c r="Q162" s="163">
        <f>INDEX('DEFAULT DATA'!$I$9:$I$40,START!$B$3,1)*Q150*(100+INDEX('DEFAULT DATA'!$L$9:$N$40,START!$B$3,1))/100</f>
        <v>953.50475294752732</v>
      </c>
      <c r="R162" s="163">
        <f>INDEX('DEFAULT DATA'!$I$9:$I$40,START!$B$3,1)*R150*(100+INDEX('DEFAULT DATA'!$L$9:$N$40,START!$B$3,1))/100</f>
        <v>942.74038457705876</v>
      </c>
      <c r="S162" s="163">
        <f>INDEX('DEFAULT DATA'!$I$9:$I$40,START!$B$3,1)*S150*(100+INDEX('DEFAULT DATA'!$L$9:$N$40,START!$B$3,1))/100</f>
        <v>932.58606801717372</v>
      </c>
      <c r="T162" s="163">
        <f>INDEX('DEFAULT DATA'!$I$9:$I$40,START!$B$3,1)*T150*(100+INDEX('DEFAULT DATA'!$L$9:$N$40,START!$B$3,1))/100</f>
        <v>922.99498115585095</v>
      </c>
      <c r="U162" s="163">
        <f>INDEX('DEFAULT DATA'!$I$9:$I$40,START!$B$3,1)*U150*(100+INDEX('DEFAULT DATA'!$L$9:$N$40,START!$B$3,2))/100</f>
        <v>921.15220085416934</v>
      </c>
      <c r="V162" s="163">
        <f>INDEX('DEFAULT DATA'!$I$9:$I$40,START!$B$3,1)*V150*(100+INDEX('DEFAULT DATA'!$L$9:$N$40,START!$B$3,2))/100</f>
        <v>921.15347836928458</v>
      </c>
      <c r="W162" s="163">
        <f>INDEX('DEFAULT DATA'!$I$9:$I$40,START!$B$3,1)*W150*(100+INDEX('DEFAULT DATA'!$L$9:$N$40,START!$B$3,2))/100</f>
        <v>921.15474326438925</v>
      </c>
      <c r="X162" s="163">
        <f>INDEX('DEFAULT DATA'!$I$9:$I$40,START!$B$3,1)*X150*(100+INDEX('DEFAULT DATA'!$L$9:$N$40,START!$B$3,2))/100</f>
        <v>921.15952679349652</v>
      </c>
      <c r="Y162" s="163">
        <f>INDEX('DEFAULT DATA'!$I$9:$I$40,START!$B$3,1)*Y150*(100+INDEX('DEFAULT DATA'!$L$9:$N$40,START!$B$3,2))/100</f>
        <v>921.14913398895192</v>
      </c>
      <c r="Z162" s="163">
        <f>INDEX('DEFAULT DATA'!$I$9:$I$40,START!$B$3,1)*Z150*(100+INDEX('DEFAULT DATA'!$L$9:$N$40,START!$B$3,2))/100</f>
        <v>921.14234053831694</v>
      </c>
      <c r="AA162" s="163">
        <f>INDEX('DEFAULT DATA'!$I$9:$I$40,START!$B$3,1)*AA150*(100+INDEX('DEFAULT DATA'!$L$9:$N$40,START!$B$3,2))/100</f>
        <v>921.13561435936413</v>
      </c>
      <c r="AB162" s="163">
        <f>INDEX('DEFAULT DATA'!$I$9:$I$40,START!$B$3,1)*AB150*(100+INDEX('DEFAULT DATA'!$L$9:$N$40,START!$B$3,2))/100</f>
        <v>921.13241692004169</v>
      </c>
      <c r="AC162" s="163">
        <f>INDEX('DEFAULT DATA'!$I$9:$I$40,START!$B$3,1)*AC150*(100+INDEX('DEFAULT DATA'!$L$9:$N$40,START!$B$3,2))/100</f>
        <v>921.1326962894243</v>
      </c>
      <c r="AD162" s="163">
        <f>INDEX('DEFAULT DATA'!$I$9:$I$40,START!$B$3,1)*AD150*(100+INDEX('DEFAULT DATA'!$L$9:$N$40,START!$B$3,2))/100</f>
        <v>921.1329728932692</v>
      </c>
      <c r="AE162" s="163">
        <f>INDEX('DEFAULT DATA'!$I$9:$I$40,START!$B$3,1)*AE150*(100+INDEX('DEFAULT DATA'!$L$9:$N$40,START!$B$3,3))/100</f>
        <v>921.13665779949952</v>
      </c>
      <c r="AF162" s="163">
        <f>INDEX('DEFAULT DATA'!$I$9:$I$40,START!$B$3,1)*AF150*(100+INDEX('DEFAULT DATA'!$L$9:$N$40,START!$B$3,3))/100</f>
        <v>921.14030632645779</v>
      </c>
      <c r="AG162" s="163">
        <f>INDEX('DEFAULT DATA'!$I$9:$I$40,START!$B$3,1)*AG150*(100+INDEX('DEFAULT DATA'!$L$9:$N$40,START!$B$3,3))/100</f>
        <v>921.13275763613433</v>
      </c>
      <c r="AH162" s="163">
        <f>INDEX('DEFAULT DATA'!$I$9:$I$40,START!$B$3,1)*AH150*(100+INDEX('DEFAULT DATA'!$L$9:$N$40,START!$B$3,3))/100</f>
        <v>921.12528379306229</v>
      </c>
      <c r="AI162" s="163">
        <f>INDEX('DEFAULT DATA'!$I$9:$I$40,START!$B$3,1)*AI150*(100+INDEX('DEFAULT DATA'!$L$9:$N$40,START!$B$3,3))/100</f>
        <v>921.12122806701052</v>
      </c>
      <c r="AJ162" s="163">
        <f>INDEX('DEFAULT DATA'!$I$9:$I$40,START!$B$3,1)*AJ150*(100+INDEX('DEFAULT DATA'!$L$9:$N$40,START!$B$3,3))/100</f>
        <v>921.11721243934721</v>
      </c>
      <c r="AK162" s="163">
        <f>INDEX('DEFAULT DATA'!$I$9:$I$40,START!$B$3,1)*AK150*(100+INDEX('DEFAULT DATA'!$L$9:$N$40,START!$B$3,3))/100</f>
        <v>921.11654783934227</v>
      </c>
      <c r="AL162" s="163">
        <f>INDEX('DEFAULT DATA'!$I$9:$I$40,START!$B$3,1)*AL150*(100+INDEX('DEFAULT DATA'!$L$9:$N$40,START!$B$3,3))/100</f>
        <v>921.11918478412417</v>
      </c>
      <c r="AM162" s="163">
        <f>INDEX('DEFAULT DATA'!$I$9:$I$40,START!$B$3,1)*AM150*(100+INDEX('DEFAULT DATA'!$L$9:$N$40,START!$B$3,3))/100</f>
        <v>921.12179568143449</v>
      </c>
      <c r="AN162" s="164">
        <f>INDEX('DEFAULT DATA'!$I$9:$I$40,START!$B$3,1)*AN150*(100+INDEX('DEFAULT DATA'!$L$9:$N$40,START!$B$3,3))/100</f>
        <v>921.12764311947683</v>
      </c>
    </row>
    <row r="163" spans="1:40" ht="20.100000000000001" customHeight="1">
      <c r="A163" s="64"/>
      <c r="B163" s="65"/>
      <c r="C163" s="65"/>
      <c r="D163" s="65"/>
      <c r="E163" s="44"/>
      <c r="F163" s="106" t="s">
        <v>38</v>
      </c>
      <c r="G163" s="162" t="s">
        <v>197</v>
      </c>
      <c r="H163" s="162"/>
      <c r="I163" s="162"/>
      <c r="J163" s="162"/>
      <c r="K163" s="170"/>
      <c r="L163" s="163" t="e">
        <f>INDEX('DEFAULT DATA'!$BA$9:$BA$40,START!$B$3,1)*L152*(100+INDEX('DEFAULT DATA'!$BD$9:$BF$40,START!$B$3,1))/100</f>
        <v>#DIV/0!</v>
      </c>
      <c r="M163" s="163">
        <f>INDEX('DEFAULT DATA'!$BA$9:$BA$40,START!$B$3,1)*M152*(100+INDEX('DEFAULT DATA'!$BD$9:$BF$40,START!$B$3,1))/100</f>
        <v>1.0800005549045573</v>
      </c>
      <c r="N163" s="163">
        <f>INDEX('DEFAULT DATA'!$BA$9:$BA$40,START!$B$3,1)*N152*(100+INDEX('DEFAULT DATA'!$BD$9:$BF$40,START!$B$3,1))/100</f>
        <v>1.0800005549045573</v>
      </c>
      <c r="O163" s="163">
        <f>INDEX('DEFAULT DATA'!$BA$9:$BA$40,START!$B$3,1)*O152*(100+INDEX('DEFAULT DATA'!$BD$9:$BF$40,START!$B$3,1))/100</f>
        <v>1.0800005549045573</v>
      </c>
      <c r="P163" s="163">
        <f>INDEX('DEFAULT DATA'!$BA$9:$BA$40,START!$B$3,1)*P152*(100+INDEX('DEFAULT DATA'!$BD$9:$BF$40,START!$B$3,1))/100</f>
        <v>1.0800005549045573</v>
      </c>
      <c r="Q163" s="163">
        <f>INDEX('DEFAULT DATA'!$BA$9:$BA$40,START!$B$3,1)*Q152*(100+INDEX('DEFAULT DATA'!$BD$9:$BF$40,START!$B$3,1))/100</f>
        <v>1.0800005549045573</v>
      </c>
      <c r="R163" s="163">
        <f>INDEX('DEFAULT DATA'!$BA$9:$BA$40,START!$B$3,1)*R152*(100+INDEX('DEFAULT DATA'!$BD$9:$BF$40,START!$B$3,1))/100</f>
        <v>1.0800005549045573</v>
      </c>
      <c r="S163" s="163">
        <f>INDEX('DEFAULT DATA'!$BA$9:$BA$40,START!$B$3,1)*S152*(100+INDEX('DEFAULT DATA'!$BD$9:$BF$40,START!$B$3,1))/100</f>
        <v>1.0800005549045573</v>
      </c>
      <c r="T163" s="163">
        <f>INDEX('DEFAULT DATA'!$BA$9:$BA$40,START!$B$3,1)*T152*(100+INDEX('DEFAULT DATA'!$BD$9:$BF$40,START!$B$3,1))/100</f>
        <v>1.0800005549045573</v>
      </c>
      <c r="U163" s="163">
        <f>INDEX('DEFAULT DATA'!$BA$9:$BA$40,START!$B$3,1)*U152*(100+INDEX('DEFAULT DATA'!$BD$9:$BF$40,START!$B$3,2))/100</f>
        <v>1.0746593058694209</v>
      </c>
      <c r="V163" s="163">
        <f>INDEX('DEFAULT DATA'!$BA$9:$BA$40,START!$B$3,1)*V152*(100+INDEX('DEFAULT DATA'!$BD$9:$BF$40,START!$B$3,2))/100</f>
        <v>1.0746593058694209</v>
      </c>
      <c r="W163" s="163">
        <f>INDEX('DEFAULT DATA'!$BA$9:$BA$40,START!$B$3,1)*W152*(100+INDEX('DEFAULT DATA'!$BD$9:$BF$40,START!$B$3,2))/100</f>
        <v>1.0746593058694209</v>
      </c>
      <c r="X163" s="163">
        <f>INDEX('DEFAULT DATA'!$BA$9:$BA$40,START!$B$3,1)*X152*(100+INDEX('DEFAULT DATA'!$BD$9:$BF$40,START!$B$3,2))/100</f>
        <v>1.0746593058694209</v>
      </c>
      <c r="Y163" s="163">
        <f>INDEX('DEFAULT DATA'!$BA$9:$BA$40,START!$B$3,1)*Y152*(100+INDEX('DEFAULT DATA'!$BD$9:$BF$40,START!$B$3,2))/100</f>
        <v>1.0746593058694209</v>
      </c>
      <c r="Z163" s="163">
        <f>INDEX('DEFAULT DATA'!$BA$9:$BA$40,START!$B$3,1)*Z152*(100+INDEX('DEFAULT DATA'!$BD$9:$BF$40,START!$B$3,2))/100</f>
        <v>1.0746593058694209</v>
      </c>
      <c r="AA163" s="163">
        <f>INDEX('DEFAULT DATA'!$BA$9:$BA$40,START!$B$3,1)*AA152*(100+INDEX('DEFAULT DATA'!$BD$9:$BF$40,START!$B$3,2))/100</f>
        <v>1.0746593058694209</v>
      </c>
      <c r="AB163" s="163">
        <f>INDEX('DEFAULT DATA'!$BA$9:$BA$40,START!$B$3,1)*AB152*(100+INDEX('DEFAULT DATA'!$BD$9:$BF$40,START!$B$3,2))/100</f>
        <v>1.0746593058694209</v>
      </c>
      <c r="AC163" s="163">
        <f>INDEX('DEFAULT DATA'!$BA$9:$BA$40,START!$B$3,1)*AC152*(100+INDEX('DEFAULT DATA'!$BD$9:$BF$40,START!$B$3,2))/100</f>
        <v>1.0746593058694209</v>
      </c>
      <c r="AD163" s="163">
        <f>INDEX('DEFAULT DATA'!$BA$9:$BA$40,START!$B$3,1)*AD152*(100+INDEX('DEFAULT DATA'!$BD$9:$BF$40,START!$B$3,2))/100</f>
        <v>1.0746593058694209</v>
      </c>
      <c r="AE163" s="163">
        <f>INDEX('DEFAULT DATA'!$BA$9:$BA$40,START!$B$3,1)*AE152*(100+INDEX('DEFAULT DATA'!$BD$9:$BF$40,START!$B$3,3))/100</f>
        <v>1.0746593058694209</v>
      </c>
      <c r="AF163" s="163">
        <f>INDEX('DEFAULT DATA'!$BA$9:$BA$40,START!$B$3,1)*AF152*(100+INDEX('DEFAULT DATA'!$BD$9:$BF$40,START!$B$3,3))/100</f>
        <v>1.0746593058694209</v>
      </c>
      <c r="AG163" s="163">
        <f>INDEX('DEFAULT DATA'!$BA$9:$BA$40,START!$B$3,1)*AG152*(100+INDEX('DEFAULT DATA'!$BD$9:$BF$40,START!$B$3,3))/100</f>
        <v>1.0746593058694209</v>
      </c>
      <c r="AH163" s="163">
        <f>INDEX('DEFAULT DATA'!$BA$9:$BA$40,START!$B$3,1)*AH152*(100+INDEX('DEFAULT DATA'!$BD$9:$BF$40,START!$B$3,3))/100</f>
        <v>1.0746593058694209</v>
      </c>
      <c r="AI163" s="163">
        <f>INDEX('DEFAULT DATA'!$BA$9:$BA$40,START!$B$3,1)*AI152*(100+INDEX('DEFAULT DATA'!$BD$9:$BF$40,START!$B$3,3))/100</f>
        <v>1.0746593058694209</v>
      </c>
      <c r="AJ163" s="163">
        <f>INDEX('DEFAULT DATA'!$BA$9:$BA$40,START!$B$3,1)*AJ152*(100+INDEX('DEFAULT DATA'!$BD$9:$BF$40,START!$B$3,3))/100</f>
        <v>1.0746593058694209</v>
      </c>
      <c r="AK163" s="163">
        <f>INDEX('DEFAULT DATA'!$BA$9:$BA$40,START!$B$3,1)*AK152*(100+INDEX('DEFAULT DATA'!$BD$9:$BF$40,START!$B$3,3))/100</f>
        <v>1.0746593058694209</v>
      </c>
      <c r="AL163" s="163">
        <f>INDEX('DEFAULT DATA'!$BA$9:$BA$40,START!$B$3,1)*AL152*(100+INDEX('DEFAULT DATA'!$BD$9:$BF$40,START!$B$3,3))/100</f>
        <v>1.0746593058694209</v>
      </c>
      <c r="AM163" s="163">
        <f>INDEX('DEFAULT DATA'!$BA$9:$BA$40,START!$B$3,1)*AM152*(100+INDEX('DEFAULT DATA'!$BD$9:$BF$40,START!$B$3,3))/100</f>
        <v>1.0746593058694209</v>
      </c>
      <c r="AN163" s="164">
        <f>INDEX('DEFAULT DATA'!$BA$9:$BA$40,START!$B$3,1)*AN152*(100+INDEX('DEFAULT DATA'!$BD$9:$BF$40,START!$B$3,3))/100</f>
        <v>1.0746593058694209</v>
      </c>
    </row>
    <row r="164" spans="1:40" ht="20.100000000000001" customHeight="1">
      <c r="A164" s="64"/>
      <c r="B164" s="65"/>
      <c r="C164" s="65"/>
      <c r="D164" s="65"/>
      <c r="E164" s="44"/>
      <c r="F164" s="106" t="s">
        <v>39</v>
      </c>
      <c r="G164" s="162" t="s">
        <v>197</v>
      </c>
      <c r="H164" s="162"/>
      <c r="I164" s="162"/>
      <c r="J164" s="162"/>
      <c r="K164" s="162"/>
      <c r="L164" s="163" t="e">
        <f>INDEX('DEFAULT DATA'!$BG$9:$BG$40,START!$B$3,1)*L153*(100+INDEX('DEFAULT DATA'!$BJ$9:$BL$40,START!$B$3,1))/100</f>
        <v>#DIV/0!</v>
      </c>
      <c r="M164" s="163">
        <f>INDEX('DEFAULT DATA'!$BG$9:$BG$40,START!$B$3,1)*M153*(100+INDEX('DEFAULT DATA'!$BJ$9:$BL$40,START!$B$3,1))/100</f>
        <v>0.48230161766970636</v>
      </c>
      <c r="N164" s="163">
        <f>INDEX('DEFAULT DATA'!$BG$9:$BG$40,START!$B$3,1)*N153*(100+INDEX('DEFAULT DATA'!$BJ$9:$BL$40,START!$B$3,1))/100</f>
        <v>0.48230161766970636</v>
      </c>
      <c r="O164" s="163">
        <f>INDEX('DEFAULT DATA'!$BG$9:$BG$40,START!$B$3,1)*O153*(100+INDEX('DEFAULT DATA'!$BJ$9:$BL$40,START!$B$3,1))/100</f>
        <v>0.48230161766970636</v>
      </c>
      <c r="P164" s="163">
        <f>INDEX('DEFAULT DATA'!$BG$9:$BG$40,START!$B$3,1)*P153*(100+INDEX('DEFAULT DATA'!$BJ$9:$BL$40,START!$B$3,1))/100</f>
        <v>0.48230161766970636</v>
      </c>
      <c r="Q164" s="163">
        <f>INDEX('DEFAULT DATA'!$BG$9:$BG$40,START!$B$3,1)*Q153*(100+INDEX('DEFAULT DATA'!$BJ$9:$BL$40,START!$B$3,1))/100</f>
        <v>0.48230161766970636</v>
      </c>
      <c r="R164" s="163">
        <f>INDEX('DEFAULT DATA'!$BG$9:$BG$40,START!$B$3,1)*R153*(100+INDEX('DEFAULT DATA'!$BJ$9:$BL$40,START!$B$3,1))/100</f>
        <v>0.48230161766970636</v>
      </c>
      <c r="S164" s="163">
        <f>INDEX('DEFAULT DATA'!$BG$9:$BG$40,START!$B$3,1)*S153*(100+INDEX('DEFAULT DATA'!$BJ$9:$BL$40,START!$B$3,1))/100</f>
        <v>0.48230161766970636</v>
      </c>
      <c r="T164" s="163">
        <f>INDEX('DEFAULT DATA'!$BG$9:$BG$40,START!$B$3,1)*T153*(100+INDEX('DEFAULT DATA'!$BJ$9:$BL$40,START!$B$3,1))/100</f>
        <v>0.48230161766970636</v>
      </c>
      <c r="U164" s="163">
        <f>INDEX('DEFAULT DATA'!$BG$9:$BG$40,START!$B$3,1)*U153*(100+INDEX('DEFAULT DATA'!$BJ$9:$BL$40,START!$B$3,2))/100</f>
        <v>0.47991634755264551</v>
      </c>
      <c r="V164" s="163">
        <f>INDEX('DEFAULT DATA'!$BG$9:$BG$40,START!$B$3,1)*V153*(100+INDEX('DEFAULT DATA'!$BJ$9:$BL$40,START!$B$3,2))/100</f>
        <v>0.47991634755264551</v>
      </c>
      <c r="W164" s="163">
        <f>INDEX('DEFAULT DATA'!$BG$9:$BG$40,START!$B$3,1)*W153*(100+INDEX('DEFAULT DATA'!$BJ$9:$BL$40,START!$B$3,2))/100</f>
        <v>0.47991634755264551</v>
      </c>
      <c r="X164" s="163">
        <f>INDEX('DEFAULT DATA'!$BG$9:$BG$40,START!$B$3,1)*X153*(100+INDEX('DEFAULT DATA'!$BJ$9:$BL$40,START!$B$3,2))/100</f>
        <v>0.47991634755264551</v>
      </c>
      <c r="Y164" s="163">
        <f>INDEX('DEFAULT DATA'!$BG$9:$BG$40,START!$B$3,1)*Y153*(100+INDEX('DEFAULT DATA'!$BJ$9:$BL$40,START!$B$3,2))/100</f>
        <v>0.47991634755264551</v>
      </c>
      <c r="Z164" s="163">
        <f>INDEX('DEFAULT DATA'!$BG$9:$BG$40,START!$B$3,1)*Z153*(100+INDEX('DEFAULT DATA'!$BJ$9:$BL$40,START!$B$3,2))/100</f>
        <v>0.47991634755264551</v>
      </c>
      <c r="AA164" s="163">
        <f>INDEX('DEFAULT DATA'!$BG$9:$BG$40,START!$B$3,1)*AA153*(100+INDEX('DEFAULT DATA'!$BJ$9:$BL$40,START!$B$3,2))/100</f>
        <v>0.47991634755264551</v>
      </c>
      <c r="AB164" s="163">
        <f>INDEX('DEFAULT DATA'!$BG$9:$BG$40,START!$B$3,1)*AB153*(100+INDEX('DEFAULT DATA'!$BJ$9:$BL$40,START!$B$3,2))/100</f>
        <v>0.47991634755264551</v>
      </c>
      <c r="AC164" s="163">
        <f>INDEX('DEFAULT DATA'!$BG$9:$BG$40,START!$B$3,1)*AC153*(100+INDEX('DEFAULT DATA'!$BJ$9:$BL$40,START!$B$3,2))/100</f>
        <v>0.47991634755264551</v>
      </c>
      <c r="AD164" s="163">
        <f>INDEX('DEFAULT DATA'!$BG$9:$BG$40,START!$B$3,1)*AD153*(100+INDEX('DEFAULT DATA'!$BJ$9:$BL$40,START!$B$3,2))/100</f>
        <v>0.47991634755264551</v>
      </c>
      <c r="AE164" s="163">
        <f>INDEX('DEFAULT DATA'!$BG$9:$BG$40,START!$B$3,1)*AE153*(100+INDEX('DEFAULT DATA'!$BJ$9:$BL$40,START!$B$3,3))/100</f>
        <v>0.47991634755264551</v>
      </c>
      <c r="AF164" s="163">
        <f>INDEX('DEFAULT DATA'!$BG$9:$BG$40,START!$B$3,1)*AF153*(100+INDEX('DEFAULT DATA'!$BJ$9:$BL$40,START!$B$3,3))/100</f>
        <v>0.47991634755264551</v>
      </c>
      <c r="AG164" s="163">
        <f>INDEX('DEFAULT DATA'!$BG$9:$BG$40,START!$B$3,1)*AG153*(100+INDEX('DEFAULT DATA'!$BJ$9:$BL$40,START!$B$3,3))/100</f>
        <v>0.47991634755264551</v>
      </c>
      <c r="AH164" s="163">
        <f>INDEX('DEFAULT DATA'!$BG$9:$BG$40,START!$B$3,1)*AH153*(100+INDEX('DEFAULT DATA'!$BJ$9:$BL$40,START!$B$3,3))/100</f>
        <v>0.47991634755264551</v>
      </c>
      <c r="AI164" s="163">
        <f>INDEX('DEFAULT DATA'!$BG$9:$BG$40,START!$B$3,1)*AI153*(100+INDEX('DEFAULT DATA'!$BJ$9:$BL$40,START!$B$3,3))/100</f>
        <v>0.47991634755264551</v>
      </c>
      <c r="AJ164" s="163">
        <f>INDEX('DEFAULT DATA'!$BG$9:$BG$40,START!$B$3,1)*AJ153*(100+INDEX('DEFAULT DATA'!$BJ$9:$BL$40,START!$B$3,3))/100</f>
        <v>0.47991634755264551</v>
      </c>
      <c r="AK164" s="163">
        <f>INDEX('DEFAULT DATA'!$BG$9:$BG$40,START!$B$3,1)*AK153*(100+INDEX('DEFAULT DATA'!$BJ$9:$BL$40,START!$B$3,3))/100</f>
        <v>0.47991634755264551</v>
      </c>
      <c r="AL164" s="163">
        <f>INDEX('DEFAULT DATA'!$BG$9:$BG$40,START!$B$3,1)*AL153*(100+INDEX('DEFAULT DATA'!$BJ$9:$BL$40,START!$B$3,3))/100</f>
        <v>0.47991634755264551</v>
      </c>
      <c r="AM164" s="163">
        <f>INDEX('DEFAULT DATA'!$BG$9:$BG$40,START!$B$3,1)*AM153*(100+INDEX('DEFAULT DATA'!$BJ$9:$BL$40,START!$B$3,3))/100</f>
        <v>0.47991634755264551</v>
      </c>
      <c r="AN164" s="164">
        <f>INDEX('DEFAULT DATA'!$BG$9:$BG$40,START!$B$3,1)*AN153*(100+INDEX('DEFAULT DATA'!$BJ$9:$BL$40,START!$B$3,3))/100</f>
        <v>0.47991634755264551</v>
      </c>
    </row>
    <row r="165" spans="1:40" ht="20.100000000000001" customHeight="1">
      <c r="A165" s="64"/>
      <c r="B165" s="65"/>
      <c r="C165" s="65"/>
      <c r="D165" s="65"/>
      <c r="E165" s="44"/>
      <c r="F165" s="106" t="s">
        <v>77</v>
      </c>
      <c r="G165" s="162" t="s">
        <v>197</v>
      </c>
      <c r="H165" s="162"/>
      <c r="I165" s="162"/>
      <c r="J165" s="162"/>
      <c r="K165" s="162"/>
      <c r="L165" s="163" t="e">
        <f>INDEX('DEFAULT DATA'!$BM$9:$BM$40,START!$B$3,1)*L154*(100+INDEX('DEFAULT DATA'!$BP$9:$BR$40,START!$B$3,1))/100</f>
        <v>#DIV/0!</v>
      </c>
      <c r="M165" s="163">
        <f>INDEX('DEFAULT DATA'!$BM$9:$BM$40,START!$B$3,1)*M154*(100+INDEX('DEFAULT DATA'!$BP$9:$BR$40,START!$B$3,1))/100</f>
        <v>721.8871654263553</v>
      </c>
      <c r="N165" s="163">
        <f>INDEX('DEFAULT DATA'!$BM$9:$BM$40,START!$B$3,1)*N154*(100+INDEX('DEFAULT DATA'!$BP$9:$BR$40,START!$B$3,1))/100</f>
        <v>721.8871654263553</v>
      </c>
      <c r="O165" s="163">
        <f>INDEX('DEFAULT DATA'!$BM$9:$BM$40,START!$B$3,1)*O154*(100+INDEX('DEFAULT DATA'!$BP$9:$BR$40,START!$B$3,1))/100</f>
        <v>1834.3034531325427</v>
      </c>
      <c r="P165" s="163">
        <f>INDEX('DEFAULT DATA'!$BM$9:$BM$40,START!$B$3,1)*P154*(100+INDEX('DEFAULT DATA'!$BP$9:$BR$40,START!$B$3,1))/100</f>
        <v>1805.2913253155916</v>
      </c>
      <c r="Q165" s="163">
        <f>INDEX('DEFAULT DATA'!$BM$9:$BM$40,START!$B$3,1)*Q154*(100+INDEX('DEFAULT DATA'!$BP$9:$BR$40,START!$B$3,1))/100</f>
        <v>1778.0198059479014</v>
      </c>
      <c r="R165" s="163">
        <f>INDEX('DEFAULT DATA'!$BM$9:$BM$40,START!$B$3,1)*R154*(100+INDEX('DEFAULT DATA'!$BP$9:$BR$40,START!$B$3,1))/100</f>
        <v>1752.3440456293692</v>
      </c>
      <c r="S165" s="163">
        <f>INDEX('DEFAULT DATA'!$BM$9:$BM$40,START!$B$3,1)*S154*(100+INDEX('DEFAULT DATA'!$BP$9:$BR$40,START!$B$3,1))/100</f>
        <v>1728.1234142632622</v>
      </c>
      <c r="T165" s="163">
        <f>INDEX('DEFAULT DATA'!$BM$9:$BM$40,START!$B$3,1)*T154*(100+INDEX('DEFAULT DATA'!$BP$9:$BR$40,START!$B$3,1))/100</f>
        <v>1705.2462291865106</v>
      </c>
      <c r="U165" s="163">
        <f>INDEX('DEFAULT DATA'!$BM$9:$BM$40,START!$B$3,1)*U154*(100+INDEX('DEFAULT DATA'!$BP$9:$BR$40,START!$B$3,2))/100</f>
        <v>1696.8072683412479</v>
      </c>
      <c r="V165" s="163">
        <f>INDEX('DEFAULT DATA'!$BM$9:$BM$40,START!$B$3,1)*V154*(100+INDEX('DEFAULT DATA'!$BP$9:$BR$40,START!$B$3,2))/100</f>
        <v>1696.8103065281662</v>
      </c>
      <c r="W165" s="163">
        <f>INDEX('DEFAULT DATA'!$BM$9:$BM$40,START!$B$3,1)*W154*(100+INDEX('DEFAULT DATA'!$BP$9:$BR$40,START!$B$3,2))/100</f>
        <v>1696.8133147021706</v>
      </c>
      <c r="X165" s="163">
        <f>INDEX('DEFAULT DATA'!$BM$9:$BM$40,START!$B$3,1)*X154*(100+INDEX('DEFAULT DATA'!$BP$9:$BR$40,START!$B$3,2))/100</f>
        <v>1696.8246908928579</v>
      </c>
      <c r="Y165" s="163">
        <f>INDEX('DEFAULT DATA'!$BM$9:$BM$40,START!$B$3,1)*Y154*(100+INDEX('DEFAULT DATA'!$BP$9:$BR$40,START!$B$3,2))/100</f>
        <v>1696.7999747212568</v>
      </c>
      <c r="Z165" s="163">
        <f>INDEX('DEFAULT DATA'!$BM$9:$BM$40,START!$B$3,1)*Z154*(100+INDEX('DEFAULT DATA'!$BP$9:$BR$40,START!$B$3,2))/100</f>
        <v>1696.7838185344508</v>
      </c>
      <c r="AA165" s="163">
        <f>INDEX('DEFAULT DATA'!$BM$9:$BM$40,START!$B$3,1)*AA154*(100+INDEX('DEFAULT DATA'!$BP$9:$BR$40,START!$B$3,2))/100</f>
        <v>1696.7678223331843</v>
      </c>
      <c r="AB165" s="163">
        <f>INDEX('DEFAULT DATA'!$BM$9:$BM$40,START!$B$3,1)*AB154*(100+INDEX('DEFAULT DATA'!$BP$9:$BR$40,START!$B$3,2))/100</f>
        <v>1696.7602181818083</v>
      </c>
      <c r="AC165" s="163">
        <f>INDEX('DEFAULT DATA'!$BM$9:$BM$40,START!$B$3,1)*AC154*(100+INDEX('DEFAULT DATA'!$BP$9:$BR$40,START!$B$3,2))/100</f>
        <v>1696.7608825781767</v>
      </c>
      <c r="AD165" s="163">
        <f>INDEX('DEFAULT DATA'!$BM$9:$BM$40,START!$B$3,1)*AD154*(100+INDEX('DEFAULT DATA'!$BP$9:$BR$40,START!$B$3,2))/100</f>
        <v>1696.7615403975431</v>
      </c>
      <c r="AE165" s="163">
        <f>INDEX('DEFAULT DATA'!$BM$9:$BM$40,START!$B$3,1)*AE154*(100+INDEX('DEFAULT DATA'!$BP$9:$BR$40,START!$B$3,3))/100</f>
        <v>1696.7703038428992</v>
      </c>
      <c r="AF165" s="163">
        <f>INDEX('DEFAULT DATA'!$BM$9:$BM$40,START!$B$3,1)*AF154*(100+INDEX('DEFAULT DATA'!$BP$9:$BR$40,START!$B$3,3))/100</f>
        <v>1696.7789807710567</v>
      </c>
      <c r="AG165" s="163">
        <f>INDEX('DEFAULT DATA'!$BM$9:$BM$40,START!$B$3,1)*AG154*(100+INDEX('DEFAULT DATA'!$BP$9:$BR$40,START!$B$3,3))/100</f>
        <v>1696.7610284729453</v>
      </c>
      <c r="AH165" s="163">
        <f>INDEX('DEFAULT DATA'!$BM$9:$BM$40,START!$B$3,1)*AH154*(100+INDEX('DEFAULT DATA'!$BP$9:$BR$40,START!$B$3,3))/100</f>
        <v>1696.7432541765947</v>
      </c>
      <c r="AI165" s="163">
        <f>INDEX('DEFAULT DATA'!$BM$9:$BM$40,START!$B$3,1)*AI154*(100+INDEX('DEFAULT DATA'!$BP$9:$BR$40,START!$B$3,3))/100</f>
        <v>1696.7336088474028</v>
      </c>
      <c r="AJ165" s="163">
        <f>INDEX('DEFAULT DATA'!$BM$9:$BM$40,START!$B$3,1)*AJ154*(100+INDEX('DEFAULT DATA'!$BP$9:$BR$40,START!$B$3,3))/100</f>
        <v>1696.7240588802122</v>
      </c>
      <c r="AK165" s="163">
        <f>INDEX('DEFAULT DATA'!$BM$9:$BM$40,START!$B$3,1)*AK154*(100+INDEX('DEFAULT DATA'!$BP$9:$BR$40,START!$B$3,3))/100</f>
        <v>1696.7224783282354</v>
      </c>
      <c r="AL165" s="163">
        <f>INDEX('DEFAULT DATA'!$BM$9:$BM$40,START!$B$3,1)*AL154*(100+INDEX('DEFAULT DATA'!$BP$9:$BR$40,START!$B$3,3))/100</f>
        <v>1696.7287495112892</v>
      </c>
      <c r="AM165" s="163">
        <f>INDEX('DEFAULT DATA'!$BM$9:$BM$40,START!$B$3,1)*AM154*(100+INDEX('DEFAULT DATA'!$BP$9:$BR$40,START!$B$3,3))/100</f>
        <v>1696.7349587482352</v>
      </c>
      <c r="AN165" s="164">
        <f>INDEX('DEFAULT DATA'!$BM$9:$BM$40,START!$B$3,1)*AN154*(100+INDEX('DEFAULT DATA'!$BP$9:$BR$40,START!$B$3,3))/100</f>
        <v>1696.7488651275439</v>
      </c>
    </row>
    <row r="166" spans="1:40" ht="20.100000000000001" customHeight="1">
      <c r="A166" s="64"/>
      <c r="B166" s="65"/>
      <c r="C166" s="65"/>
      <c r="D166" s="65"/>
      <c r="E166" s="44"/>
      <c r="F166" s="106" t="s">
        <v>37</v>
      </c>
      <c r="G166" s="162" t="s">
        <v>197</v>
      </c>
      <c r="H166" s="162"/>
      <c r="I166" s="162"/>
      <c r="J166" s="162"/>
      <c r="K166" s="162"/>
      <c r="L166" s="163">
        <f>INDEX('DEFAULT DATA'!$Y$9:$Y$40,START!$B$3,1)*L143*(100+INDEX('DEFAULT DATA'!$AB$9:$AD$40,START!$B$3,1))/100</f>
        <v>12171.359716921739</v>
      </c>
      <c r="M166" s="163">
        <f>INDEX('DEFAULT DATA'!$Y$9:$Y$40,START!$B$3,1)*M143*(100+INDEX('DEFAULT DATA'!$AB$9:$AD$40,START!$B$3,1))/100</f>
        <v>12171.359716921739</v>
      </c>
      <c r="N166" s="163">
        <f>INDEX('DEFAULT DATA'!$Y$9:$Y$40,START!$B$3,1)*N143*(100+INDEX('DEFAULT DATA'!$AB$9:$AD$40,START!$B$3,1))/100</f>
        <v>12171.359716921739</v>
      </c>
      <c r="O166" s="163">
        <f>INDEX('DEFAULT DATA'!$Y$9:$Y$40,START!$B$3,1)*O143*(100+INDEX('DEFAULT DATA'!$AB$9:$AD$40,START!$B$3,1))/100</f>
        <v>12171.359716921739</v>
      </c>
      <c r="P166" s="163">
        <f>INDEX('DEFAULT DATA'!$Y$9:$Y$40,START!$B$3,1)*P143*(100+INDEX('DEFAULT DATA'!$AB$9:$AD$40,START!$B$3,1))/100</f>
        <v>12171.359716921739</v>
      </c>
      <c r="Q166" s="163">
        <f>INDEX('DEFAULT DATA'!$Y$9:$Y$40,START!$B$3,1)*Q143*(100+INDEX('DEFAULT DATA'!$AB$9:$AD$40,START!$B$3,1))/100</f>
        <v>12171.359716921739</v>
      </c>
      <c r="R166" s="163">
        <f>INDEX('DEFAULT DATA'!$Y$9:$Y$40,START!$B$3,1)*R143*(100+INDEX('DEFAULT DATA'!$AB$9:$AD$40,START!$B$3,1))/100</f>
        <v>12171.359716921739</v>
      </c>
      <c r="S166" s="163">
        <f>INDEX('DEFAULT DATA'!$Y$9:$Y$40,START!$B$3,1)*S143*(100+INDEX('DEFAULT DATA'!$AB$9:$AD$40,START!$B$3,1))/100</f>
        <v>12171.359716921739</v>
      </c>
      <c r="T166" s="163">
        <f>INDEX('DEFAULT DATA'!$Y$9:$Y$40,START!$B$3,1)*T143*(100+INDEX('DEFAULT DATA'!$AB$9:$AD$40,START!$B$3,1))/100</f>
        <v>12171.359716921739</v>
      </c>
      <c r="U166" s="163">
        <f>INDEX('DEFAULT DATA'!$Y$9:$Y$40,START!$B$3,1)*U143*(100+INDEX('DEFAULT DATA'!$AB$9:$AD$40,START!$B$3,2))/100</f>
        <v>12147.210193673878</v>
      </c>
      <c r="V166" s="163">
        <f>INDEX('DEFAULT DATA'!$Y$9:$Y$40,START!$B$3,1)*V143*(100+INDEX('DEFAULT DATA'!$AB$9:$AD$40,START!$B$3,2))/100</f>
        <v>12147.210193673878</v>
      </c>
      <c r="W166" s="163">
        <f>INDEX('DEFAULT DATA'!$Y$9:$Y$40,START!$B$3,1)*W143*(100+INDEX('DEFAULT DATA'!$AB$9:$AD$40,START!$B$3,2))/100</f>
        <v>12147.210193673878</v>
      </c>
      <c r="X166" s="163">
        <f>INDEX('DEFAULT DATA'!$Y$9:$Y$40,START!$B$3,1)*X143*(100+INDEX('DEFAULT DATA'!$AB$9:$AD$40,START!$B$3,2))/100</f>
        <v>12147.210193673878</v>
      </c>
      <c r="Y166" s="163">
        <f>INDEX('DEFAULT DATA'!$Y$9:$Y$40,START!$B$3,1)*Y143*(100+INDEX('DEFAULT DATA'!$AB$9:$AD$40,START!$B$3,2))/100</f>
        <v>12147.210193673878</v>
      </c>
      <c r="Z166" s="163">
        <f>INDEX('DEFAULT DATA'!$Y$9:$Y$40,START!$B$3,1)*Z143*(100+INDEX('DEFAULT DATA'!$AB$9:$AD$40,START!$B$3,2))/100</f>
        <v>12147.210193673878</v>
      </c>
      <c r="AA166" s="163">
        <f>INDEX('DEFAULT DATA'!$Y$9:$Y$40,START!$B$3,1)*AA143*(100+INDEX('DEFAULT DATA'!$AB$9:$AD$40,START!$B$3,2))/100</f>
        <v>12147.210193673878</v>
      </c>
      <c r="AB166" s="163">
        <f>INDEX('DEFAULT DATA'!$Y$9:$Y$40,START!$B$3,1)*AB143*(100+INDEX('DEFAULT DATA'!$AB$9:$AD$40,START!$B$3,2))/100</f>
        <v>12147.210193673878</v>
      </c>
      <c r="AC166" s="163">
        <f>INDEX('DEFAULT DATA'!$Y$9:$Y$40,START!$B$3,1)*AC143*(100+INDEX('DEFAULT DATA'!$AB$9:$AD$40,START!$B$3,2))/100</f>
        <v>12147.210193673878</v>
      </c>
      <c r="AD166" s="163">
        <f>INDEX('DEFAULT DATA'!$Y$9:$Y$40,START!$B$3,1)*AD143*(100+INDEX('DEFAULT DATA'!$AB$9:$AD$40,START!$B$3,2))/100</f>
        <v>12147.210193673878</v>
      </c>
      <c r="AE166" s="163">
        <f>INDEX('DEFAULT DATA'!$Y$9:$Y$40,START!$B$3,1)*AE143*(100+INDEX('DEFAULT DATA'!$AB$9:$AD$40,START!$B$3,3))/100</f>
        <v>12147.210193673878</v>
      </c>
      <c r="AF166" s="163">
        <f>INDEX('DEFAULT DATA'!$Y$9:$Y$40,START!$B$3,1)*AF143*(100+INDEX('DEFAULT DATA'!$AB$9:$AD$40,START!$B$3,3))/100</f>
        <v>12147.210193673878</v>
      </c>
      <c r="AG166" s="163">
        <f>INDEX('DEFAULT DATA'!$Y$9:$Y$40,START!$B$3,1)*AG143*(100+INDEX('DEFAULT DATA'!$AB$9:$AD$40,START!$B$3,3))/100</f>
        <v>12147.210193673878</v>
      </c>
      <c r="AH166" s="163">
        <f>INDEX('DEFAULT DATA'!$Y$9:$Y$40,START!$B$3,1)*AH143*(100+INDEX('DEFAULT DATA'!$AB$9:$AD$40,START!$B$3,3))/100</f>
        <v>12147.210193673878</v>
      </c>
      <c r="AI166" s="163">
        <f>INDEX('DEFAULT DATA'!$Y$9:$Y$40,START!$B$3,1)*AI143*(100+INDEX('DEFAULT DATA'!$AB$9:$AD$40,START!$B$3,3))/100</f>
        <v>12147.210193673878</v>
      </c>
      <c r="AJ166" s="163">
        <f>INDEX('DEFAULT DATA'!$Y$9:$Y$40,START!$B$3,1)*AJ143*(100+INDEX('DEFAULT DATA'!$AB$9:$AD$40,START!$B$3,3))/100</f>
        <v>12147.210193673878</v>
      </c>
      <c r="AK166" s="163">
        <f>INDEX('DEFAULT DATA'!$Y$9:$Y$40,START!$B$3,1)*AK143*(100+INDEX('DEFAULT DATA'!$AB$9:$AD$40,START!$B$3,3))/100</f>
        <v>12147.210193673878</v>
      </c>
      <c r="AL166" s="163">
        <f>INDEX('DEFAULT DATA'!$Y$9:$Y$40,START!$B$3,1)*AL143*(100+INDEX('DEFAULT DATA'!$AB$9:$AD$40,START!$B$3,3))/100</f>
        <v>12147.210193673878</v>
      </c>
      <c r="AM166" s="163">
        <f>INDEX('DEFAULT DATA'!$Y$9:$Y$40,START!$B$3,1)*AM143*(100+INDEX('DEFAULT DATA'!$AB$9:$AD$40,START!$B$3,3))/100</f>
        <v>12147.210193673878</v>
      </c>
      <c r="AN166" s="164">
        <f>INDEX('DEFAULT DATA'!$Y$9:$Y$40,START!$B$3,1)*AN143*(100+INDEX('DEFAULT DATA'!$AB$9:$AD$40,START!$B$3,3))/100</f>
        <v>12147.210193673878</v>
      </c>
    </row>
    <row r="167" spans="1:40" ht="20.100000000000001" customHeight="1" thickBot="1">
      <c r="A167" s="64"/>
      <c r="B167" s="65"/>
      <c r="C167" s="65"/>
      <c r="D167" s="65"/>
      <c r="E167" s="44"/>
      <c r="F167" s="171" t="s">
        <v>195</v>
      </c>
      <c r="G167" s="108" t="s">
        <v>200</v>
      </c>
      <c r="H167" s="108"/>
      <c r="I167" s="108"/>
      <c r="J167" s="108"/>
      <c r="K167" s="172">
        <f t="shared" ref="K167:AN167" si="36">SUM(K162:K166)</f>
        <v>0</v>
      </c>
      <c r="L167" s="172" t="e">
        <f t="shared" si="36"/>
        <v>#DIV/0!</v>
      </c>
      <c r="M167" s="172">
        <f t="shared" si="36"/>
        <v>13405.538313704321</v>
      </c>
      <c r="N167" s="172">
        <f t="shared" si="36"/>
        <v>13405.538313704321</v>
      </c>
      <c r="O167" s="172">
        <f t="shared" si="36"/>
        <v>14984.326718676923</v>
      </c>
      <c r="P167" s="172">
        <f t="shared" si="36"/>
        <v>14943.15147564319</v>
      </c>
      <c r="Q167" s="172">
        <f t="shared" si="36"/>
        <v>14904.446577989742</v>
      </c>
      <c r="R167" s="172">
        <f t="shared" si="36"/>
        <v>14868.006449300741</v>
      </c>
      <c r="S167" s="172">
        <f t="shared" si="36"/>
        <v>14833.63150137475</v>
      </c>
      <c r="T167" s="172">
        <f t="shared" si="36"/>
        <v>14801.163229436675</v>
      </c>
      <c r="U167" s="172">
        <f t="shared" si="36"/>
        <v>14766.724238522718</v>
      </c>
      <c r="V167" s="172">
        <f t="shared" si="36"/>
        <v>14766.728554224752</v>
      </c>
      <c r="W167" s="172">
        <f t="shared" si="36"/>
        <v>14766.732827293861</v>
      </c>
      <c r="X167" s="172">
        <f t="shared" si="36"/>
        <v>14766.748987013654</v>
      </c>
      <c r="Y167" s="172">
        <f t="shared" si="36"/>
        <v>14766.71387803751</v>
      </c>
      <c r="Z167" s="172">
        <f t="shared" si="36"/>
        <v>14766.690928400069</v>
      </c>
      <c r="AA167" s="172">
        <f t="shared" si="36"/>
        <v>14766.668206019849</v>
      </c>
      <c r="AB167" s="172">
        <f t="shared" si="36"/>
        <v>14766.65740442915</v>
      </c>
      <c r="AC167" s="172">
        <f t="shared" si="36"/>
        <v>14766.658348194902</v>
      </c>
      <c r="AD167" s="172">
        <f t="shared" si="36"/>
        <v>14766.659282618111</v>
      </c>
      <c r="AE167" s="172">
        <f t="shared" si="36"/>
        <v>14766.671730969698</v>
      </c>
      <c r="AF167" s="172">
        <f t="shared" si="36"/>
        <v>14766.684056424814</v>
      </c>
      <c r="AG167" s="172">
        <f t="shared" si="36"/>
        <v>14766.658555436381</v>
      </c>
      <c r="AH167" s="172">
        <f t="shared" si="36"/>
        <v>14766.633307296957</v>
      </c>
      <c r="AI167" s="172">
        <f t="shared" si="36"/>
        <v>14766.619606241713</v>
      </c>
      <c r="AJ167" s="172">
        <f t="shared" si="36"/>
        <v>14766.60604064686</v>
      </c>
      <c r="AK167" s="172">
        <f t="shared" si="36"/>
        <v>14766.603795494877</v>
      </c>
      <c r="AL167" s="172">
        <f t="shared" si="36"/>
        <v>14766.612703622714</v>
      </c>
      <c r="AM167" s="172">
        <f t="shared" si="36"/>
        <v>14766.62152375697</v>
      </c>
      <c r="AN167" s="173">
        <f t="shared" si="36"/>
        <v>14766.641277574321</v>
      </c>
    </row>
    <row r="168" spans="1:40" ht="20.100000000000001" customHeight="1">
      <c r="A168" s="64"/>
      <c r="B168" s="65"/>
      <c r="C168" s="65"/>
      <c r="D168" s="65"/>
      <c r="E168" s="44"/>
      <c r="F168" s="174" t="s">
        <v>206</v>
      </c>
      <c r="G168" s="159"/>
      <c r="H168" s="159"/>
      <c r="I168" s="159"/>
      <c r="J168" s="159"/>
      <c r="K168" s="99">
        <f t="shared" ref="K168:AN168" si="37">K161</f>
        <v>2021</v>
      </c>
      <c r="L168" s="99">
        <f t="shared" si="37"/>
        <v>2022</v>
      </c>
      <c r="M168" s="99">
        <f t="shared" si="37"/>
        <v>2023</v>
      </c>
      <c r="N168" s="99">
        <f t="shared" si="37"/>
        <v>2024</v>
      </c>
      <c r="O168" s="99">
        <f t="shared" si="37"/>
        <v>2025</v>
      </c>
      <c r="P168" s="99">
        <f t="shared" si="37"/>
        <v>2026</v>
      </c>
      <c r="Q168" s="99">
        <f t="shared" si="37"/>
        <v>2027</v>
      </c>
      <c r="R168" s="99">
        <f t="shared" si="37"/>
        <v>2028</v>
      </c>
      <c r="S168" s="99">
        <f t="shared" si="37"/>
        <v>2029</v>
      </c>
      <c r="T168" s="99">
        <f t="shared" si="37"/>
        <v>2030</v>
      </c>
      <c r="U168" s="99">
        <f t="shared" si="37"/>
        <v>2031</v>
      </c>
      <c r="V168" s="99">
        <f t="shared" si="37"/>
        <v>2032</v>
      </c>
      <c r="W168" s="99">
        <f t="shared" si="37"/>
        <v>2033</v>
      </c>
      <c r="X168" s="99">
        <f t="shared" si="37"/>
        <v>2034</v>
      </c>
      <c r="Y168" s="99">
        <f t="shared" si="37"/>
        <v>2035</v>
      </c>
      <c r="Z168" s="99">
        <f t="shared" si="37"/>
        <v>2036</v>
      </c>
      <c r="AA168" s="99">
        <f t="shared" si="37"/>
        <v>2037</v>
      </c>
      <c r="AB168" s="99">
        <f t="shared" si="37"/>
        <v>2038</v>
      </c>
      <c r="AC168" s="99">
        <f t="shared" si="37"/>
        <v>2039</v>
      </c>
      <c r="AD168" s="99">
        <f t="shared" si="37"/>
        <v>2040</v>
      </c>
      <c r="AE168" s="99">
        <f t="shared" si="37"/>
        <v>2041</v>
      </c>
      <c r="AF168" s="99">
        <f t="shared" si="37"/>
        <v>2042</v>
      </c>
      <c r="AG168" s="99">
        <f t="shared" si="37"/>
        <v>2043</v>
      </c>
      <c r="AH168" s="99">
        <f t="shared" si="37"/>
        <v>2044</v>
      </c>
      <c r="AI168" s="99">
        <f t="shared" si="37"/>
        <v>2045</v>
      </c>
      <c r="AJ168" s="99">
        <f t="shared" si="37"/>
        <v>2046</v>
      </c>
      <c r="AK168" s="99">
        <f t="shared" si="37"/>
        <v>2047</v>
      </c>
      <c r="AL168" s="99">
        <f t="shared" si="37"/>
        <v>2048</v>
      </c>
      <c r="AM168" s="99">
        <f t="shared" si="37"/>
        <v>2049</v>
      </c>
      <c r="AN168" s="100">
        <f t="shared" si="37"/>
        <v>2050</v>
      </c>
    </row>
    <row r="169" spans="1:40" ht="20.100000000000001" customHeight="1">
      <c r="A169" s="64"/>
      <c r="B169" s="65"/>
      <c r="C169" s="65"/>
      <c r="D169" s="65"/>
      <c r="E169" s="44"/>
      <c r="F169" s="106" t="s">
        <v>36</v>
      </c>
      <c r="G169" s="162" t="s">
        <v>196</v>
      </c>
      <c r="H169" s="162"/>
      <c r="I169" s="162"/>
      <c r="J169" s="162"/>
      <c r="K169" s="175"/>
      <c r="L169" s="163" t="e">
        <f t="shared" ref="L169:AN169" si="38">L162/L$167*100</f>
        <v>#DIV/0!</v>
      </c>
      <c r="M169" s="163">
        <f t="shared" si="38"/>
        <v>3.8098367796356296</v>
      </c>
      <c r="N169" s="163">
        <f t="shared" si="38"/>
        <v>3.8098367796356296</v>
      </c>
      <c r="O169" s="163">
        <f t="shared" si="38"/>
        <v>6.520821821324656</v>
      </c>
      <c r="P169" s="163">
        <f t="shared" si="38"/>
        <v>6.4573937619925692</v>
      </c>
      <c r="Q169" s="163">
        <f t="shared" si="38"/>
        <v>6.3974515790181901</v>
      </c>
      <c r="R169" s="163">
        <f t="shared" si="38"/>
        <v>6.3407316091216579</v>
      </c>
      <c r="S169" s="163">
        <f t="shared" si="38"/>
        <v>6.2869707119982285</v>
      </c>
      <c r="T169" s="163">
        <f t="shared" si="38"/>
        <v>6.2359624500335959</v>
      </c>
      <c r="U169" s="163">
        <f t="shared" si="38"/>
        <v>6.2380267009463877</v>
      </c>
      <c r="V169" s="163">
        <f t="shared" si="38"/>
        <v>6.2380335291376587</v>
      </c>
      <c r="W169" s="163">
        <f t="shared" si="38"/>
        <v>6.2380402898722949</v>
      </c>
      <c r="X169" s="163">
        <f t="shared" si="38"/>
        <v>6.2380658573095094</v>
      </c>
      <c r="Y169" s="163">
        <f t="shared" si="38"/>
        <v>6.2380103088404404</v>
      </c>
      <c r="Z169" s="163">
        <f t="shared" si="38"/>
        <v>6.2379739984042599</v>
      </c>
      <c r="AA169" s="163">
        <f t="shared" si="38"/>
        <v>6.237938047418508</v>
      </c>
      <c r="AB169" s="163">
        <f t="shared" si="38"/>
        <v>6.2379209572760512</v>
      </c>
      <c r="AC169" s="163">
        <f t="shared" si="38"/>
        <v>6.2379224504914808</v>
      </c>
      <c r="AD169" s="163">
        <f t="shared" si="38"/>
        <v>6.2379239289250625</v>
      </c>
      <c r="AE169" s="163">
        <f t="shared" si="38"/>
        <v>6.2379436245449078</v>
      </c>
      <c r="AF169" s="163">
        <f t="shared" si="38"/>
        <v>6.2379631256868411</v>
      </c>
      <c r="AG169" s="163">
        <f t="shared" si="38"/>
        <v>6.2379227783865643</v>
      </c>
      <c r="AH169" s="163">
        <f t="shared" si="38"/>
        <v>6.2378828310031009</v>
      </c>
      <c r="AI169" s="163">
        <f t="shared" si="38"/>
        <v>6.2378611532571817</v>
      </c>
      <c r="AJ169" s="163">
        <f t="shared" si="38"/>
        <v>6.2378396897964317</v>
      </c>
      <c r="AK169" s="163">
        <f t="shared" si="38"/>
        <v>6.2378361375170401</v>
      </c>
      <c r="AL169" s="163">
        <f t="shared" si="38"/>
        <v>6.2378502319502473</v>
      </c>
      <c r="AM169" s="163">
        <f t="shared" si="38"/>
        <v>6.2378641871433285</v>
      </c>
      <c r="AN169" s="164">
        <f t="shared" si="38"/>
        <v>6.23789544152039</v>
      </c>
    </row>
    <row r="170" spans="1:40" ht="20.100000000000001" customHeight="1">
      <c r="A170" s="64"/>
      <c r="B170" s="65"/>
      <c r="C170" s="65"/>
      <c r="D170" s="65"/>
      <c r="E170" s="44"/>
      <c r="F170" s="106" t="s">
        <v>38</v>
      </c>
      <c r="G170" s="162" t="s">
        <v>196</v>
      </c>
      <c r="H170" s="162"/>
      <c r="I170" s="162"/>
      <c r="J170" s="162"/>
      <c r="K170" s="175"/>
      <c r="L170" s="163" t="e">
        <f t="shared" ref="L170:AN170" si="39">L163/L$167*100</f>
        <v>#DIV/0!</v>
      </c>
      <c r="M170" s="163">
        <f t="shared" si="39"/>
        <v>8.0563758771289747E-3</v>
      </c>
      <c r="N170" s="163">
        <f t="shared" si="39"/>
        <v>8.0563758771289747E-3</v>
      </c>
      <c r="O170" s="163">
        <f t="shared" si="39"/>
        <v>7.2075347473464502E-3</v>
      </c>
      <c r="P170" s="163">
        <f t="shared" si="39"/>
        <v>7.2273948147077282E-3</v>
      </c>
      <c r="Q170" s="163">
        <f t="shared" si="39"/>
        <v>7.2461634134034641E-3</v>
      </c>
      <c r="R170" s="163">
        <f t="shared" si="39"/>
        <v>7.263923099490927E-3</v>
      </c>
      <c r="S170" s="163">
        <f t="shared" si="39"/>
        <v>7.2807562652777583E-3</v>
      </c>
      <c r="T170" s="163">
        <f t="shared" si="39"/>
        <v>7.2967275487959169E-3</v>
      </c>
      <c r="U170" s="163">
        <f t="shared" si="39"/>
        <v>7.2775741492205944E-3</v>
      </c>
      <c r="V170" s="163">
        <f t="shared" si="39"/>
        <v>7.2775720222876417E-3</v>
      </c>
      <c r="W170" s="163">
        <f t="shared" si="39"/>
        <v>7.2775699163669513E-3</v>
      </c>
      <c r="X170" s="163">
        <f t="shared" si="39"/>
        <v>7.2775619522923449E-3</v>
      </c>
      <c r="Y170" s="163">
        <f t="shared" si="39"/>
        <v>7.2775792552448549E-3</v>
      </c>
      <c r="Z170" s="163">
        <f t="shared" si="39"/>
        <v>7.2775905656871321E-3</v>
      </c>
      <c r="AA170" s="163">
        <f t="shared" si="39"/>
        <v>7.2776017641631597E-3</v>
      </c>
      <c r="AB170" s="163">
        <f t="shared" si="39"/>
        <v>7.2776070876208231E-3</v>
      </c>
      <c r="AC170" s="163">
        <f t="shared" si="39"/>
        <v>7.2776066224948506E-3</v>
      </c>
      <c r="AD170" s="163">
        <f t="shared" si="39"/>
        <v>7.27760616197332E-3</v>
      </c>
      <c r="AE170" s="163">
        <f t="shared" si="39"/>
        <v>7.2776000269280054E-3</v>
      </c>
      <c r="AF170" s="163">
        <f t="shared" si="39"/>
        <v>7.2775939524611765E-3</v>
      </c>
      <c r="AG170" s="163">
        <f t="shared" si="39"/>
        <v>7.2776065203578669E-3</v>
      </c>
      <c r="AH170" s="163">
        <f t="shared" si="39"/>
        <v>7.2776189636833211E-3</v>
      </c>
      <c r="AI170" s="163">
        <f t="shared" si="39"/>
        <v>7.2776257161467914E-3</v>
      </c>
      <c r="AJ170" s="163">
        <f t="shared" si="39"/>
        <v>7.2776324018619578E-3</v>
      </c>
      <c r="AK170" s="163">
        <f t="shared" si="39"/>
        <v>7.2776335083716897E-3</v>
      </c>
      <c r="AL170" s="163">
        <f t="shared" si="39"/>
        <v>7.2776291180561212E-3</v>
      </c>
      <c r="AM170" s="163">
        <f t="shared" si="39"/>
        <v>7.2776247711128627E-3</v>
      </c>
      <c r="AN170" s="164">
        <f t="shared" si="39"/>
        <v>7.2776150355969953E-3</v>
      </c>
    </row>
    <row r="171" spans="1:40" ht="20.100000000000001" customHeight="1">
      <c r="A171" s="64"/>
      <c r="B171" s="65"/>
      <c r="C171" s="65"/>
      <c r="D171" s="65"/>
      <c r="E171" s="44"/>
      <c r="F171" s="106" t="s">
        <v>39</v>
      </c>
      <c r="G171" s="162" t="s">
        <v>196</v>
      </c>
      <c r="H171" s="162"/>
      <c r="I171" s="162"/>
      <c r="J171" s="162"/>
      <c r="K171" s="175"/>
      <c r="L171" s="163" t="e">
        <f t="shared" ref="L171:AN171" si="40">L164/L$167*100</f>
        <v>#DIV/0!</v>
      </c>
      <c r="M171" s="163">
        <f t="shared" si="40"/>
        <v>3.5977788163617064E-3</v>
      </c>
      <c r="N171" s="163">
        <f t="shared" si="40"/>
        <v>3.5977788163617064E-3</v>
      </c>
      <c r="O171" s="163">
        <f t="shared" si="40"/>
        <v>3.2187072981300583E-3</v>
      </c>
      <c r="P171" s="163">
        <f t="shared" si="40"/>
        <v>3.2275763145133136E-3</v>
      </c>
      <c r="Q171" s="163">
        <f t="shared" si="40"/>
        <v>3.235957907903464E-3</v>
      </c>
      <c r="R171" s="163">
        <f t="shared" si="40"/>
        <v>3.2438889458000575E-3</v>
      </c>
      <c r="S171" s="163">
        <f t="shared" si="40"/>
        <v>3.2514062225760944E-3</v>
      </c>
      <c r="T171" s="163">
        <f t="shared" si="40"/>
        <v>3.2585386039828339E-3</v>
      </c>
      <c r="U171" s="163">
        <f t="shared" si="40"/>
        <v>3.2499851680081009E-3</v>
      </c>
      <c r="V171" s="163">
        <f t="shared" si="40"/>
        <v>3.2499842181722893E-3</v>
      </c>
      <c r="W171" s="163">
        <f t="shared" si="40"/>
        <v>3.2499832777200359E-3</v>
      </c>
      <c r="X171" s="163">
        <f t="shared" si="40"/>
        <v>3.2499797211606911E-3</v>
      </c>
      <c r="Y171" s="163">
        <f t="shared" si="40"/>
        <v>3.2499874482326344E-3</v>
      </c>
      <c r="Z171" s="163">
        <f t="shared" si="40"/>
        <v>3.2499924991972666E-3</v>
      </c>
      <c r="AA171" s="163">
        <f t="shared" si="40"/>
        <v>3.2499975001605338E-3</v>
      </c>
      <c r="AB171" s="163">
        <f t="shared" si="40"/>
        <v>3.2499998774854631E-3</v>
      </c>
      <c r="AC171" s="163">
        <f t="shared" si="40"/>
        <v>3.2499996697716734E-3</v>
      </c>
      <c r="AD171" s="163">
        <f t="shared" si="40"/>
        <v>3.2499994641141125E-3</v>
      </c>
      <c r="AE171" s="163">
        <f t="shared" si="40"/>
        <v>3.2499967243541502E-3</v>
      </c>
      <c r="AF171" s="163">
        <f t="shared" si="40"/>
        <v>3.2499940116470457E-3</v>
      </c>
      <c r="AG171" s="163">
        <f t="shared" si="40"/>
        <v>3.2499996241598149E-3</v>
      </c>
      <c r="AH171" s="163">
        <f t="shared" si="40"/>
        <v>3.2500051810421407E-3</v>
      </c>
      <c r="AI171" s="163">
        <f t="shared" si="40"/>
        <v>3.2500081965258273E-3</v>
      </c>
      <c r="AJ171" s="163">
        <f t="shared" si="40"/>
        <v>3.250011182201367E-3</v>
      </c>
      <c r="AK171" s="163">
        <f t="shared" si="40"/>
        <v>3.2500116763413299E-3</v>
      </c>
      <c r="AL171" s="163">
        <f t="shared" si="40"/>
        <v>3.2500097157346516E-3</v>
      </c>
      <c r="AM171" s="163">
        <f t="shared" si="40"/>
        <v>3.2500077744969766E-3</v>
      </c>
      <c r="AN171" s="164">
        <f t="shared" si="40"/>
        <v>3.2500034268556442E-3</v>
      </c>
    </row>
    <row r="172" spans="1:40" ht="20.100000000000001" customHeight="1">
      <c r="A172" s="64"/>
      <c r="B172" s="65"/>
      <c r="C172" s="65"/>
      <c r="D172" s="65"/>
      <c r="E172" s="44"/>
      <c r="F172" s="106" t="s">
        <v>77</v>
      </c>
      <c r="G172" s="162" t="s">
        <v>196</v>
      </c>
      <c r="H172" s="162"/>
      <c r="I172" s="162"/>
      <c r="J172" s="162"/>
      <c r="K172" s="175"/>
      <c r="L172" s="163" t="e">
        <f t="shared" ref="L172:AN172" si="41">L165/L$167*100</f>
        <v>#DIV/0!</v>
      </c>
      <c r="M172" s="163">
        <f t="shared" si="41"/>
        <v>5.3849919975863907</v>
      </c>
      <c r="N172" s="163">
        <f t="shared" si="41"/>
        <v>5.3849919975863907</v>
      </c>
      <c r="O172" s="163">
        <f t="shared" si="41"/>
        <v>12.241480632200917</v>
      </c>
      <c r="P172" s="163">
        <f t="shared" si="41"/>
        <v>12.081061536839487</v>
      </c>
      <c r="Q172" s="163">
        <f t="shared" si="41"/>
        <v>11.92945874671795</v>
      </c>
      <c r="R172" s="163">
        <f t="shared" si="41"/>
        <v>11.786005417772628</v>
      </c>
      <c r="S172" s="163">
        <f t="shared" si="41"/>
        <v>11.650036028622548</v>
      </c>
      <c r="T172" s="163">
        <f t="shared" si="41"/>
        <v>11.521028467513302</v>
      </c>
      <c r="U172" s="163">
        <f t="shared" si="41"/>
        <v>11.490749342462149</v>
      </c>
      <c r="V172" s="163">
        <f t="shared" si="41"/>
        <v>11.49076655873592</v>
      </c>
      <c r="W172" s="163">
        <f t="shared" si="41"/>
        <v>11.490783604927774</v>
      </c>
      <c r="X172" s="163">
        <f t="shared" si="41"/>
        <v>11.490848069436943</v>
      </c>
      <c r="Y172" s="163">
        <f t="shared" si="41"/>
        <v>11.490708012192899</v>
      </c>
      <c r="Z172" s="163">
        <f t="shared" si="41"/>
        <v>11.490616460801707</v>
      </c>
      <c r="AA172" s="163">
        <f t="shared" si="41"/>
        <v>11.490525815711576</v>
      </c>
      <c r="AB172" s="163">
        <f t="shared" si="41"/>
        <v>11.49048272544657</v>
      </c>
      <c r="AC172" s="163">
        <f t="shared" si="41"/>
        <v>11.490486490368292</v>
      </c>
      <c r="AD172" s="163">
        <f t="shared" si="41"/>
        <v>11.490490218019774</v>
      </c>
      <c r="AE172" s="163">
        <f t="shared" si="41"/>
        <v>11.490539877610429</v>
      </c>
      <c r="AF172" s="163">
        <f t="shared" si="41"/>
        <v>11.490589046853804</v>
      </c>
      <c r="AG172" s="163">
        <f t="shared" si="41"/>
        <v>11.490487317107219</v>
      </c>
      <c r="AH172" s="163">
        <f t="shared" si="41"/>
        <v>11.490386595691694</v>
      </c>
      <c r="AI172" s="163">
        <f t="shared" si="41"/>
        <v>11.490331938463488</v>
      </c>
      <c r="AJ172" s="163">
        <f t="shared" si="41"/>
        <v>11.490277821523613</v>
      </c>
      <c r="AK172" s="163">
        <f t="shared" si="41"/>
        <v>11.490268864976835</v>
      </c>
      <c r="AL172" s="163">
        <f t="shared" si="41"/>
        <v>11.490304402004316</v>
      </c>
      <c r="AM172" s="163">
        <f t="shared" si="41"/>
        <v>11.490339587958415</v>
      </c>
      <c r="AN172" s="164">
        <f t="shared" si="41"/>
        <v>11.490418391244786</v>
      </c>
    </row>
    <row r="173" spans="1:40" ht="20.100000000000001" customHeight="1">
      <c r="A173" s="64"/>
      <c r="B173" s="65"/>
      <c r="C173" s="65"/>
      <c r="D173" s="65"/>
      <c r="E173" s="44"/>
      <c r="F173" s="106" t="s">
        <v>37</v>
      </c>
      <c r="G173" s="162" t="s">
        <v>196</v>
      </c>
      <c r="H173" s="162"/>
      <c r="I173" s="162"/>
      <c r="J173" s="162"/>
      <c r="K173" s="175"/>
      <c r="L173" s="163" t="e">
        <f t="shared" ref="L173:AN173" si="42">L166/L$167*100</f>
        <v>#DIV/0!</v>
      </c>
      <c r="M173" s="163">
        <f t="shared" si="42"/>
        <v>90.793517068084498</v>
      </c>
      <c r="N173" s="163">
        <f t="shared" si="42"/>
        <v>90.793517068084498</v>
      </c>
      <c r="O173" s="163">
        <f t="shared" si="42"/>
        <v>81.227271304428953</v>
      </c>
      <c r="P173" s="163">
        <f t="shared" si="42"/>
        <v>81.451089730038717</v>
      </c>
      <c r="Q173" s="163">
        <f t="shared" si="42"/>
        <v>81.662607552942561</v>
      </c>
      <c r="R173" s="163">
        <f t="shared" si="42"/>
        <v>81.86275516106042</v>
      </c>
      <c r="S173" s="163">
        <f t="shared" si="42"/>
        <v>82.052461096891363</v>
      </c>
      <c r="T173" s="163">
        <f t="shared" si="42"/>
        <v>82.232453816300321</v>
      </c>
      <c r="U173" s="163">
        <f t="shared" si="42"/>
        <v>82.260696397274231</v>
      </c>
      <c r="V173" s="163">
        <f t="shared" si="42"/>
        <v>82.260672355885958</v>
      </c>
      <c r="W173" s="163">
        <f t="shared" si="42"/>
        <v>82.260648552005833</v>
      </c>
      <c r="X173" s="163">
        <f t="shared" si="42"/>
        <v>82.260558531580102</v>
      </c>
      <c r="Y173" s="163">
        <f t="shared" si="42"/>
        <v>82.260754112263186</v>
      </c>
      <c r="Z173" s="163">
        <f t="shared" si="42"/>
        <v>82.260881957729154</v>
      </c>
      <c r="AA173" s="163">
        <f t="shared" si="42"/>
        <v>82.261008537605591</v>
      </c>
      <c r="AB173" s="163">
        <f t="shared" si="42"/>
        <v>82.261068710312273</v>
      </c>
      <c r="AC173" s="163">
        <f t="shared" si="42"/>
        <v>82.261063452847964</v>
      </c>
      <c r="AD173" s="163">
        <f t="shared" si="42"/>
        <v>82.261058247429091</v>
      </c>
      <c r="AE173" s="163">
        <f t="shared" si="42"/>
        <v>82.260988901093384</v>
      </c>
      <c r="AF173" s="163">
        <f t="shared" si="42"/>
        <v>82.260920239495249</v>
      </c>
      <c r="AG173" s="163">
        <f t="shared" si="42"/>
        <v>82.261062298361693</v>
      </c>
      <c r="AH173" s="163">
        <f t="shared" si="42"/>
        <v>82.261202949160477</v>
      </c>
      <c r="AI173" s="163">
        <f t="shared" si="42"/>
        <v>82.261279274366657</v>
      </c>
      <c r="AJ173" s="163">
        <f t="shared" si="42"/>
        <v>82.261354845095894</v>
      </c>
      <c r="AK173" s="163">
        <f t="shared" si="42"/>
        <v>82.261367352321429</v>
      </c>
      <c r="AL173" s="163">
        <f t="shared" si="42"/>
        <v>82.261317727211647</v>
      </c>
      <c r="AM173" s="163">
        <f t="shared" si="42"/>
        <v>82.26126859235265</v>
      </c>
      <c r="AN173" s="164">
        <f t="shared" si="42"/>
        <v>82.261158548772372</v>
      </c>
    </row>
    <row r="174" spans="1:40" ht="20.100000000000001" customHeight="1" thickBot="1">
      <c r="A174" s="64"/>
      <c r="B174" s="65"/>
      <c r="C174" s="65"/>
      <c r="D174" s="65"/>
      <c r="E174" s="44"/>
      <c r="F174" s="108" t="s">
        <v>195</v>
      </c>
      <c r="G174" s="165" t="s">
        <v>200</v>
      </c>
      <c r="H174" s="165"/>
      <c r="I174" s="165"/>
      <c r="J174" s="165"/>
      <c r="K174" s="176"/>
      <c r="L174" s="166" t="e">
        <f t="shared" ref="L174:AN174" si="43">SUM(L169:L173)</f>
        <v>#DIV/0!</v>
      </c>
      <c r="M174" s="166">
        <f t="shared" si="43"/>
        <v>100.00000000000001</v>
      </c>
      <c r="N174" s="166">
        <f t="shared" si="43"/>
        <v>100.00000000000001</v>
      </c>
      <c r="O174" s="166">
        <f t="shared" si="43"/>
        <v>100</v>
      </c>
      <c r="P174" s="166">
        <f t="shared" si="43"/>
        <v>100</v>
      </c>
      <c r="Q174" s="166">
        <f t="shared" si="43"/>
        <v>100</v>
      </c>
      <c r="R174" s="166">
        <f t="shared" si="43"/>
        <v>100</v>
      </c>
      <c r="S174" s="166">
        <f t="shared" si="43"/>
        <v>100</v>
      </c>
      <c r="T174" s="166">
        <f t="shared" si="43"/>
        <v>100</v>
      </c>
      <c r="U174" s="166">
        <f t="shared" si="43"/>
        <v>100</v>
      </c>
      <c r="V174" s="166">
        <f t="shared" si="43"/>
        <v>100</v>
      </c>
      <c r="W174" s="166">
        <f t="shared" si="43"/>
        <v>99.999999999999986</v>
      </c>
      <c r="X174" s="166">
        <f t="shared" si="43"/>
        <v>100</v>
      </c>
      <c r="Y174" s="166">
        <f t="shared" si="43"/>
        <v>100</v>
      </c>
      <c r="Z174" s="166">
        <f t="shared" si="43"/>
        <v>100</v>
      </c>
      <c r="AA174" s="166">
        <f t="shared" si="43"/>
        <v>100</v>
      </c>
      <c r="AB174" s="166">
        <f t="shared" si="43"/>
        <v>100</v>
      </c>
      <c r="AC174" s="166">
        <f t="shared" si="43"/>
        <v>100</v>
      </c>
      <c r="AD174" s="166">
        <f t="shared" si="43"/>
        <v>100.00000000000001</v>
      </c>
      <c r="AE174" s="166">
        <f t="shared" si="43"/>
        <v>100</v>
      </c>
      <c r="AF174" s="166">
        <f t="shared" si="43"/>
        <v>100</v>
      </c>
      <c r="AG174" s="166">
        <f t="shared" si="43"/>
        <v>100</v>
      </c>
      <c r="AH174" s="166">
        <f t="shared" si="43"/>
        <v>100</v>
      </c>
      <c r="AI174" s="166">
        <f t="shared" si="43"/>
        <v>100</v>
      </c>
      <c r="AJ174" s="166">
        <f t="shared" si="43"/>
        <v>100</v>
      </c>
      <c r="AK174" s="166">
        <f t="shared" si="43"/>
        <v>100.00000000000001</v>
      </c>
      <c r="AL174" s="166">
        <f t="shared" si="43"/>
        <v>100</v>
      </c>
      <c r="AM174" s="166">
        <f t="shared" si="43"/>
        <v>100</v>
      </c>
      <c r="AN174" s="167">
        <f t="shared" si="43"/>
        <v>100</v>
      </c>
    </row>
    <row r="175" spans="1:40" ht="20.100000000000001" customHeight="1">
      <c r="A175" s="64"/>
      <c r="B175" s="65"/>
      <c r="C175" s="65"/>
      <c r="D175" s="65"/>
      <c r="E175" s="44"/>
      <c r="F175" s="168"/>
      <c r="G175" s="168"/>
      <c r="H175" s="168"/>
      <c r="I175" s="168"/>
      <c r="J175" s="168"/>
      <c r="K175" s="168"/>
      <c r="L175" s="168"/>
      <c r="M175" s="168"/>
      <c r="N175" s="168"/>
      <c r="O175" s="168"/>
      <c r="P175" s="168"/>
      <c r="Q175" s="168"/>
      <c r="R175" s="168"/>
      <c r="S175" s="168"/>
      <c r="T175" s="168"/>
      <c r="U175" s="168"/>
      <c r="V175" s="168"/>
      <c r="W175" s="168"/>
      <c r="X175" s="168"/>
      <c r="Y175" s="168"/>
      <c r="Z175" s="168"/>
      <c r="AA175" s="168"/>
      <c r="AB175" s="168"/>
      <c r="AC175" s="168"/>
      <c r="AD175" s="168"/>
      <c r="AE175" s="168"/>
      <c r="AF175" s="168"/>
      <c r="AG175" s="168"/>
      <c r="AH175" s="168"/>
      <c r="AI175" s="168"/>
      <c r="AJ175" s="168"/>
      <c r="AK175" s="168"/>
      <c r="AL175" s="168"/>
      <c r="AM175" s="168"/>
      <c r="AN175" s="168"/>
    </row>
    <row r="176" spans="1:40" ht="20.100000000000001" customHeight="1" thickBot="1">
      <c r="A176" s="64"/>
      <c r="B176" s="65"/>
      <c r="C176" s="65"/>
      <c r="D176" s="65"/>
      <c r="E176" s="44"/>
      <c r="F176" s="177" t="s">
        <v>212</v>
      </c>
      <c r="G176" s="178" t="s">
        <v>90</v>
      </c>
      <c r="H176" s="178"/>
      <c r="I176" s="178"/>
      <c r="J176" s="178"/>
      <c r="K176" s="168"/>
      <c r="L176" s="168"/>
      <c r="M176" s="168"/>
      <c r="N176" s="168"/>
      <c r="O176" s="168"/>
      <c r="P176" s="168"/>
      <c r="Q176" s="168"/>
      <c r="R176" s="168"/>
      <c r="S176" s="168"/>
      <c r="T176" s="168"/>
      <c r="U176" s="168"/>
      <c r="V176" s="168"/>
      <c r="W176" s="168"/>
      <c r="X176" s="168"/>
      <c r="Y176" s="168"/>
      <c r="Z176" s="168"/>
      <c r="AA176" s="168"/>
      <c r="AB176" s="168"/>
      <c r="AC176" s="168"/>
      <c r="AD176" s="168"/>
      <c r="AE176" s="168"/>
      <c r="AF176" s="168"/>
      <c r="AG176" s="168"/>
      <c r="AH176" s="168"/>
      <c r="AI176" s="168"/>
      <c r="AJ176" s="168"/>
      <c r="AK176" s="168"/>
      <c r="AL176" s="168"/>
      <c r="AM176" s="168"/>
      <c r="AN176" s="168"/>
    </row>
    <row r="177" spans="1:40" ht="20.100000000000001" customHeight="1">
      <c r="A177" s="64"/>
      <c r="B177" s="65"/>
      <c r="C177" s="65"/>
      <c r="D177" s="65"/>
      <c r="E177" s="44"/>
      <c r="F177" s="179" t="s">
        <v>198</v>
      </c>
      <c r="G177" s="159"/>
      <c r="H177" s="159"/>
      <c r="I177" s="159"/>
      <c r="J177" s="159"/>
      <c r="K177" s="99">
        <f t="shared" ref="K177:AN177" si="44">K112</f>
        <v>2021</v>
      </c>
      <c r="L177" s="99">
        <f t="shared" si="44"/>
        <v>2022</v>
      </c>
      <c r="M177" s="99">
        <f t="shared" si="44"/>
        <v>2023</v>
      </c>
      <c r="N177" s="99">
        <f t="shared" si="44"/>
        <v>2024</v>
      </c>
      <c r="O177" s="99">
        <f t="shared" si="44"/>
        <v>2025</v>
      </c>
      <c r="P177" s="99">
        <f t="shared" si="44"/>
        <v>2026</v>
      </c>
      <c r="Q177" s="99">
        <f t="shared" si="44"/>
        <v>2027</v>
      </c>
      <c r="R177" s="99">
        <f t="shared" si="44"/>
        <v>2028</v>
      </c>
      <c r="S177" s="99">
        <f t="shared" si="44"/>
        <v>2029</v>
      </c>
      <c r="T177" s="99">
        <f t="shared" si="44"/>
        <v>2030</v>
      </c>
      <c r="U177" s="99">
        <f t="shared" si="44"/>
        <v>2031</v>
      </c>
      <c r="V177" s="99">
        <f t="shared" si="44"/>
        <v>2032</v>
      </c>
      <c r="W177" s="99">
        <f t="shared" si="44"/>
        <v>2033</v>
      </c>
      <c r="X177" s="99">
        <f t="shared" si="44"/>
        <v>2034</v>
      </c>
      <c r="Y177" s="99">
        <f t="shared" si="44"/>
        <v>2035</v>
      </c>
      <c r="Z177" s="99">
        <f t="shared" si="44"/>
        <v>2036</v>
      </c>
      <c r="AA177" s="99">
        <f t="shared" si="44"/>
        <v>2037</v>
      </c>
      <c r="AB177" s="99">
        <f t="shared" si="44"/>
        <v>2038</v>
      </c>
      <c r="AC177" s="99">
        <f t="shared" si="44"/>
        <v>2039</v>
      </c>
      <c r="AD177" s="99">
        <f t="shared" si="44"/>
        <v>2040</v>
      </c>
      <c r="AE177" s="99">
        <f t="shared" si="44"/>
        <v>2041</v>
      </c>
      <c r="AF177" s="99">
        <f t="shared" si="44"/>
        <v>2042</v>
      </c>
      <c r="AG177" s="99">
        <f t="shared" si="44"/>
        <v>2043</v>
      </c>
      <c r="AH177" s="99">
        <f t="shared" si="44"/>
        <v>2044</v>
      </c>
      <c r="AI177" s="99">
        <f t="shared" si="44"/>
        <v>2045</v>
      </c>
      <c r="AJ177" s="99">
        <f t="shared" si="44"/>
        <v>2046</v>
      </c>
      <c r="AK177" s="99">
        <f t="shared" si="44"/>
        <v>2047</v>
      </c>
      <c r="AL177" s="99">
        <f t="shared" si="44"/>
        <v>2048</v>
      </c>
      <c r="AM177" s="99">
        <f t="shared" si="44"/>
        <v>2049</v>
      </c>
      <c r="AN177" s="100">
        <f t="shared" si="44"/>
        <v>2050</v>
      </c>
    </row>
    <row r="178" spans="1:40" ht="20.100000000000001" customHeight="1" thickBot="1">
      <c r="A178" s="74"/>
      <c r="B178" s="75"/>
      <c r="C178" s="75"/>
      <c r="D178" s="75"/>
      <c r="E178" s="76"/>
      <c r="F178" s="180" t="s">
        <v>199</v>
      </c>
      <c r="G178" s="181"/>
      <c r="H178" s="181"/>
      <c r="I178" s="181"/>
      <c r="J178" s="181"/>
      <c r="K178" s="182"/>
      <c r="L178" s="166">
        <f t="shared" ref="L178:AN178" si="45">IF(AND(L177&gt;(2020+$B$184),L177&lt;(2022+$C$184)),K178+($B$182/($C$184-$B$184+1)),K178)</f>
        <v>0</v>
      </c>
      <c r="M178" s="166">
        <f t="shared" si="45"/>
        <v>30</v>
      </c>
      <c r="N178" s="166">
        <f t="shared" si="45"/>
        <v>60</v>
      </c>
      <c r="O178" s="166">
        <f t="shared" si="45"/>
        <v>90</v>
      </c>
      <c r="P178" s="166">
        <f t="shared" si="45"/>
        <v>90</v>
      </c>
      <c r="Q178" s="166">
        <f t="shared" si="45"/>
        <v>90</v>
      </c>
      <c r="R178" s="166">
        <f t="shared" si="45"/>
        <v>90</v>
      </c>
      <c r="S178" s="166">
        <f t="shared" si="45"/>
        <v>90</v>
      </c>
      <c r="T178" s="166">
        <f t="shared" si="45"/>
        <v>90</v>
      </c>
      <c r="U178" s="166">
        <f t="shared" si="45"/>
        <v>90</v>
      </c>
      <c r="V178" s="166">
        <f t="shared" si="45"/>
        <v>90</v>
      </c>
      <c r="W178" s="166">
        <f t="shared" si="45"/>
        <v>90</v>
      </c>
      <c r="X178" s="166">
        <f t="shared" si="45"/>
        <v>90</v>
      </c>
      <c r="Y178" s="166">
        <f t="shared" si="45"/>
        <v>90</v>
      </c>
      <c r="Z178" s="166">
        <f t="shared" si="45"/>
        <v>90</v>
      </c>
      <c r="AA178" s="166">
        <f t="shared" si="45"/>
        <v>90</v>
      </c>
      <c r="AB178" s="166">
        <f t="shared" si="45"/>
        <v>90</v>
      </c>
      <c r="AC178" s="166">
        <f t="shared" si="45"/>
        <v>90</v>
      </c>
      <c r="AD178" s="166">
        <f t="shared" si="45"/>
        <v>90</v>
      </c>
      <c r="AE178" s="166">
        <f t="shared" si="45"/>
        <v>90</v>
      </c>
      <c r="AF178" s="166">
        <f t="shared" si="45"/>
        <v>90</v>
      </c>
      <c r="AG178" s="166">
        <f t="shared" si="45"/>
        <v>90</v>
      </c>
      <c r="AH178" s="166">
        <f t="shared" si="45"/>
        <v>90</v>
      </c>
      <c r="AI178" s="166">
        <f t="shared" si="45"/>
        <v>90</v>
      </c>
      <c r="AJ178" s="166">
        <f t="shared" si="45"/>
        <v>90</v>
      </c>
      <c r="AK178" s="166">
        <f t="shared" si="45"/>
        <v>90</v>
      </c>
      <c r="AL178" s="166">
        <f t="shared" si="45"/>
        <v>90</v>
      </c>
      <c r="AM178" s="166">
        <f t="shared" si="45"/>
        <v>90</v>
      </c>
      <c r="AN178" s="167">
        <f t="shared" si="45"/>
        <v>90</v>
      </c>
    </row>
    <row r="179" spans="1:40" ht="20.100000000000001" customHeight="1" thickBot="1">
      <c r="A179" s="598" t="s">
        <v>173</v>
      </c>
      <c r="B179" s="599"/>
      <c r="C179" s="599"/>
      <c r="D179" s="599"/>
      <c r="E179" s="600"/>
      <c r="F179" s="174" t="s">
        <v>207</v>
      </c>
      <c r="G179" s="159"/>
      <c r="H179" s="159"/>
      <c r="I179" s="159"/>
      <c r="J179" s="159"/>
      <c r="K179" s="99">
        <f>K177</f>
        <v>2021</v>
      </c>
      <c r="L179" s="99">
        <f t="shared" ref="L179:AN179" si="46">L177</f>
        <v>2022</v>
      </c>
      <c r="M179" s="99">
        <f t="shared" si="46"/>
        <v>2023</v>
      </c>
      <c r="N179" s="99">
        <f t="shared" si="46"/>
        <v>2024</v>
      </c>
      <c r="O179" s="99">
        <f t="shared" si="46"/>
        <v>2025</v>
      </c>
      <c r="P179" s="99">
        <f t="shared" si="46"/>
        <v>2026</v>
      </c>
      <c r="Q179" s="99">
        <f t="shared" si="46"/>
        <v>2027</v>
      </c>
      <c r="R179" s="99">
        <f t="shared" si="46"/>
        <v>2028</v>
      </c>
      <c r="S179" s="99">
        <f t="shared" si="46"/>
        <v>2029</v>
      </c>
      <c r="T179" s="99">
        <f t="shared" si="46"/>
        <v>2030</v>
      </c>
      <c r="U179" s="99">
        <f t="shared" si="46"/>
        <v>2031</v>
      </c>
      <c r="V179" s="99">
        <f t="shared" si="46"/>
        <v>2032</v>
      </c>
      <c r="W179" s="99">
        <f t="shared" si="46"/>
        <v>2033</v>
      </c>
      <c r="X179" s="99">
        <f t="shared" si="46"/>
        <v>2034</v>
      </c>
      <c r="Y179" s="99">
        <f t="shared" si="46"/>
        <v>2035</v>
      </c>
      <c r="Z179" s="99">
        <f t="shared" si="46"/>
        <v>2036</v>
      </c>
      <c r="AA179" s="99">
        <f t="shared" si="46"/>
        <v>2037</v>
      </c>
      <c r="AB179" s="99">
        <f t="shared" si="46"/>
        <v>2038</v>
      </c>
      <c r="AC179" s="99">
        <f t="shared" si="46"/>
        <v>2039</v>
      </c>
      <c r="AD179" s="99">
        <f t="shared" si="46"/>
        <v>2040</v>
      </c>
      <c r="AE179" s="99">
        <f t="shared" si="46"/>
        <v>2041</v>
      </c>
      <c r="AF179" s="99">
        <f t="shared" si="46"/>
        <v>2042</v>
      </c>
      <c r="AG179" s="99">
        <f t="shared" si="46"/>
        <v>2043</v>
      </c>
      <c r="AH179" s="99">
        <f t="shared" si="46"/>
        <v>2044</v>
      </c>
      <c r="AI179" s="99">
        <f t="shared" si="46"/>
        <v>2045</v>
      </c>
      <c r="AJ179" s="99">
        <f t="shared" si="46"/>
        <v>2046</v>
      </c>
      <c r="AK179" s="99">
        <f t="shared" si="46"/>
        <v>2047</v>
      </c>
      <c r="AL179" s="99">
        <f t="shared" si="46"/>
        <v>2048</v>
      </c>
      <c r="AM179" s="99">
        <f t="shared" si="46"/>
        <v>2049</v>
      </c>
      <c r="AN179" s="100">
        <f t="shared" si="46"/>
        <v>2050</v>
      </c>
    </row>
    <row r="180" spans="1:40" ht="20.100000000000001" customHeight="1">
      <c r="A180" s="183" t="s">
        <v>171</v>
      </c>
      <c r="B180" s="601" t="s">
        <v>176</v>
      </c>
      <c r="C180" s="601" t="s">
        <v>177</v>
      </c>
      <c r="D180" s="134"/>
      <c r="E180" s="37"/>
      <c r="F180" s="184" t="str">
        <f t="shared" ref="F180:F185" si="47">F162</f>
        <v>BUS</v>
      </c>
      <c r="G180" s="185" t="s">
        <v>317</v>
      </c>
      <c r="H180" s="185"/>
      <c r="I180" s="185"/>
      <c r="J180" s="185"/>
      <c r="K180" s="107"/>
      <c r="L180" s="163" t="e">
        <f t="shared" ref="L180:AN180" si="48">(100-L$178)/100*L162</f>
        <v>#DIV/0!</v>
      </c>
      <c r="M180" s="163">
        <f t="shared" si="48"/>
        <v>357.51039042855723</v>
      </c>
      <c r="N180" s="163">
        <f t="shared" si="48"/>
        <v>204.29165167346127</v>
      </c>
      <c r="O180" s="163">
        <f t="shared" si="48"/>
        <v>97.710124645006559</v>
      </c>
      <c r="P180" s="163">
        <f t="shared" si="48"/>
        <v>96.49381312332838</v>
      </c>
      <c r="Q180" s="163">
        <f t="shared" si="48"/>
        <v>95.350475294752741</v>
      </c>
      <c r="R180" s="163">
        <f t="shared" si="48"/>
        <v>94.274038457705885</v>
      </c>
      <c r="S180" s="163">
        <f t="shared" si="48"/>
        <v>93.258606801717377</v>
      </c>
      <c r="T180" s="163">
        <f t="shared" si="48"/>
        <v>92.299498115585095</v>
      </c>
      <c r="U180" s="163">
        <f t="shared" si="48"/>
        <v>92.115220085416937</v>
      </c>
      <c r="V180" s="163">
        <f t="shared" si="48"/>
        <v>92.115347836928464</v>
      </c>
      <c r="W180" s="163">
        <f t="shared" si="48"/>
        <v>92.115474326438928</v>
      </c>
      <c r="X180" s="163">
        <f t="shared" si="48"/>
        <v>92.115952679349661</v>
      </c>
      <c r="Y180" s="163">
        <f t="shared" si="48"/>
        <v>92.114913398895197</v>
      </c>
      <c r="Z180" s="163">
        <f t="shared" si="48"/>
        <v>92.114234053831694</v>
      </c>
      <c r="AA180" s="163">
        <f t="shared" si="48"/>
        <v>92.113561435936418</v>
      </c>
      <c r="AB180" s="163">
        <f t="shared" si="48"/>
        <v>92.113241692004181</v>
      </c>
      <c r="AC180" s="163">
        <f t="shared" si="48"/>
        <v>92.113269628942433</v>
      </c>
      <c r="AD180" s="163">
        <f t="shared" si="48"/>
        <v>92.113297289326923</v>
      </c>
      <c r="AE180" s="163">
        <f t="shared" si="48"/>
        <v>92.113665779949955</v>
      </c>
      <c r="AF180" s="163">
        <f t="shared" si="48"/>
        <v>92.114030632645779</v>
      </c>
      <c r="AG180" s="163">
        <f t="shared" si="48"/>
        <v>92.113275763613444</v>
      </c>
      <c r="AH180" s="163">
        <f t="shared" si="48"/>
        <v>92.112528379306241</v>
      </c>
      <c r="AI180" s="163">
        <f t="shared" si="48"/>
        <v>92.112122806701052</v>
      </c>
      <c r="AJ180" s="163">
        <f t="shared" si="48"/>
        <v>92.111721243934724</v>
      </c>
      <c r="AK180" s="163">
        <f t="shared" si="48"/>
        <v>92.111654783934227</v>
      </c>
      <c r="AL180" s="163">
        <f t="shared" si="48"/>
        <v>92.11191847841242</v>
      </c>
      <c r="AM180" s="163">
        <f t="shared" si="48"/>
        <v>92.112179568143461</v>
      </c>
      <c r="AN180" s="164">
        <f t="shared" si="48"/>
        <v>92.112764311947686</v>
      </c>
    </row>
    <row r="181" spans="1:40" ht="20.100000000000001" customHeight="1">
      <c r="A181" s="57" t="s">
        <v>179</v>
      </c>
      <c r="B181" s="602"/>
      <c r="C181" s="602"/>
      <c r="D181" s="69"/>
      <c r="E181" s="42"/>
      <c r="F181" s="184" t="str">
        <f t="shared" si="47"/>
        <v>METRO</v>
      </c>
      <c r="G181" s="185" t="s">
        <v>318</v>
      </c>
      <c r="H181" s="185"/>
      <c r="I181" s="185"/>
      <c r="J181" s="185"/>
      <c r="K181" s="107"/>
      <c r="L181" s="163" t="e">
        <f t="shared" ref="L181:AN181" si="49">(100-L$178)/100*L163</f>
        <v>#DIV/0!</v>
      </c>
      <c r="M181" s="163">
        <f t="shared" si="49"/>
        <v>0.75600038843319006</v>
      </c>
      <c r="N181" s="163">
        <f t="shared" si="49"/>
        <v>0.43200022196182292</v>
      </c>
      <c r="O181" s="163">
        <f t="shared" si="49"/>
        <v>0.10800005549045573</v>
      </c>
      <c r="P181" s="163">
        <f t="shared" si="49"/>
        <v>0.10800005549045573</v>
      </c>
      <c r="Q181" s="163">
        <f t="shared" si="49"/>
        <v>0.10800005549045573</v>
      </c>
      <c r="R181" s="163">
        <f t="shared" si="49"/>
        <v>0.10800005549045573</v>
      </c>
      <c r="S181" s="163">
        <f t="shared" si="49"/>
        <v>0.10800005549045573</v>
      </c>
      <c r="T181" s="163">
        <f t="shared" si="49"/>
        <v>0.10800005549045573</v>
      </c>
      <c r="U181" s="163">
        <f t="shared" si="49"/>
        <v>0.10746593058694209</v>
      </c>
      <c r="V181" s="163">
        <f t="shared" si="49"/>
        <v>0.10746593058694209</v>
      </c>
      <c r="W181" s="163">
        <f t="shared" si="49"/>
        <v>0.10746593058694209</v>
      </c>
      <c r="X181" s="163">
        <f t="shared" si="49"/>
        <v>0.10746593058694209</v>
      </c>
      <c r="Y181" s="163">
        <f t="shared" si="49"/>
        <v>0.10746593058694209</v>
      </c>
      <c r="Z181" s="163">
        <f t="shared" si="49"/>
        <v>0.10746593058694209</v>
      </c>
      <c r="AA181" s="163">
        <f t="shared" si="49"/>
        <v>0.10746593058694209</v>
      </c>
      <c r="AB181" s="163">
        <f t="shared" si="49"/>
        <v>0.10746593058694209</v>
      </c>
      <c r="AC181" s="163">
        <f t="shared" si="49"/>
        <v>0.10746593058694209</v>
      </c>
      <c r="AD181" s="163">
        <f t="shared" si="49"/>
        <v>0.10746593058694209</v>
      </c>
      <c r="AE181" s="163">
        <f t="shared" si="49"/>
        <v>0.10746593058694209</v>
      </c>
      <c r="AF181" s="163">
        <f t="shared" si="49"/>
        <v>0.10746593058694209</v>
      </c>
      <c r="AG181" s="163">
        <f t="shared" si="49"/>
        <v>0.10746593058694209</v>
      </c>
      <c r="AH181" s="163">
        <f t="shared" si="49"/>
        <v>0.10746593058694209</v>
      </c>
      <c r="AI181" s="163">
        <f t="shared" si="49"/>
        <v>0.10746593058694209</v>
      </c>
      <c r="AJ181" s="163">
        <f t="shared" si="49"/>
        <v>0.10746593058694209</v>
      </c>
      <c r="AK181" s="163">
        <f t="shared" si="49"/>
        <v>0.10746593058694209</v>
      </c>
      <c r="AL181" s="163">
        <f t="shared" si="49"/>
        <v>0.10746593058694209</v>
      </c>
      <c r="AM181" s="163">
        <f t="shared" si="49"/>
        <v>0.10746593058694209</v>
      </c>
      <c r="AN181" s="164">
        <f t="shared" si="49"/>
        <v>0.10746593058694209</v>
      </c>
    </row>
    <row r="182" spans="1:40" ht="20.100000000000001" customHeight="1">
      <c r="A182" s="139" t="s">
        <v>178</v>
      </c>
      <c r="B182" s="186">
        <v>90</v>
      </c>
      <c r="C182" s="186">
        <v>20</v>
      </c>
      <c r="D182" s="65"/>
      <c r="E182" s="187"/>
      <c r="F182" s="184" t="str">
        <f t="shared" si="47"/>
        <v>TRAM</v>
      </c>
      <c r="G182" s="185" t="s">
        <v>319</v>
      </c>
      <c r="H182" s="185"/>
      <c r="I182" s="185"/>
      <c r="J182" s="185"/>
      <c r="K182" s="107"/>
      <c r="L182" s="163" t="e">
        <f t="shared" ref="L182:AN182" si="50">(100-L$178)/100*L164</f>
        <v>#DIV/0!</v>
      </c>
      <c r="M182" s="163">
        <f t="shared" si="50"/>
        <v>0.33761113236879442</v>
      </c>
      <c r="N182" s="163">
        <f t="shared" si="50"/>
        <v>0.19292064706788256</v>
      </c>
      <c r="O182" s="163">
        <f t="shared" si="50"/>
        <v>4.823016176697064E-2</v>
      </c>
      <c r="P182" s="163">
        <f t="shared" si="50"/>
        <v>4.823016176697064E-2</v>
      </c>
      <c r="Q182" s="163">
        <f t="shared" si="50"/>
        <v>4.823016176697064E-2</v>
      </c>
      <c r="R182" s="163">
        <f t="shared" si="50"/>
        <v>4.823016176697064E-2</v>
      </c>
      <c r="S182" s="163">
        <f t="shared" si="50"/>
        <v>4.823016176697064E-2</v>
      </c>
      <c r="T182" s="163">
        <f t="shared" si="50"/>
        <v>4.823016176697064E-2</v>
      </c>
      <c r="U182" s="163">
        <f t="shared" si="50"/>
        <v>4.7991634755264551E-2</v>
      </c>
      <c r="V182" s="163">
        <f t="shared" si="50"/>
        <v>4.7991634755264551E-2</v>
      </c>
      <c r="W182" s="163">
        <f t="shared" si="50"/>
        <v>4.7991634755264551E-2</v>
      </c>
      <c r="X182" s="163">
        <f t="shared" si="50"/>
        <v>4.7991634755264551E-2</v>
      </c>
      <c r="Y182" s="163">
        <f t="shared" si="50"/>
        <v>4.7991634755264551E-2</v>
      </c>
      <c r="Z182" s="163">
        <f t="shared" si="50"/>
        <v>4.7991634755264551E-2</v>
      </c>
      <c r="AA182" s="163">
        <f t="shared" si="50"/>
        <v>4.7991634755264551E-2</v>
      </c>
      <c r="AB182" s="163">
        <f t="shared" si="50"/>
        <v>4.7991634755264551E-2</v>
      </c>
      <c r="AC182" s="163">
        <f t="shared" si="50"/>
        <v>4.7991634755264551E-2</v>
      </c>
      <c r="AD182" s="163">
        <f t="shared" si="50"/>
        <v>4.7991634755264551E-2</v>
      </c>
      <c r="AE182" s="163">
        <f t="shared" si="50"/>
        <v>4.7991634755264551E-2</v>
      </c>
      <c r="AF182" s="163">
        <f t="shared" si="50"/>
        <v>4.7991634755264551E-2</v>
      </c>
      <c r="AG182" s="163">
        <f t="shared" si="50"/>
        <v>4.7991634755264551E-2</v>
      </c>
      <c r="AH182" s="163">
        <f t="shared" si="50"/>
        <v>4.7991634755264551E-2</v>
      </c>
      <c r="AI182" s="163">
        <f t="shared" si="50"/>
        <v>4.7991634755264551E-2</v>
      </c>
      <c r="AJ182" s="163">
        <f t="shared" si="50"/>
        <v>4.7991634755264551E-2</v>
      </c>
      <c r="AK182" s="163">
        <f t="shared" si="50"/>
        <v>4.7991634755264551E-2</v>
      </c>
      <c r="AL182" s="163">
        <f t="shared" si="50"/>
        <v>4.7991634755264551E-2</v>
      </c>
      <c r="AM182" s="163">
        <f t="shared" si="50"/>
        <v>4.7991634755264551E-2</v>
      </c>
      <c r="AN182" s="164">
        <f t="shared" si="50"/>
        <v>4.7991634755264551E-2</v>
      </c>
    </row>
    <row r="183" spans="1:40" ht="20.100000000000001" customHeight="1">
      <c r="A183" s="139" t="s">
        <v>175</v>
      </c>
      <c r="B183" s="59" t="s">
        <v>160</v>
      </c>
      <c r="C183" s="59" t="s">
        <v>161</v>
      </c>
      <c r="D183" s="65"/>
      <c r="E183" s="187"/>
      <c r="F183" s="184" t="str">
        <f t="shared" si="47"/>
        <v>PASSENGER TRAIN</v>
      </c>
      <c r="G183" s="185" t="s">
        <v>320</v>
      </c>
      <c r="H183" s="185"/>
      <c r="I183" s="185"/>
      <c r="J183" s="185"/>
      <c r="K183" s="107"/>
      <c r="L183" s="163" t="e">
        <f t="shared" ref="L183:AN183" si="51">(100-L$178)/100*L165</f>
        <v>#DIV/0!</v>
      </c>
      <c r="M183" s="163">
        <f t="shared" si="51"/>
        <v>505.32101579844868</v>
      </c>
      <c r="N183" s="163">
        <f t="shared" si="51"/>
        <v>288.75486617054213</v>
      </c>
      <c r="O183" s="163">
        <f t="shared" si="51"/>
        <v>183.43034531325429</v>
      </c>
      <c r="P183" s="163">
        <f t="shared" si="51"/>
        <v>180.52913253155918</v>
      </c>
      <c r="Q183" s="163">
        <f t="shared" si="51"/>
        <v>177.80198059479017</v>
      </c>
      <c r="R183" s="163">
        <f t="shared" si="51"/>
        <v>175.23440456293693</v>
      </c>
      <c r="S183" s="163">
        <f t="shared" si="51"/>
        <v>172.81234142632624</v>
      </c>
      <c r="T183" s="163">
        <f t="shared" si="51"/>
        <v>170.52462291865106</v>
      </c>
      <c r="U183" s="163">
        <f t="shared" si="51"/>
        <v>169.68072683412481</v>
      </c>
      <c r="V183" s="163">
        <f t="shared" si="51"/>
        <v>169.68103065281662</v>
      </c>
      <c r="W183" s="163">
        <f t="shared" si="51"/>
        <v>169.68133147021706</v>
      </c>
      <c r="X183" s="163">
        <f t="shared" si="51"/>
        <v>169.6824690892858</v>
      </c>
      <c r="Y183" s="163">
        <f t="shared" si="51"/>
        <v>169.67999747212571</v>
      </c>
      <c r="Z183" s="163">
        <f t="shared" si="51"/>
        <v>169.6783818534451</v>
      </c>
      <c r="AA183" s="163">
        <f t="shared" si="51"/>
        <v>169.67678223331845</v>
      </c>
      <c r="AB183" s="163">
        <f t="shared" si="51"/>
        <v>169.67602181818086</v>
      </c>
      <c r="AC183" s="163">
        <f t="shared" si="51"/>
        <v>169.6760882578177</v>
      </c>
      <c r="AD183" s="163">
        <f t="shared" si="51"/>
        <v>169.67615403975432</v>
      </c>
      <c r="AE183" s="163">
        <f t="shared" si="51"/>
        <v>169.67703038428994</v>
      </c>
      <c r="AF183" s="163">
        <f t="shared" si="51"/>
        <v>169.67789807710568</v>
      </c>
      <c r="AG183" s="163">
        <f t="shared" si="51"/>
        <v>169.67610284729454</v>
      </c>
      <c r="AH183" s="163">
        <f t="shared" si="51"/>
        <v>169.67432541765947</v>
      </c>
      <c r="AI183" s="163">
        <f t="shared" si="51"/>
        <v>169.6733608847403</v>
      </c>
      <c r="AJ183" s="163">
        <f t="shared" si="51"/>
        <v>169.67240588802122</v>
      </c>
      <c r="AK183" s="163">
        <f t="shared" si="51"/>
        <v>169.67224783282356</v>
      </c>
      <c r="AL183" s="163">
        <f t="shared" si="51"/>
        <v>169.67287495112893</v>
      </c>
      <c r="AM183" s="163">
        <f t="shared" si="51"/>
        <v>169.67349587482352</v>
      </c>
      <c r="AN183" s="164">
        <f t="shared" si="51"/>
        <v>169.6748865127544</v>
      </c>
    </row>
    <row r="184" spans="1:40" ht="20.100000000000001" customHeight="1">
      <c r="A184" s="64"/>
      <c r="B184" s="65">
        <v>2</v>
      </c>
      <c r="C184" s="65">
        <v>4</v>
      </c>
      <c r="D184" s="65"/>
      <c r="E184" s="187"/>
      <c r="F184" s="184" t="str">
        <f t="shared" si="47"/>
        <v>PASSENGER CAR</v>
      </c>
      <c r="G184" s="185" t="s">
        <v>321</v>
      </c>
      <c r="H184" s="185"/>
      <c r="I184" s="185"/>
      <c r="J184" s="185"/>
      <c r="K184" s="107"/>
      <c r="L184" s="163">
        <f t="shared" ref="L184:AN184" si="52">(100-L$178)/100*L166</f>
        <v>12171.359716921739</v>
      </c>
      <c r="M184" s="163">
        <f t="shared" si="52"/>
        <v>8519.9518018452163</v>
      </c>
      <c r="N184" s="163">
        <f t="shared" si="52"/>
        <v>4868.5438867686962</v>
      </c>
      <c r="O184" s="163">
        <f t="shared" si="52"/>
        <v>1217.1359716921741</v>
      </c>
      <c r="P184" s="163">
        <f t="shared" si="52"/>
        <v>1217.1359716921741</v>
      </c>
      <c r="Q184" s="163">
        <f t="shared" si="52"/>
        <v>1217.1359716921741</v>
      </c>
      <c r="R184" s="163">
        <f t="shared" si="52"/>
        <v>1217.1359716921741</v>
      </c>
      <c r="S184" s="163">
        <f t="shared" si="52"/>
        <v>1217.1359716921741</v>
      </c>
      <c r="T184" s="163">
        <f t="shared" si="52"/>
        <v>1217.1359716921741</v>
      </c>
      <c r="U184" s="163">
        <f t="shared" si="52"/>
        <v>1214.721019367388</v>
      </c>
      <c r="V184" s="163">
        <f t="shared" si="52"/>
        <v>1214.721019367388</v>
      </c>
      <c r="W184" s="163">
        <f t="shared" si="52"/>
        <v>1214.721019367388</v>
      </c>
      <c r="X184" s="163">
        <f t="shared" si="52"/>
        <v>1214.721019367388</v>
      </c>
      <c r="Y184" s="163">
        <f t="shared" si="52"/>
        <v>1214.721019367388</v>
      </c>
      <c r="Z184" s="163">
        <f t="shared" si="52"/>
        <v>1214.721019367388</v>
      </c>
      <c r="AA184" s="163">
        <f t="shared" si="52"/>
        <v>1214.721019367388</v>
      </c>
      <c r="AB184" s="163">
        <f t="shared" si="52"/>
        <v>1214.721019367388</v>
      </c>
      <c r="AC184" s="163">
        <f t="shared" si="52"/>
        <v>1214.721019367388</v>
      </c>
      <c r="AD184" s="163">
        <f t="shared" si="52"/>
        <v>1214.721019367388</v>
      </c>
      <c r="AE184" s="163">
        <f t="shared" si="52"/>
        <v>1214.721019367388</v>
      </c>
      <c r="AF184" s="163">
        <f t="shared" si="52"/>
        <v>1214.721019367388</v>
      </c>
      <c r="AG184" s="163">
        <f t="shared" si="52"/>
        <v>1214.721019367388</v>
      </c>
      <c r="AH184" s="163">
        <f t="shared" si="52"/>
        <v>1214.721019367388</v>
      </c>
      <c r="AI184" s="163">
        <f t="shared" si="52"/>
        <v>1214.721019367388</v>
      </c>
      <c r="AJ184" s="163">
        <f t="shared" si="52"/>
        <v>1214.721019367388</v>
      </c>
      <c r="AK184" s="163">
        <f t="shared" si="52"/>
        <v>1214.721019367388</v>
      </c>
      <c r="AL184" s="163">
        <f t="shared" si="52"/>
        <v>1214.721019367388</v>
      </c>
      <c r="AM184" s="163">
        <f t="shared" si="52"/>
        <v>1214.721019367388</v>
      </c>
      <c r="AN184" s="164">
        <f t="shared" si="52"/>
        <v>1214.721019367388</v>
      </c>
    </row>
    <row r="185" spans="1:40" ht="20.100000000000001" customHeight="1" thickBot="1">
      <c r="A185" s="188" t="str">
        <f>IF(C184&lt;B184,"! end year has to be after start year!","")</f>
        <v/>
      </c>
      <c r="B185" s="189"/>
      <c r="C185" s="189"/>
      <c r="D185" s="65"/>
      <c r="E185" s="44"/>
      <c r="F185" s="190" t="str">
        <f t="shared" si="47"/>
        <v>TOTAL</v>
      </c>
      <c r="G185" s="191" t="s">
        <v>200</v>
      </c>
      <c r="H185" s="191"/>
      <c r="I185" s="191"/>
      <c r="J185" s="191"/>
      <c r="K185" s="192"/>
      <c r="L185" s="193" t="e">
        <f>SUM(L180:L184)</f>
        <v>#DIV/0!</v>
      </c>
      <c r="M185" s="193">
        <f t="shared" ref="M185:AN185" si="53">SUM(M180:M184)</f>
        <v>9383.8768195930243</v>
      </c>
      <c r="N185" s="193">
        <f t="shared" si="53"/>
        <v>5362.2153254817295</v>
      </c>
      <c r="O185" s="193">
        <f t="shared" si="53"/>
        <v>1498.4326718676923</v>
      </c>
      <c r="P185" s="193">
        <f t="shared" si="53"/>
        <v>1494.315147564319</v>
      </c>
      <c r="Q185" s="193">
        <f t="shared" si="53"/>
        <v>1490.4446577989743</v>
      </c>
      <c r="R185" s="193">
        <f t="shared" si="53"/>
        <v>1486.8006449300742</v>
      </c>
      <c r="S185" s="193">
        <f t="shared" si="53"/>
        <v>1483.363150137475</v>
      </c>
      <c r="T185" s="193">
        <f t="shared" si="53"/>
        <v>1480.1163229436677</v>
      </c>
      <c r="U185" s="193">
        <f t="shared" si="53"/>
        <v>1476.672423852272</v>
      </c>
      <c r="V185" s="193">
        <f t="shared" si="53"/>
        <v>1476.6728554224751</v>
      </c>
      <c r="W185" s="193">
        <f t="shared" si="53"/>
        <v>1476.6732827293861</v>
      </c>
      <c r="X185" s="193">
        <f t="shared" si="53"/>
        <v>1476.6748987013657</v>
      </c>
      <c r="Y185" s="193">
        <f t="shared" si="53"/>
        <v>1476.671387803751</v>
      </c>
      <c r="Z185" s="193">
        <f t="shared" si="53"/>
        <v>1476.6690928400069</v>
      </c>
      <c r="AA185" s="193">
        <f t="shared" si="53"/>
        <v>1476.6668206019849</v>
      </c>
      <c r="AB185" s="193">
        <f t="shared" si="53"/>
        <v>1476.6657404429152</v>
      </c>
      <c r="AC185" s="193">
        <f t="shared" si="53"/>
        <v>1476.6658348194903</v>
      </c>
      <c r="AD185" s="193">
        <f t="shared" si="53"/>
        <v>1476.6659282618114</v>
      </c>
      <c r="AE185" s="193">
        <f t="shared" si="53"/>
        <v>1476.6671730969701</v>
      </c>
      <c r="AF185" s="193">
        <f t="shared" si="53"/>
        <v>1476.6684056424815</v>
      </c>
      <c r="AG185" s="193">
        <f t="shared" si="53"/>
        <v>1476.6658555436381</v>
      </c>
      <c r="AH185" s="193">
        <f t="shared" si="53"/>
        <v>1476.6633307296959</v>
      </c>
      <c r="AI185" s="193">
        <f t="shared" si="53"/>
        <v>1476.6619606241716</v>
      </c>
      <c r="AJ185" s="193">
        <f t="shared" si="53"/>
        <v>1476.6606040646861</v>
      </c>
      <c r="AK185" s="193">
        <f t="shared" si="53"/>
        <v>1476.660379549488</v>
      </c>
      <c r="AL185" s="193">
        <f t="shared" si="53"/>
        <v>1476.6612703622716</v>
      </c>
      <c r="AM185" s="193">
        <f t="shared" si="53"/>
        <v>1476.6621523756971</v>
      </c>
      <c r="AN185" s="194">
        <f t="shared" si="53"/>
        <v>1476.6641277574322</v>
      </c>
    </row>
    <row r="186" spans="1:40" ht="20.100000000000001" customHeight="1">
      <c r="A186" s="188" t="str">
        <f>IF(B184&lt;START!$B$2,"Policy period starts before the starting year for the study","")</f>
        <v>Policy period starts before the starting year for the study</v>
      </c>
      <c r="B186" s="189"/>
      <c r="C186" s="189"/>
      <c r="D186" s="65"/>
      <c r="E186" s="44"/>
      <c r="F186" s="593" t="s">
        <v>204</v>
      </c>
      <c r="G186" s="594"/>
      <c r="H186" s="430"/>
      <c r="I186" s="430"/>
      <c r="J186" s="430"/>
      <c r="K186" s="99">
        <f>K177</f>
        <v>2021</v>
      </c>
      <c r="L186" s="99">
        <f t="shared" ref="L186:AN186" si="54">L177</f>
        <v>2022</v>
      </c>
      <c r="M186" s="99">
        <f t="shared" si="54"/>
        <v>2023</v>
      </c>
      <c r="N186" s="99">
        <f t="shared" si="54"/>
        <v>2024</v>
      </c>
      <c r="O186" s="99">
        <f t="shared" si="54"/>
        <v>2025</v>
      </c>
      <c r="P186" s="99">
        <f t="shared" si="54"/>
        <v>2026</v>
      </c>
      <c r="Q186" s="99">
        <f t="shared" si="54"/>
        <v>2027</v>
      </c>
      <c r="R186" s="99">
        <f t="shared" si="54"/>
        <v>2028</v>
      </c>
      <c r="S186" s="99">
        <f t="shared" si="54"/>
        <v>2029</v>
      </c>
      <c r="T186" s="99">
        <f t="shared" si="54"/>
        <v>2030</v>
      </c>
      <c r="U186" s="99">
        <f t="shared" si="54"/>
        <v>2031</v>
      </c>
      <c r="V186" s="99">
        <f t="shared" si="54"/>
        <v>2032</v>
      </c>
      <c r="W186" s="99">
        <f t="shared" si="54"/>
        <v>2033</v>
      </c>
      <c r="X186" s="99">
        <f t="shared" si="54"/>
        <v>2034</v>
      </c>
      <c r="Y186" s="99">
        <f t="shared" si="54"/>
        <v>2035</v>
      </c>
      <c r="Z186" s="99">
        <f t="shared" si="54"/>
        <v>2036</v>
      </c>
      <c r="AA186" s="99">
        <f t="shared" si="54"/>
        <v>2037</v>
      </c>
      <c r="AB186" s="99">
        <f t="shared" si="54"/>
        <v>2038</v>
      </c>
      <c r="AC186" s="99">
        <f t="shared" si="54"/>
        <v>2039</v>
      </c>
      <c r="AD186" s="99">
        <f t="shared" si="54"/>
        <v>2040</v>
      </c>
      <c r="AE186" s="99">
        <f t="shared" si="54"/>
        <v>2041</v>
      </c>
      <c r="AF186" s="99">
        <f t="shared" si="54"/>
        <v>2042</v>
      </c>
      <c r="AG186" s="99">
        <f t="shared" si="54"/>
        <v>2043</v>
      </c>
      <c r="AH186" s="99">
        <f t="shared" si="54"/>
        <v>2044</v>
      </c>
      <c r="AI186" s="99">
        <f t="shared" si="54"/>
        <v>2045</v>
      </c>
      <c r="AJ186" s="99">
        <f t="shared" si="54"/>
        <v>2046</v>
      </c>
      <c r="AK186" s="99">
        <f t="shared" si="54"/>
        <v>2047</v>
      </c>
      <c r="AL186" s="99">
        <f t="shared" si="54"/>
        <v>2048</v>
      </c>
      <c r="AM186" s="99">
        <f t="shared" si="54"/>
        <v>2049</v>
      </c>
      <c r="AN186" s="100">
        <f t="shared" si="54"/>
        <v>2050</v>
      </c>
    </row>
    <row r="187" spans="1:40" ht="20.100000000000001" customHeight="1">
      <c r="A187" s="188"/>
      <c r="B187" s="189"/>
      <c r="C187" s="189"/>
      <c r="D187" s="65"/>
      <c r="E187" s="44"/>
      <c r="F187" s="195" t="str">
        <f t="shared" ref="F187:F192" si="55">F180</f>
        <v>BUS</v>
      </c>
      <c r="G187" s="185" t="s">
        <v>322</v>
      </c>
      <c r="H187" s="185"/>
      <c r="I187" s="185"/>
      <c r="J187" s="185"/>
      <c r="K187" s="107"/>
      <c r="L187" s="163" t="e">
        <f t="shared" ref="L187:AN187" si="56">((100-$C$182)/100*L162)+($C$182/100*L180)</f>
        <v>#DIV/0!</v>
      </c>
      <c r="M187" s="163">
        <f t="shared" si="56"/>
        <v>480.08538143263399</v>
      </c>
      <c r="N187" s="163">
        <f t="shared" si="56"/>
        <v>449.4416336816148</v>
      </c>
      <c r="O187" s="163">
        <f t="shared" si="56"/>
        <v>801.22302208905376</v>
      </c>
      <c r="P187" s="163">
        <f t="shared" si="56"/>
        <v>791.24926761129268</v>
      </c>
      <c r="Q187" s="163">
        <f t="shared" si="56"/>
        <v>781.87389741697245</v>
      </c>
      <c r="R187" s="163">
        <f t="shared" si="56"/>
        <v>773.04711535318825</v>
      </c>
      <c r="S187" s="163">
        <f t="shared" si="56"/>
        <v>764.72057577408248</v>
      </c>
      <c r="T187" s="163">
        <f t="shared" si="56"/>
        <v>756.85588454779781</v>
      </c>
      <c r="U187" s="163">
        <f t="shared" si="56"/>
        <v>755.34480470041888</v>
      </c>
      <c r="V187" s="163">
        <f t="shared" si="56"/>
        <v>755.34585226281342</v>
      </c>
      <c r="W187" s="163">
        <f t="shared" si="56"/>
        <v>755.34688947679922</v>
      </c>
      <c r="X187" s="163">
        <f t="shared" si="56"/>
        <v>755.35081197066722</v>
      </c>
      <c r="Y187" s="163">
        <f t="shared" si="56"/>
        <v>755.34228987094059</v>
      </c>
      <c r="Z187" s="163">
        <f t="shared" si="56"/>
        <v>755.33671924141993</v>
      </c>
      <c r="AA187" s="163">
        <f t="shared" si="56"/>
        <v>755.33120377467867</v>
      </c>
      <c r="AB187" s="163">
        <f t="shared" si="56"/>
        <v>755.32858187443424</v>
      </c>
      <c r="AC187" s="163">
        <f t="shared" si="56"/>
        <v>755.32881095732796</v>
      </c>
      <c r="AD187" s="163">
        <f t="shared" si="56"/>
        <v>755.32903777248077</v>
      </c>
      <c r="AE187" s="163">
        <f t="shared" si="56"/>
        <v>755.33205939558968</v>
      </c>
      <c r="AF187" s="163">
        <f t="shared" si="56"/>
        <v>755.3350511876954</v>
      </c>
      <c r="AG187" s="163">
        <f t="shared" si="56"/>
        <v>755.32886126163021</v>
      </c>
      <c r="AH187" s="163">
        <f t="shared" si="56"/>
        <v>755.32273271031113</v>
      </c>
      <c r="AI187" s="163">
        <f t="shared" si="56"/>
        <v>755.31940701494864</v>
      </c>
      <c r="AJ187" s="163">
        <f t="shared" si="56"/>
        <v>755.31611420026479</v>
      </c>
      <c r="AK187" s="163">
        <f t="shared" si="56"/>
        <v>755.31556922826064</v>
      </c>
      <c r="AL187" s="163">
        <f t="shared" si="56"/>
        <v>755.31773152298183</v>
      </c>
      <c r="AM187" s="163">
        <f t="shared" si="56"/>
        <v>755.31987245877633</v>
      </c>
      <c r="AN187" s="164">
        <f t="shared" si="56"/>
        <v>755.32466735797107</v>
      </c>
    </row>
    <row r="188" spans="1:40" ht="20.100000000000001" customHeight="1">
      <c r="A188" s="188"/>
      <c r="B188" s="189"/>
      <c r="C188" s="189"/>
      <c r="D188" s="65"/>
      <c r="E188" s="44"/>
      <c r="F188" s="195" t="str">
        <f t="shared" si="55"/>
        <v>METRO</v>
      </c>
      <c r="G188" s="185" t="s">
        <v>323</v>
      </c>
      <c r="H188" s="185"/>
      <c r="I188" s="185"/>
      <c r="J188" s="185"/>
      <c r="K188" s="107"/>
      <c r="L188" s="163" t="e">
        <f t="shared" ref="L188:AN188" si="57">((100-$C$182)/100*L163)+($C$182/100*L181)</f>
        <v>#DIV/0!</v>
      </c>
      <c r="M188" s="163">
        <f t="shared" si="57"/>
        <v>1.015200521610284</v>
      </c>
      <c r="N188" s="163">
        <f t="shared" si="57"/>
        <v>0.95040048831601043</v>
      </c>
      <c r="O188" s="163">
        <f t="shared" si="57"/>
        <v>0.88560045502173701</v>
      </c>
      <c r="P188" s="163">
        <f t="shared" si="57"/>
        <v>0.88560045502173701</v>
      </c>
      <c r="Q188" s="163">
        <f t="shared" si="57"/>
        <v>0.88560045502173701</v>
      </c>
      <c r="R188" s="163">
        <f t="shared" si="57"/>
        <v>0.88560045502173701</v>
      </c>
      <c r="S188" s="163">
        <f t="shared" si="57"/>
        <v>0.88560045502173701</v>
      </c>
      <c r="T188" s="163">
        <f t="shared" si="57"/>
        <v>0.88560045502173701</v>
      </c>
      <c r="U188" s="163">
        <f t="shared" si="57"/>
        <v>0.88122063081292512</v>
      </c>
      <c r="V188" s="163">
        <f t="shared" si="57"/>
        <v>0.88122063081292512</v>
      </c>
      <c r="W188" s="163">
        <f t="shared" si="57"/>
        <v>0.88122063081292512</v>
      </c>
      <c r="X188" s="163">
        <f t="shared" si="57"/>
        <v>0.88122063081292512</v>
      </c>
      <c r="Y188" s="163">
        <f t="shared" si="57"/>
        <v>0.88122063081292512</v>
      </c>
      <c r="Z188" s="163">
        <f t="shared" si="57"/>
        <v>0.88122063081292512</v>
      </c>
      <c r="AA188" s="163">
        <f t="shared" si="57"/>
        <v>0.88122063081292512</v>
      </c>
      <c r="AB188" s="163">
        <f t="shared" si="57"/>
        <v>0.88122063081292512</v>
      </c>
      <c r="AC188" s="163">
        <f t="shared" si="57"/>
        <v>0.88122063081292512</v>
      </c>
      <c r="AD188" s="163">
        <f t="shared" si="57"/>
        <v>0.88122063081292512</v>
      </c>
      <c r="AE188" s="163">
        <f t="shared" si="57"/>
        <v>0.88122063081292512</v>
      </c>
      <c r="AF188" s="163">
        <f t="shared" si="57"/>
        <v>0.88122063081292512</v>
      </c>
      <c r="AG188" s="163">
        <f t="shared" si="57"/>
        <v>0.88122063081292512</v>
      </c>
      <c r="AH188" s="163">
        <f t="shared" si="57"/>
        <v>0.88122063081292512</v>
      </c>
      <c r="AI188" s="163">
        <f t="shared" si="57"/>
        <v>0.88122063081292512</v>
      </c>
      <c r="AJ188" s="163">
        <f t="shared" si="57"/>
        <v>0.88122063081292512</v>
      </c>
      <c r="AK188" s="163">
        <f t="shared" si="57"/>
        <v>0.88122063081292512</v>
      </c>
      <c r="AL188" s="163">
        <f t="shared" si="57"/>
        <v>0.88122063081292512</v>
      </c>
      <c r="AM188" s="163">
        <f t="shared" si="57"/>
        <v>0.88122063081292512</v>
      </c>
      <c r="AN188" s="164">
        <f t="shared" si="57"/>
        <v>0.88122063081292512</v>
      </c>
    </row>
    <row r="189" spans="1:40" ht="20.100000000000001" customHeight="1">
      <c r="A189" s="188"/>
      <c r="B189" s="597" t="s">
        <v>214</v>
      </c>
      <c r="C189" s="189"/>
      <c r="D189" s="65"/>
      <c r="E189" s="44"/>
      <c r="F189" s="195" t="str">
        <f t="shared" si="55"/>
        <v>TRAM</v>
      </c>
      <c r="G189" s="185" t="s">
        <v>324</v>
      </c>
      <c r="H189" s="185"/>
      <c r="I189" s="185"/>
      <c r="J189" s="185"/>
      <c r="K189" s="107"/>
      <c r="L189" s="163" t="e">
        <f t="shared" ref="L189:AN189" si="58">((100-$C$182)/100*L164)+($C$182/100*L182)</f>
        <v>#DIV/0!</v>
      </c>
      <c r="M189" s="163">
        <f t="shared" si="58"/>
        <v>0.45336352060952401</v>
      </c>
      <c r="N189" s="163">
        <f t="shared" si="58"/>
        <v>0.42442542354934165</v>
      </c>
      <c r="O189" s="163">
        <f t="shared" si="58"/>
        <v>0.39548732648915924</v>
      </c>
      <c r="P189" s="163">
        <f t="shared" si="58"/>
        <v>0.39548732648915924</v>
      </c>
      <c r="Q189" s="163">
        <f t="shared" si="58"/>
        <v>0.39548732648915924</v>
      </c>
      <c r="R189" s="163">
        <f t="shared" si="58"/>
        <v>0.39548732648915924</v>
      </c>
      <c r="S189" s="163">
        <f t="shared" si="58"/>
        <v>0.39548732648915924</v>
      </c>
      <c r="T189" s="163">
        <f t="shared" si="58"/>
        <v>0.39548732648915924</v>
      </c>
      <c r="U189" s="163">
        <f t="shared" si="58"/>
        <v>0.3935314049931693</v>
      </c>
      <c r="V189" s="163">
        <f t="shared" si="58"/>
        <v>0.3935314049931693</v>
      </c>
      <c r="W189" s="163">
        <f t="shared" si="58"/>
        <v>0.3935314049931693</v>
      </c>
      <c r="X189" s="163">
        <f t="shared" si="58"/>
        <v>0.3935314049931693</v>
      </c>
      <c r="Y189" s="163">
        <f t="shared" si="58"/>
        <v>0.3935314049931693</v>
      </c>
      <c r="Z189" s="163">
        <f t="shared" si="58"/>
        <v>0.3935314049931693</v>
      </c>
      <c r="AA189" s="163">
        <f t="shared" si="58"/>
        <v>0.3935314049931693</v>
      </c>
      <c r="AB189" s="163">
        <f t="shared" si="58"/>
        <v>0.3935314049931693</v>
      </c>
      <c r="AC189" s="163">
        <f t="shared" si="58"/>
        <v>0.3935314049931693</v>
      </c>
      <c r="AD189" s="163">
        <f t="shared" si="58"/>
        <v>0.3935314049931693</v>
      </c>
      <c r="AE189" s="163">
        <f t="shared" si="58"/>
        <v>0.3935314049931693</v>
      </c>
      <c r="AF189" s="163">
        <f t="shared" si="58"/>
        <v>0.3935314049931693</v>
      </c>
      <c r="AG189" s="163">
        <f t="shared" si="58"/>
        <v>0.3935314049931693</v>
      </c>
      <c r="AH189" s="163">
        <f t="shared" si="58"/>
        <v>0.3935314049931693</v>
      </c>
      <c r="AI189" s="163">
        <f t="shared" si="58"/>
        <v>0.3935314049931693</v>
      </c>
      <c r="AJ189" s="163">
        <f t="shared" si="58"/>
        <v>0.3935314049931693</v>
      </c>
      <c r="AK189" s="163">
        <f t="shared" si="58"/>
        <v>0.3935314049931693</v>
      </c>
      <c r="AL189" s="163">
        <f t="shared" si="58"/>
        <v>0.3935314049931693</v>
      </c>
      <c r="AM189" s="163">
        <f t="shared" si="58"/>
        <v>0.3935314049931693</v>
      </c>
      <c r="AN189" s="164">
        <f t="shared" si="58"/>
        <v>0.3935314049931693</v>
      </c>
    </row>
    <row r="190" spans="1:40" ht="20.100000000000001" customHeight="1">
      <c r="A190" s="57" t="s">
        <v>216</v>
      </c>
      <c r="B190" s="602"/>
      <c r="C190" s="196"/>
      <c r="D190" s="69"/>
      <c r="E190" s="42"/>
      <c r="F190" s="195" t="str">
        <f t="shared" si="55"/>
        <v>PASSENGER TRAIN</v>
      </c>
      <c r="G190" s="185" t="s">
        <v>325</v>
      </c>
      <c r="H190" s="185"/>
      <c r="I190" s="185"/>
      <c r="J190" s="185"/>
      <c r="K190" s="107"/>
      <c r="L190" s="163" t="e">
        <f t="shared" ref="L190:AN190" si="59">((100-$C$182)/100*L165)+($C$182/100*L183)</f>
        <v>#DIV/0!</v>
      </c>
      <c r="M190" s="163">
        <f t="shared" si="59"/>
        <v>678.57393550077404</v>
      </c>
      <c r="N190" s="163">
        <f t="shared" si="59"/>
        <v>635.26070557519267</v>
      </c>
      <c r="O190" s="163">
        <f t="shared" si="59"/>
        <v>1504.1288315686852</v>
      </c>
      <c r="P190" s="163">
        <f t="shared" si="59"/>
        <v>1480.3388867587853</v>
      </c>
      <c r="Q190" s="163">
        <f t="shared" si="59"/>
        <v>1457.9762408772795</v>
      </c>
      <c r="R190" s="163">
        <f t="shared" si="59"/>
        <v>1436.9221174160828</v>
      </c>
      <c r="S190" s="163">
        <f t="shared" si="59"/>
        <v>1417.0611996958751</v>
      </c>
      <c r="T190" s="163">
        <f t="shared" si="59"/>
        <v>1398.3019079329388</v>
      </c>
      <c r="U190" s="163">
        <f t="shared" si="59"/>
        <v>1391.3819600398235</v>
      </c>
      <c r="V190" s="163">
        <f t="shared" si="59"/>
        <v>1391.3844513530962</v>
      </c>
      <c r="W190" s="163">
        <f t="shared" si="59"/>
        <v>1391.3869180557799</v>
      </c>
      <c r="X190" s="163">
        <f t="shared" si="59"/>
        <v>1391.3962465321436</v>
      </c>
      <c r="Y190" s="163">
        <f t="shared" si="59"/>
        <v>1391.3759792714309</v>
      </c>
      <c r="Z190" s="163">
        <f t="shared" si="59"/>
        <v>1391.3627311982498</v>
      </c>
      <c r="AA190" s="163">
        <f t="shared" si="59"/>
        <v>1391.3496143132113</v>
      </c>
      <c r="AB190" s="163">
        <f t="shared" si="59"/>
        <v>1391.343378909083</v>
      </c>
      <c r="AC190" s="163">
        <f t="shared" si="59"/>
        <v>1391.3439237141051</v>
      </c>
      <c r="AD190" s="163">
        <f t="shared" si="59"/>
        <v>1391.3444631259854</v>
      </c>
      <c r="AE190" s="163">
        <f t="shared" si="59"/>
        <v>1391.3516491511775</v>
      </c>
      <c r="AF190" s="163">
        <f t="shared" si="59"/>
        <v>1391.3587642322666</v>
      </c>
      <c r="AG190" s="163">
        <f t="shared" si="59"/>
        <v>1391.3440433478152</v>
      </c>
      <c r="AH190" s="163">
        <f t="shared" si="59"/>
        <v>1391.3294684248076</v>
      </c>
      <c r="AI190" s="163">
        <f t="shared" si="59"/>
        <v>1391.3215592548704</v>
      </c>
      <c r="AJ190" s="163">
        <f t="shared" si="59"/>
        <v>1391.313728281774</v>
      </c>
      <c r="AK190" s="163">
        <f t="shared" si="59"/>
        <v>1391.3124322291533</v>
      </c>
      <c r="AL190" s="163">
        <f t="shared" si="59"/>
        <v>1391.3175745992573</v>
      </c>
      <c r="AM190" s="163">
        <f t="shared" si="59"/>
        <v>1391.3226661735528</v>
      </c>
      <c r="AN190" s="164">
        <f t="shared" si="59"/>
        <v>1391.334069404586</v>
      </c>
    </row>
    <row r="191" spans="1:40" ht="20.100000000000001" customHeight="1">
      <c r="A191" s="139" t="s">
        <v>215</v>
      </c>
      <c r="B191" s="197">
        <v>10</v>
      </c>
      <c r="C191" s="198"/>
      <c r="D191" s="65"/>
      <c r="E191" s="44"/>
      <c r="F191" s="195" t="str">
        <f t="shared" si="55"/>
        <v>PASSENGER CAR</v>
      </c>
      <c r="G191" s="185" t="s">
        <v>326</v>
      </c>
      <c r="H191" s="185"/>
      <c r="I191" s="185"/>
      <c r="J191" s="185"/>
      <c r="K191" s="107"/>
      <c r="L191" s="163">
        <f t="shared" ref="L191:AN191" si="60">((100-$C$182)/100*L166)+($C$182/100*L184)</f>
        <v>12171.359716921741</v>
      </c>
      <c r="M191" s="163">
        <f t="shared" si="60"/>
        <v>11441.078133906436</v>
      </c>
      <c r="N191" s="163">
        <f t="shared" si="60"/>
        <v>10710.796550891131</v>
      </c>
      <c r="O191" s="163">
        <f t="shared" si="60"/>
        <v>9980.514967875828</v>
      </c>
      <c r="P191" s="163">
        <f t="shared" si="60"/>
        <v>9980.514967875828</v>
      </c>
      <c r="Q191" s="163">
        <f t="shared" si="60"/>
        <v>9980.514967875828</v>
      </c>
      <c r="R191" s="163">
        <f t="shared" si="60"/>
        <v>9980.514967875828</v>
      </c>
      <c r="S191" s="163">
        <f t="shared" si="60"/>
        <v>9980.514967875828</v>
      </c>
      <c r="T191" s="163">
        <f t="shared" si="60"/>
        <v>9980.514967875828</v>
      </c>
      <c r="U191" s="163">
        <f t="shared" si="60"/>
        <v>9960.7123588125814</v>
      </c>
      <c r="V191" s="163">
        <f t="shared" si="60"/>
        <v>9960.7123588125814</v>
      </c>
      <c r="W191" s="163">
        <f t="shared" si="60"/>
        <v>9960.7123588125814</v>
      </c>
      <c r="X191" s="163">
        <f t="shared" si="60"/>
        <v>9960.7123588125814</v>
      </c>
      <c r="Y191" s="163">
        <f t="shared" si="60"/>
        <v>9960.7123588125814</v>
      </c>
      <c r="Z191" s="163">
        <f t="shared" si="60"/>
        <v>9960.7123588125814</v>
      </c>
      <c r="AA191" s="163">
        <f t="shared" si="60"/>
        <v>9960.7123588125814</v>
      </c>
      <c r="AB191" s="163">
        <f t="shared" si="60"/>
        <v>9960.7123588125814</v>
      </c>
      <c r="AC191" s="163">
        <f t="shared" si="60"/>
        <v>9960.7123588125814</v>
      </c>
      <c r="AD191" s="163">
        <f t="shared" si="60"/>
        <v>9960.7123588125814</v>
      </c>
      <c r="AE191" s="163">
        <f t="shared" si="60"/>
        <v>9960.7123588125814</v>
      </c>
      <c r="AF191" s="163">
        <f t="shared" si="60"/>
        <v>9960.7123588125814</v>
      </c>
      <c r="AG191" s="163">
        <f t="shared" si="60"/>
        <v>9960.7123588125814</v>
      </c>
      <c r="AH191" s="163">
        <f t="shared" si="60"/>
        <v>9960.7123588125814</v>
      </c>
      <c r="AI191" s="163">
        <f t="shared" si="60"/>
        <v>9960.7123588125814</v>
      </c>
      <c r="AJ191" s="163">
        <f t="shared" si="60"/>
        <v>9960.7123588125814</v>
      </c>
      <c r="AK191" s="163">
        <f t="shared" si="60"/>
        <v>9960.7123588125814</v>
      </c>
      <c r="AL191" s="163">
        <f t="shared" si="60"/>
        <v>9960.7123588125814</v>
      </c>
      <c r="AM191" s="163">
        <f t="shared" si="60"/>
        <v>9960.7123588125814</v>
      </c>
      <c r="AN191" s="164">
        <f t="shared" si="60"/>
        <v>9960.7123588125814</v>
      </c>
    </row>
    <row r="192" spans="1:40" ht="20.100000000000001" customHeight="1" thickBot="1">
      <c r="A192" s="139" t="s">
        <v>175</v>
      </c>
      <c r="B192" s="59" t="s">
        <v>160</v>
      </c>
      <c r="C192" s="59" t="s">
        <v>161</v>
      </c>
      <c r="D192" s="65"/>
      <c r="E192" s="44"/>
      <c r="F192" s="199" t="str">
        <f t="shared" si="55"/>
        <v>TOTAL</v>
      </c>
      <c r="G192" s="165" t="s">
        <v>200</v>
      </c>
      <c r="H192" s="165"/>
      <c r="I192" s="165"/>
      <c r="J192" s="165"/>
      <c r="K192" s="109"/>
      <c r="L192" s="166" t="e">
        <f>SUM(L187:L191)</f>
        <v>#DIV/0!</v>
      </c>
      <c r="M192" s="166">
        <f t="shared" ref="M192:AN192" si="61">SUM(M187:M191)</f>
        <v>12601.206014882064</v>
      </c>
      <c r="N192" s="166">
        <f t="shared" si="61"/>
        <v>11796.873716059803</v>
      </c>
      <c r="O192" s="166">
        <f t="shared" si="61"/>
        <v>12287.147909315077</v>
      </c>
      <c r="P192" s="166">
        <f t="shared" si="61"/>
        <v>12253.384210027416</v>
      </c>
      <c r="Q192" s="166">
        <f t="shared" si="61"/>
        <v>12221.64619395159</v>
      </c>
      <c r="R192" s="166">
        <f t="shared" si="61"/>
        <v>12191.76528842661</v>
      </c>
      <c r="S192" s="166">
        <f t="shared" si="61"/>
        <v>12163.577831127297</v>
      </c>
      <c r="T192" s="166">
        <f t="shared" si="61"/>
        <v>12136.953848138075</v>
      </c>
      <c r="U192" s="166">
        <f t="shared" si="61"/>
        <v>12108.71387558863</v>
      </c>
      <c r="V192" s="166">
        <f t="shared" si="61"/>
        <v>12108.717414464298</v>
      </c>
      <c r="W192" s="166">
        <f t="shared" si="61"/>
        <v>12108.720918380966</v>
      </c>
      <c r="X192" s="166">
        <f t="shared" si="61"/>
        <v>12108.734169351199</v>
      </c>
      <c r="Y192" s="166">
        <f t="shared" si="61"/>
        <v>12108.705379990759</v>
      </c>
      <c r="Z192" s="166">
        <f t="shared" si="61"/>
        <v>12108.686561288057</v>
      </c>
      <c r="AA192" s="166">
        <f t="shared" si="61"/>
        <v>12108.667928936276</v>
      </c>
      <c r="AB192" s="166">
        <f t="shared" si="61"/>
        <v>12108.659071631904</v>
      </c>
      <c r="AC192" s="166">
        <f t="shared" si="61"/>
        <v>12108.65984551982</v>
      </c>
      <c r="AD192" s="166">
        <f t="shared" si="61"/>
        <v>12108.660611746855</v>
      </c>
      <c r="AE192" s="166">
        <f t="shared" si="61"/>
        <v>12108.670819395154</v>
      </c>
      <c r="AF192" s="166">
        <f t="shared" si="61"/>
        <v>12108.680926268349</v>
      </c>
      <c r="AG192" s="166">
        <f t="shared" si="61"/>
        <v>12108.660015457834</v>
      </c>
      <c r="AH192" s="166">
        <f t="shared" si="61"/>
        <v>12108.639311983507</v>
      </c>
      <c r="AI192" s="166">
        <f t="shared" si="61"/>
        <v>12108.628077118206</v>
      </c>
      <c r="AJ192" s="166">
        <f t="shared" si="61"/>
        <v>12108.616953330427</v>
      </c>
      <c r="AK192" s="166">
        <f t="shared" si="61"/>
        <v>12108.615112305801</v>
      </c>
      <c r="AL192" s="166">
        <f t="shared" si="61"/>
        <v>12108.622416970626</v>
      </c>
      <c r="AM192" s="166">
        <f t="shared" si="61"/>
        <v>12108.629649480717</v>
      </c>
      <c r="AN192" s="167">
        <f t="shared" si="61"/>
        <v>12108.645847610944</v>
      </c>
    </row>
    <row r="193" spans="1:40" ht="20.100000000000001" customHeight="1">
      <c r="A193" s="64"/>
      <c r="B193" s="65">
        <v>2</v>
      </c>
      <c r="C193" s="65">
        <v>4</v>
      </c>
      <c r="D193" s="65"/>
      <c r="E193" s="44"/>
      <c r="F193" s="200" t="str">
        <f t="shared" ref="F193:F199" si="62">F168</f>
        <v>Baseline: Modal split, passenger transport (%)</v>
      </c>
      <c r="G193" s="201"/>
      <c r="H193" s="429"/>
      <c r="I193" s="429"/>
      <c r="J193" s="429"/>
      <c r="K193" s="99">
        <f t="shared" ref="K193:AN193" si="63">K179</f>
        <v>2021</v>
      </c>
      <c r="L193" s="99">
        <f t="shared" si="63"/>
        <v>2022</v>
      </c>
      <c r="M193" s="202">
        <f t="shared" si="63"/>
        <v>2023</v>
      </c>
      <c r="N193" s="202">
        <f t="shared" si="63"/>
        <v>2024</v>
      </c>
      <c r="O193" s="202">
        <f t="shared" si="63"/>
        <v>2025</v>
      </c>
      <c r="P193" s="202">
        <f t="shared" si="63"/>
        <v>2026</v>
      </c>
      <c r="Q193" s="202">
        <f t="shared" si="63"/>
        <v>2027</v>
      </c>
      <c r="R193" s="202">
        <f t="shared" si="63"/>
        <v>2028</v>
      </c>
      <c r="S193" s="202">
        <f t="shared" si="63"/>
        <v>2029</v>
      </c>
      <c r="T193" s="202">
        <f t="shared" si="63"/>
        <v>2030</v>
      </c>
      <c r="U193" s="202">
        <f t="shared" si="63"/>
        <v>2031</v>
      </c>
      <c r="V193" s="202">
        <f t="shared" si="63"/>
        <v>2032</v>
      </c>
      <c r="W193" s="202">
        <f t="shared" si="63"/>
        <v>2033</v>
      </c>
      <c r="X193" s="202">
        <f t="shared" si="63"/>
        <v>2034</v>
      </c>
      <c r="Y193" s="202">
        <f t="shared" si="63"/>
        <v>2035</v>
      </c>
      <c r="Z193" s="202">
        <f t="shared" si="63"/>
        <v>2036</v>
      </c>
      <c r="AA193" s="202">
        <f t="shared" si="63"/>
        <v>2037</v>
      </c>
      <c r="AB193" s="202">
        <f t="shared" si="63"/>
        <v>2038</v>
      </c>
      <c r="AC193" s="202">
        <f t="shared" si="63"/>
        <v>2039</v>
      </c>
      <c r="AD193" s="202">
        <f t="shared" si="63"/>
        <v>2040</v>
      </c>
      <c r="AE193" s="202">
        <f t="shared" si="63"/>
        <v>2041</v>
      </c>
      <c r="AF193" s="202">
        <f t="shared" si="63"/>
        <v>2042</v>
      </c>
      <c r="AG193" s="202">
        <f t="shared" si="63"/>
        <v>2043</v>
      </c>
      <c r="AH193" s="202">
        <f t="shared" si="63"/>
        <v>2044</v>
      </c>
      <c r="AI193" s="202">
        <f t="shared" si="63"/>
        <v>2045</v>
      </c>
      <c r="AJ193" s="202">
        <f t="shared" si="63"/>
        <v>2046</v>
      </c>
      <c r="AK193" s="202">
        <f t="shared" si="63"/>
        <v>2047</v>
      </c>
      <c r="AL193" s="202">
        <f t="shared" si="63"/>
        <v>2048</v>
      </c>
      <c r="AM193" s="202">
        <f t="shared" si="63"/>
        <v>2049</v>
      </c>
      <c r="AN193" s="203">
        <f t="shared" si="63"/>
        <v>2050</v>
      </c>
    </row>
    <row r="194" spans="1:40" ht="20.100000000000001" customHeight="1">
      <c r="A194" s="204" t="str">
        <f>IF(C193&lt;B193,"! end year has to be after start year!","")</f>
        <v/>
      </c>
      <c r="B194" s="189"/>
      <c r="C194" s="189"/>
      <c r="D194" s="65"/>
      <c r="E194" s="44"/>
      <c r="F194" s="184" t="str">
        <f t="shared" si="62"/>
        <v>BUS</v>
      </c>
      <c r="G194" s="162" t="str">
        <f t="shared" ref="G194:G199" si="64">G169</f>
        <v>conversion to percentages</v>
      </c>
      <c r="H194" s="162"/>
      <c r="I194" s="162"/>
      <c r="J194" s="162"/>
      <c r="K194" s="107"/>
      <c r="L194" s="163" t="e">
        <f>L187/L$192*100</f>
        <v>#DIV/0!</v>
      </c>
      <c r="M194" s="163">
        <f t="shared" ref="M194:AN198" si="65">M187/M$192*100</f>
        <v>3.8098367796356287</v>
      </c>
      <c r="N194" s="163">
        <f t="shared" si="65"/>
        <v>3.8098367796356296</v>
      </c>
      <c r="O194" s="163">
        <f t="shared" si="65"/>
        <v>6.520821821324656</v>
      </c>
      <c r="P194" s="163">
        <f t="shared" si="65"/>
        <v>6.4573937619925674</v>
      </c>
      <c r="Q194" s="163">
        <f t="shared" si="65"/>
        <v>6.3974515790181892</v>
      </c>
      <c r="R194" s="163">
        <f t="shared" si="65"/>
        <v>6.340731609121657</v>
      </c>
      <c r="S194" s="163">
        <f t="shared" si="65"/>
        <v>6.2869707119982285</v>
      </c>
      <c r="T194" s="163">
        <f t="shared" si="65"/>
        <v>6.2359624500335951</v>
      </c>
      <c r="U194" s="163">
        <f t="shared" si="65"/>
        <v>6.2380267009463877</v>
      </c>
      <c r="V194" s="163">
        <f t="shared" si="65"/>
        <v>6.2380335291376587</v>
      </c>
      <c r="W194" s="163">
        <f t="shared" si="65"/>
        <v>6.2380402898722949</v>
      </c>
      <c r="X194" s="163">
        <f t="shared" si="65"/>
        <v>6.2380658573095085</v>
      </c>
      <c r="Y194" s="163">
        <f t="shared" si="65"/>
        <v>6.2380103088404404</v>
      </c>
      <c r="Z194" s="163">
        <f t="shared" si="65"/>
        <v>6.2379739984042599</v>
      </c>
      <c r="AA194" s="163">
        <f t="shared" si="65"/>
        <v>6.237938047418508</v>
      </c>
      <c r="AB194" s="163">
        <f t="shared" si="65"/>
        <v>6.2379209572760503</v>
      </c>
      <c r="AC194" s="163">
        <f t="shared" si="65"/>
        <v>6.2379224504914816</v>
      </c>
      <c r="AD194" s="163">
        <f t="shared" si="65"/>
        <v>6.2379239289250616</v>
      </c>
      <c r="AE194" s="163">
        <f t="shared" si="65"/>
        <v>6.2379436245449078</v>
      </c>
      <c r="AF194" s="163">
        <f t="shared" si="65"/>
        <v>6.2379631256868411</v>
      </c>
      <c r="AG194" s="163">
        <f t="shared" si="65"/>
        <v>6.2379227783865634</v>
      </c>
      <c r="AH194" s="163">
        <f t="shared" si="65"/>
        <v>6.2378828310031009</v>
      </c>
      <c r="AI194" s="163">
        <f t="shared" si="65"/>
        <v>6.2378611532571817</v>
      </c>
      <c r="AJ194" s="163">
        <f t="shared" si="65"/>
        <v>6.2378396897964308</v>
      </c>
      <c r="AK194" s="163">
        <f t="shared" si="65"/>
        <v>6.2378361375170392</v>
      </c>
      <c r="AL194" s="163">
        <f t="shared" si="65"/>
        <v>6.2378502319502473</v>
      </c>
      <c r="AM194" s="163">
        <f t="shared" si="65"/>
        <v>6.2378641871433276</v>
      </c>
      <c r="AN194" s="164">
        <f t="shared" si="65"/>
        <v>6.23789544152039</v>
      </c>
    </row>
    <row r="195" spans="1:40" ht="20.100000000000001" customHeight="1">
      <c r="A195" s="188" t="str">
        <f>IF(B193&lt;START!$B$2,"Policy period starts before the starting year for the study","")</f>
        <v>Policy period starts before the starting year for the study</v>
      </c>
      <c r="B195" s="65"/>
      <c r="C195" s="65"/>
      <c r="D195" s="65"/>
      <c r="E195" s="44"/>
      <c r="F195" s="184" t="str">
        <f t="shared" si="62"/>
        <v>METRO</v>
      </c>
      <c r="G195" s="162" t="str">
        <f t="shared" si="64"/>
        <v>conversion to percentages</v>
      </c>
      <c r="H195" s="162"/>
      <c r="I195" s="162"/>
      <c r="J195" s="162"/>
      <c r="K195" s="107"/>
      <c r="L195" s="163" t="e">
        <f t="shared" ref="L195:AA198" si="66">L188/L$192*100</f>
        <v>#DIV/0!</v>
      </c>
      <c r="M195" s="163">
        <f t="shared" si="66"/>
        <v>8.0563758771289747E-3</v>
      </c>
      <c r="N195" s="163">
        <f t="shared" si="66"/>
        <v>8.0563758771289747E-3</v>
      </c>
      <c r="O195" s="163">
        <f t="shared" si="66"/>
        <v>7.2075347473464484E-3</v>
      </c>
      <c r="P195" s="163">
        <f t="shared" si="66"/>
        <v>7.2273948147077282E-3</v>
      </c>
      <c r="Q195" s="163">
        <f t="shared" si="66"/>
        <v>7.2461634134034641E-3</v>
      </c>
      <c r="R195" s="163">
        <f t="shared" si="66"/>
        <v>7.2639230994909253E-3</v>
      </c>
      <c r="S195" s="163">
        <f t="shared" si="66"/>
        <v>7.2807562652777566E-3</v>
      </c>
      <c r="T195" s="163">
        <f t="shared" si="66"/>
        <v>7.2967275487959169E-3</v>
      </c>
      <c r="U195" s="163">
        <f t="shared" si="66"/>
        <v>7.2775741492205927E-3</v>
      </c>
      <c r="V195" s="163">
        <f t="shared" si="66"/>
        <v>7.2775720222876409E-3</v>
      </c>
      <c r="W195" s="163">
        <f t="shared" si="66"/>
        <v>7.2775699163669496E-3</v>
      </c>
      <c r="X195" s="163">
        <f t="shared" si="66"/>
        <v>7.2775619522923432E-3</v>
      </c>
      <c r="Y195" s="163">
        <f t="shared" si="66"/>
        <v>7.2775792552448549E-3</v>
      </c>
      <c r="Z195" s="163">
        <f t="shared" si="66"/>
        <v>7.2775905656871313E-3</v>
      </c>
      <c r="AA195" s="163">
        <f t="shared" si="66"/>
        <v>7.2776017641631588E-3</v>
      </c>
      <c r="AB195" s="163">
        <f t="shared" si="65"/>
        <v>7.2776070876208222E-3</v>
      </c>
      <c r="AC195" s="163">
        <f t="shared" si="65"/>
        <v>7.2776066224948506E-3</v>
      </c>
      <c r="AD195" s="163">
        <f t="shared" si="65"/>
        <v>7.2776061619733183E-3</v>
      </c>
      <c r="AE195" s="163">
        <f t="shared" si="65"/>
        <v>7.2776000269280036E-3</v>
      </c>
      <c r="AF195" s="163">
        <f t="shared" si="65"/>
        <v>7.2775939524611748E-3</v>
      </c>
      <c r="AG195" s="163">
        <f t="shared" si="65"/>
        <v>7.277606520357866E-3</v>
      </c>
      <c r="AH195" s="163">
        <f t="shared" si="65"/>
        <v>7.2776189636833194E-3</v>
      </c>
      <c r="AI195" s="163">
        <f t="shared" si="65"/>
        <v>7.2776257161467897E-3</v>
      </c>
      <c r="AJ195" s="163">
        <f t="shared" si="65"/>
        <v>7.2776324018619561E-3</v>
      </c>
      <c r="AK195" s="163">
        <f t="shared" si="65"/>
        <v>7.2776335083716889E-3</v>
      </c>
      <c r="AL195" s="163">
        <f t="shared" si="65"/>
        <v>7.2776291180561212E-3</v>
      </c>
      <c r="AM195" s="163">
        <f t="shared" si="65"/>
        <v>7.277624771112861E-3</v>
      </c>
      <c r="AN195" s="164">
        <f t="shared" si="65"/>
        <v>7.2776150355969935E-3</v>
      </c>
    </row>
    <row r="196" spans="1:40" ht="20.100000000000001" customHeight="1">
      <c r="A196" s="188"/>
      <c r="B196" s="189"/>
      <c r="C196" s="189"/>
      <c r="D196" s="65"/>
      <c r="E196" s="44"/>
      <c r="F196" s="184" t="str">
        <f t="shared" si="62"/>
        <v>TRAM</v>
      </c>
      <c r="G196" s="162" t="str">
        <f t="shared" si="64"/>
        <v>conversion to percentages</v>
      </c>
      <c r="H196" s="162"/>
      <c r="I196" s="162"/>
      <c r="J196" s="162"/>
      <c r="K196" s="107"/>
      <c r="L196" s="163" t="e">
        <f t="shared" si="66"/>
        <v>#DIV/0!</v>
      </c>
      <c r="M196" s="163">
        <f t="shared" si="65"/>
        <v>3.5977788163617059E-3</v>
      </c>
      <c r="N196" s="163">
        <f t="shared" si="65"/>
        <v>3.5977788163617064E-3</v>
      </c>
      <c r="O196" s="163">
        <f t="shared" si="65"/>
        <v>3.2187072981300579E-3</v>
      </c>
      <c r="P196" s="163">
        <f t="shared" si="65"/>
        <v>3.2275763145133136E-3</v>
      </c>
      <c r="Q196" s="163">
        <f t="shared" si="65"/>
        <v>3.235957907903464E-3</v>
      </c>
      <c r="R196" s="163">
        <f t="shared" si="65"/>
        <v>3.2438889458000571E-3</v>
      </c>
      <c r="S196" s="163">
        <f t="shared" si="65"/>
        <v>3.2514062225760944E-3</v>
      </c>
      <c r="T196" s="163">
        <f t="shared" si="65"/>
        <v>3.2585386039828339E-3</v>
      </c>
      <c r="U196" s="163">
        <f t="shared" si="65"/>
        <v>3.2499851680081E-3</v>
      </c>
      <c r="V196" s="163">
        <f t="shared" si="65"/>
        <v>3.2499842181722889E-3</v>
      </c>
      <c r="W196" s="163">
        <f t="shared" si="65"/>
        <v>3.249983277720035E-3</v>
      </c>
      <c r="X196" s="163">
        <f t="shared" si="65"/>
        <v>3.2499797211606898E-3</v>
      </c>
      <c r="Y196" s="163">
        <f t="shared" si="65"/>
        <v>3.2499874482326335E-3</v>
      </c>
      <c r="Z196" s="163">
        <f t="shared" si="65"/>
        <v>3.2499924991972666E-3</v>
      </c>
      <c r="AA196" s="163">
        <f t="shared" si="65"/>
        <v>3.2499975001605338E-3</v>
      </c>
      <c r="AB196" s="163">
        <f t="shared" si="65"/>
        <v>3.2499998774854631E-3</v>
      </c>
      <c r="AC196" s="163">
        <f t="shared" si="65"/>
        <v>3.2499996697716725E-3</v>
      </c>
      <c r="AD196" s="163">
        <f t="shared" si="65"/>
        <v>3.2499994641141121E-3</v>
      </c>
      <c r="AE196" s="163">
        <f t="shared" si="65"/>
        <v>3.2499967243541494E-3</v>
      </c>
      <c r="AF196" s="163">
        <f t="shared" si="65"/>
        <v>3.2499940116470453E-3</v>
      </c>
      <c r="AG196" s="163">
        <f t="shared" si="65"/>
        <v>3.2499996241598145E-3</v>
      </c>
      <c r="AH196" s="163">
        <f t="shared" si="65"/>
        <v>3.2500051810421403E-3</v>
      </c>
      <c r="AI196" s="163">
        <f t="shared" si="65"/>
        <v>3.2500081965258268E-3</v>
      </c>
      <c r="AJ196" s="163">
        <f t="shared" si="65"/>
        <v>3.2500111822013661E-3</v>
      </c>
      <c r="AK196" s="163">
        <f t="shared" si="65"/>
        <v>3.2500116763413294E-3</v>
      </c>
      <c r="AL196" s="163">
        <f t="shared" si="65"/>
        <v>3.2500097157346516E-3</v>
      </c>
      <c r="AM196" s="163">
        <f t="shared" si="65"/>
        <v>3.2500077744969762E-3</v>
      </c>
      <c r="AN196" s="164">
        <f t="shared" si="65"/>
        <v>3.2500034268556442E-3</v>
      </c>
    </row>
    <row r="197" spans="1:40" ht="20.100000000000001" customHeight="1">
      <c r="A197" s="188" t="str">
        <f>IF(B184&lt;START!B2,"!  New residents moving in before starting year for the study","")</f>
        <v>!  New residents moving in before starting year for the study</v>
      </c>
      <c r="B197" s="27"/>
      <c r="C197" s="27"/>
      <c r="D197" s="65"/>
      <c r="E197" s="44"/>
      <c r="F197" s="184" t="str">
        <f t="shared" si="62"/>
        <v>PASSENGER TRAIN</v>
      </c>
      <c r="G197" s="162" t="str">
        <f t="shared" si="64"/>
        <v>conversion to percentages</v>
      </c>
      <c r="H197" s="162"/>
      <c r="I197" s="162"/>
      <c r="J197" s="162"/>
      <c r="K197" s="107"/>
      <c r="L197" s="163" t="e">
        <f t="shared" si="66"/>
        <v>#DIV/0!</v>
      </c>
      <c r="M197" s="163">
        <f t="shared" si="65"/>
        <v>5.3849919975863907</v>
      </c>
      <c r="N197" s="163">
        <f t="shared" si="65"/>
        <v>5.3849919975863907</v>
      </c>
      <c r="O197" s="163">
        <f t="shared" si="65"/>
        <v>12.241480632200918</v>
      </c>
      <c r="P197" s="163">
        <f t="shared" si="65"/>
        <v>12.081061536839488</v>
      </c>
      <c r="Q197" s="163">
        <f t="shared" si="65"/>
        <v>11.92945874671795</v>
      </c>
      <c r="R197" s="163">
        <f t="shared" si="65"/>
        <v>11.786005417772627</v>
      </c>
      <c r="S197" s="163">
        <f t="shared" si="65"/>
        <v>11.650036028622548</v>
      </c>
      <c r="T197" s="163">
        <f t="shared" si="65"/>
        <v>11.521028467513302</v>
      </c>
      <c r="U197" s="163">
        <f t="shared" si="65"/>
        <v>11.490749342462149</v>
      </c>
      <c r="V197" s="163">
        <f t="shared" si="65"/>
        <v>11.490766558735919</v>
      </c>
      <c r="W197" s="163">
        <f t="shared" si="65"/>
        <v>11.490783604927774</v>
      </c>
      <c r="X197" s="163">
        <f t="shared" si="65"/>
        <v>11.490848069436941</v>
      </c>
      <c r="Y197" s="163">
        <f t="shared" si="65"/>
        <v>11.490708012192901</v>
      </c>
      <c r="Z197" s="163">
        <f t="shared" si="65"/>
        <v>11.490616460801707</v>
      </c>
      <c r="AA197" s="163">
        <f t="shared" si="65"/>
        <v>11.490525815711578</v>
      </c>
      <c r="AB197" s="163">
        <f t="shared" si="65"/>
        <v>11.49048272544657</v>
      </c>
      <c r="AC197" s="163">
        <f t="shared" si="65"/>
        <v>11.490486490368292</v>
      </c>
      <c r="AD197" s="163">
        <f t="shared" si="65"/>
        <v>11.490490218019772</v>
      </c>
      <c r="AE197" s="163">
        <f t="shared" si="65"/>
        <v>11.490539877610427</v>
      </c>
      <c r="AF197" s="163">
        <f t="shared" si="65"/>
        <v>11.490589046853804</v>
      </c>
      <c r="AG197" s="163">
        <f t="shared" si="65"/>
        <v>11.490487317107217</v>
      </c>
      <c r="AH197" s="163">
        <f t="shared" si="65"/>
        <v>11.490386595691692</v>
      </c>
      <c r="AI197" s="163">
        <f t="shared" si="65"/>
        <v>11.490331938463488</v>
      </c>
      <c r="AJ197" s="163">
        <f t="shared" si="65"/>
        <v>11.490277821523611</v>
      </c>
      <c r="AK197" s="163">
        <f t="shared" si="65"/>
        <v>11.490268864976835</v>
      </c>
      <c r="AL197" s="163">
        <f t="shared" si="65"/>
        <v>11.490304402004318</v>
      </c>
      <c r="AM197" s="163">
        <f t="shared" si="65"/>
        <v>11.490339587958411</v>
      </c>
      <c r="AN197" s="164">
        <f t="shared" si="65"/>
        <v>11.490418391244786</v>
      </c>
    </row>
    <row r="198" spans="1:40" ht="20.100000000000001" customHeight="1">
      <c r="A198" s="64"/>
      <c r="B198" s="65"/>
      <c r="C198" s="65"/>
      <c r="D198" s="65"/>
      <c r="E198" s="44"/>
      <c r="F198" s="184" t="str">
        <f t="shared" si="62"/>
        <v>PASSENGER CAR</v>
      </c>
      <c r="G198" s="162" t="str">
        <f t="shared" si="64"/>
        <v>conversion to percentages</v>
      </c>
      <c r="H198" s="162"/>
      <c r="I198" s="162"/>
      <c r="J198" s="162"/>
      <c r="K198" s="107"/>
      <c r="L198" s="163" t="e">
        <f t="shared" si="66"/>
        <v>#DIV/0!</v>
      </c>
      <c r="M198" s="163">
        <f t="shared" si="65"/>
        <v>90.793517068084498</v>
      </c>
      <c r="N198" s="163">
        <f t="shared" si="65"/>
        <v>90.793517068084498</v>
      </c>
      <c r="O198" s="163">
        <f t="shared" si="65"/>
        <v>81.227271304428953</v>
      </c>
      <c r="P198" s="163">
        <f t="shared" si="65"/>
        <v>81.451089730038731</v>
      </c>
      <c r="Q198" s="163">
        <f t="shared" si="65"/>
        <v>81.662607552942561</v>
      </c>
      <c r="R198" s="163">
        <f t="shared" si="65"/>
        <v>81.862755161060434</v>
      </c>
      <c r="S198" s="163">
        <f t="shared" si="65"/>
        <v>82.052461096891378</v>
      </c>
      <c r="T198" s="163">
        <f t="shared" si="65"/>
        <v>82.232453816300335</v>
      </c>
      <c r="U198" s="163">
        <f t="shared" si="65"/>
        <v>82.260696397274231</v>
      </c>
      <c r="V198" s="163">
        <f t="shared" si="65"/>
        <v>82.260672355885958</v>
      </c>
      <c r="W198" s="163">
        <f t="shared" si="65"/>
        <v>82.260648552005847</v>
      </c>
      <c r="X198" s="163">
        <f t="shared" si="65"/>
        <v>82.260558531580102</v>
      </c>
      <c r="Y198" s="163">
        <f t="shared" si="65"/>
        <v>82.260754112263186</v>
      </c>
      <c r="Z198" s="163">
        <f t="shared" si="65"/>
        <v>82.260881957729154</v>
      </c>
      <c r="AA198" s="163">
        <f t="shared" si="65"/>
        <v>82.261008537605591</v>
      </c>
      <c r="AB198" s="163">
        <f t="shared" si="65"/>
        <v>82.261068710312273</v>
      </c>
      <c r="AC198" s="163">
        <f t="shared" si="65"/>
        <v>82.261063452847964</v>
      </c>
      <c r="AD198" s="163">
        <f t="shared" si="65"/>
        <v>82.261058247429077</v>
      </c>
      <c r="AE198" s="163">
        <f t="shared" si="65"/>
        <v>82.260988901093384</v>
      </c>
      <c r="AF198" s="163">
        <f t="shared" si="65"/>
        <v>82.260920239495249</v>
      </c>
      <c r="AG198" s="163">
        <f t="shared" si="65"/>
        <v>82.261062298361693</v>
      </c>
      <c r="AH198" s="163">
        <f t="shared" si="65"/>
        <v>82.261202949160477</v>
      </c>
      <c r="AI198" s="163">
        <f t="shared" si="65"/>
        <v>82.261279274366657</v>
      </c>
      <c r="AJ198" s="163">
        <f t="shared" si="65"/>
        <v>82.261354845095894</v>
      </c>
      <c r="AK198" s="163">
        <f t="shared" si="65"/>
        <v>82.261367352321429</v>
      </c>
      <c r="AL198" s="163">
        <f t="shared" si="65"/>
        <v>82.261317727211662</v>
      </c>
      <c r="AM198" s="163">
        <f t="shared" si="65"/>
        <v>82.26126859235265</v>
      </c>
      <c r="AN198" s="164">
        <f t="shared" si="65"/>
        <v>82.261158548772372</v>
      </c>
    </row>
    <row r="199" spans="1:40" ht="20.100000000000001" customHeight="1" thickBot="1">
      <c r="A199" s="64"/>
      <c r="B199" s="65"/>
      <c r="C199" s="65"/>
      <c r="D199" s="65"/>
      <c r="E199" s="44"/>
      <c r="F199" s="180" t="str">
        <f t="shared" si="62"/>
        <v>TOTAL</v>
      </c>
      <c r="G199" s="165" t="str">
        <f t="shared" si="64"/>
        <v>sum of previous rows</v>
      </c>
      <c r="H199" s="165"/>
      <c r="I199" s="165"/>
      <c r="J199" s="165"/>
      <c r="K199" s="109"/>
      <c r="L199" s="166" t="e">
        <f>SUM(L194:L198)</f>
        <v>#DIV/0!</v>
      </c>
      <c r="M199" s="166">
        <f t="shared" ref="M199:AN199" si="67">SUM(M194:M198)</f>
        <v>100</v>
      </c>
      <c r="N199" s="166">
        <f t="shared" si="67"/>
        <v>100.00000000000001</v>
      </c>
      <c r="O199" s="166">
        <f t="shared" si="67"/>
        <v>100</v>
      </c>
      <c r="P199" s="166">
        <f t="shared" si="67"/>
        <v>100</v>
      </c>
      <c r="Q199" s="166">
        <f t="shared" si="67"/>
        <v>100</v>
      </c>
      <c r="R199" s="166">
        <f t="shared" si="67"/>
        <v>100</v>
      </c>
      <c r="S199" s="166">
        <f t="shared" si="67"/>
        <v>100</v>
      </c>
      <c r="T199" s="166">
        <f t="shared" si="67"/>
        <v>100.00000000000001</v>
      </c>
      <c r="U199" s="166">
        <f t="shared" si="67"/>
        <v>100</v>
      </c>
      <c r="V199" s="166">
        <f t="shared" si="67"/>
        <v>100</v>
      </c>
      <c r="W199" s="166">
        <f t="shared" si="67"/>
        <v>100</v>
      </c>
      <c r="X199" s="166">
        <f t="shared" si="67"/>
        <v>100</v>
      </c>
      <c r="Y199" s="166">
        <f t="shared" si="67"/>
        <v>100</v>
      </c>
      <c r="Z199" s="166">
        <f t="shared" si="67"/>
        <v>100</v>
      </c>
      <c r="AA199" s="166">
        <f t="shared" si="67"/>
        <v>100</v>
      </c>
      <c r="AB199" s="166">
        <f t="shared" si="67"/>
        <v>100</v>
      </c>
      <c r="AC199" s="166">
        <f t="shared" si="67"/>
        <v>100</v>
      </c>
      <c r="AD199" s="166">
        <f t="shared" si="67"/>
        <v>100</v>
      </c>
      <c r="AE199" s="166">
        <f t="shared" si="67"/>
        <v>100</v>
      </c>
      <c r="AF199" s="166">
        <f t="shared" si="67"/>
        <v>100</v>
      </c>
      <c r="AG199" s="166">
        <f t="shared" si="67"/>
        <v>100</v>
      </c>
      <c r="AH199" s="166">
        <f t="shared" si="67"/>
        <v>100</v>
      </c>
      <c r="AI199" s="166">
        <f t="shared" si="67"/>
        <v>100</v>
      </c>
      <c r="AJ199" s="166">
        <f t="shared" si="67"/>
        <v>100</v>
      </c>
      <c r="AK199" s="166">
        <f t="shared" si="67"/>
        <v>100.00000000000001</v>
      </c>
      <c r="AL199" s="166">
        <f t="shared" si="67"/>
        <v>100.00000000000001</v>
      </c>
      <c r="AM199" s="166">
        <f t="shared" si="67"/>
        <v>100</v>
      </c>
      <c r="AN199" s="167">
        <f t="shared" si="67"/>
        <v>100</v>
      </c>
    </row>
    <row r="200" spans="1:40" ht="20.100000000000001" customHeight="1">
      <c r="A200" s="64"/>
      <c r="B200" s="65"/>
      <c r="C200" s="65"/>
      <c r="D200" s="65"/>
      <c r="E200" s="44"/>
      <c r="F200" s="168"/>
      <c r="G200" s="168"/>
      <c r="H200" s="168"/>
      <c r="I200" s="168"/>
      <c r="J200" s="168"/>
      <c r="K200" s="168"/>
      <c r="L200" s="168"/>
      <c r="M200" s="168"/>
      <c r="N200" s="168"/>
      <c r="O200" s="168"/>
      <c r="P200" s="168"/>
      <c r="Q200" s="168"/>
      <c r="R200" s="168"/>
      <c r="S200" s="168"/>
      <c r="T200" s="168"/>
      <c r="U200" s="168"/>
      <c r="V200" s="168"/>
      <c r="W200" s="168"/>
      <c r="X200" s="168"/>
      <c r="Y200" s="168"/>
      <c r="Z200" s="168"/>
      <c r="AA200" s="168"/>
      <c r="AB200" s="168"/>
      <c r="AC200" s="168"/>
      <c r="AD200" s="168"/>
      <c r="AE200" s="168"/>
      <c r="AF200" s="168"/>
      <c r="AG200" s="168"/>
      <c r="AH200" s="168"/>
      <c r="AI200" s="168"/>
      <c r="AJ200" s="168"/>
      <c r="AK200" s="168"/>
      <c r="AL200" s="168"/>
      <c r="AM200" s="168"/>
      <c r="AN200" s="168"/>
    </row>
    <row r="201" spans="1:40" ht="20.100000000000001" customHeight="1" thickBot="1">
      <c r="A201" s="64"/>
      <c r="B201" s="65"/>
      <c r="C201" s="65"/>
      <c r="D201" s="65"/>
      <c r="E201" s="44"/>
      <c r="F201" s="205" t="s">
        <v>218</v>
      </c>
      <c r="G201" s="178" t="s">
        <v>90</v>
      </c>
      <c r="H201" s="178"/>
      <c r="I201" s="178"/>
      <c r="J201" s="178"/>
    </row>
    <row r="202" spans="1:40" ht="20.100000000000001" customHeight="1">
      <c r="A202" s="64"/>
      <c r="B202" s="65"/>
      <c r="C202" s="65"/>
      <c r="D202" s="65"/>
      <c r="E202" s="44"/>
      <c r="F202" s="206" t="s">
        <v>219</v>
      </c>
      <c r="G202" s="159"/>
      <c r="H202" s="159"/>
      <c r="I202" s="159"/>
      <c r="J202" s="159"/>
      <c r="K202" s="99">
        <f>K177</f>
        <v>2021</v>
      </c>
      <c r="L202" s="99">
        <f t="shared" ref="L202:AN202" si="68">L177</f>
        <v>2022</v>
      </c>
      <c r="M202" s="99">
        <f t="shared" si="68"/>
        <v>2023</v>
      </c>
      <c r="N202" s="99">
        <f t="shared" si="68"/>
        <v>2024</v>
      </c>
      <c r="O202" s="99">
        <f t="shared" si="68"/>
        <v>2025</v>
      </c>
      <c r="P202" s="99">
        <f t="shared" si="68"/>
        <v>2026</v>
      </c>
      <c r="Q202" s="99">
        <f t="shared" si="68"/>
        <v>2027</v>
      </c>
      <c r="R202" s="99">
        <f t="shared" si="68"/>
        <v>2028</v>
      </c>
      <c r="S202" s="99">
        <f t="shared" si="68"/>
        <v>2029</v>
      </c>
      <c r="T202" s="99">
        <f t="shared" si="68"/>
        <v>2030</v>
      </c>
      <c r="U202" s="99">
        <f t="shared" si="68"/>
        <v>2031</v>
      </c>
      <c r="V202" s="99">
        <f t="shared" si="68"/>
        <v>2032</v>
      </c>
      <c r="W202" s="99">
        <f t="shared" si="68"/>
        <v>2033</v>
      </c>
      <c r="X202" s="99">
        <f t="shared" si="68"/>
        <v>2034</v>
      </c>
      <c r="Y202" s="99">
        <f t="shared" si="68"/>
        <v>2035</v>
      </c>
      <c r="Z202" s="99">
        <f t="shared" si="68"/>
        <v>2036</v>
      </c>
      <c r="AA202" s="99">
        <f t="shared" si="68"/>
        <v>2037</v>
      </c>
      <c r="AB202" s="99">
        <f t="shared" si="68"/>
        <v>2038</v>
      </c>
      <c r="AC202" s="99">
        <f t="shared" si="68"/>
        <v>2039</v>
      </c>
      <c r="AD202" s="99">
        <f t="shared" si="68"/>
        <v>2040</v>
      </c>
      <c r="AE202" s="99">
        <f t="shared" si="68"/>
        <v>2041</v>
      </c>
      <c r="AF202" s="99">
        <f t="shared" si="68"/>
        <v>2042</v>
      </c>
      <c r="AG202" s="99">
        <f t="shared" si="68"/>
        <v>2043</v>
      </c>
      <c r="AH202" s="99">
        <f t="shared" si="68"/>
        <v>2044</v>
      </c>
      <c r="AI202" s="99">
        <f t="shared" si="68"/>
        <v>2045</v>
      </c>
      <c r="AJ202" s="99">
        <f t="shared" si="68"/>
        <v>2046</v>
      </c>
      <c r="AK202" s="99">
        <f t="shared" si="68"/>
        <v>2047</v>
      </c>
      <c r="AL202" s="99">
        <f t="shared" si="68"/>
        <v>2048</v>
      </c>
      <c r="AM202" s="99">
        <f t="shared" si="68"/>
        <v>2049</v>
      </c>
      <c r="AN202" s="100">
        <f t="shared" si="68"/>
        <v>2050</v>
      </c>
    </row>
    <row r="203" spans="1:40" ht="20.100000000000001" customHeight="1" thickBot="1">
      <c r="A203" s="64"/>
      <c r="B203" s="65"/>
      <c r="C203" s="65"/>
      <c r="D203" s="65"/>
      <c r="E203" s="44"/>
      <c r="F203" s="207" t="s">
        <v>220</v>
      </c>
      <c r="G203" s="192"/>
      <c r="H203" s="192"/>
      <c r="I203" s="192"/>
      <c r="J203" s="192"/>
      <c r="K203" s="192"/>
      <c r="L203" s="193">
        <f>IF(AND(L202&gt;(2020+$B$193),L202&lt;(2022+$C$193)),K203+($B$191/($C$193-$B$193+1)),K203)</f>
        <v>0</v>
      </c>
      <c r="M203" s="193">
        <f t="shared" ref="M203:AN203" si="69">IF(AND(M202&gt;(2020+$B$193),M202&lt;(2022+$C$193)),L203+($B$191/($C$193-$B$193+1)),L203)</f>
        <v>3.3333333333333335</v>
      </c>
      <c r="N203" s="193">
        <f t="shared" si="69"/>
        <v>6.666666666666667</v>
      </c>
      <c r="O203" s="193">
        <f t="shared" si="69"/>
        <v>10</v>
      </c>
      <c r="P203" s="193">
        <f t="shared" si="69"/>
        <v>10</v>
      </c>
      <c r="Q203" s="193">
        <f t="shared" si="69"/>
        <v>10</v>
      </c>
      <c r="R203" s="193">
        <f t="shared" si="69"/>
        <v>10</v>
      </c>
      <c r="S203" s="193">
        <f t="shared" si="69"/>
        <v>10</v>
      </c>
      <c r="T203" s="193">
        <f t="shared" si="69"/>
        <v>10</v>
      </c>
      <c r="U203" s="193">
        <f t="shared" si="69"/>
        <v>10</v>
      </c>
      <c r="V203" s="193">
        <f t="shared" si="69"/>
        <v>10</v>
      </c>
      <c r="W203" s="193">
        <f t="shared" si="69"/>
        <v>10</v>
      </c>
      <c r="X203" s="193">
        <f t="shared" si="69"/>
        <v>10</v>
      </c>
      <c r="Y203" s="193">
        <f t="shared" si="69"/>
        <v>10</v>
      </c>
      <c r="Z203" s="193">
        <f t="shared" si="69"/>
        <v>10</v>
      </c>
      <c r="AA203" s="193">
        <f t="shared" si="69"/>
        <v>10</v>
      </c>
      <c r="AB203" s="193">
        <f t="shared" si="69"/>
        <v>10</v>
      </c>
      <c r="AC203" s="193">
        <f t="shared" si="69"/>
        <v>10</v>
      </c>
      <c r="AD203" s="193">
        <f t="shared" si="69"/>
        <v>10</v>
      </c>
      <c r="AE203" s="193">
        <f t="shared" si="69"/>
        <v>10</v>
      </c>
      <c r="AF203" s="193">
        <f t="shared" si="69"/>
        <v>10</v>
      </c>
      <c r="AG203" s="193">
        <f t="shared" si="69"/>
        <v>10</v>
      </c>
      <c r="AH203" s="193">
        <f t="shared" si="69"/>
        <v>10</v>
      </c>
      <c r="AI203" s="193">
        <f t="shared" si="69"/>
        <v>10</v>
      </c>
      <c r="AJ203" s="193">
        <f t="shared" si="69"/>
        <v>10</v>
      </c>
      <c r="AK203" s="193">
        <f t="shared" si="69"/>
        <v>10</v>
      </c>
      <c r="AL203" s="193">
        <f t="shared" si="69"/>
        <v>10</v>
      </c>
      <c r="AM203" s="193">
        <f t="shared" si="69"/>
        <v>10</v>
      </c>
      <c r="AN203" s="194">
        <f t="shared" si="69"/>
        <v>10</v>
      </c>
    </row>
    <row r="204" spans="1:40" ht="20.100000000000001" customHeight="1">
      <c r="A204" s="64"/>
      <c r="B204" s="65"/>
      <c r="C204" s="65"/>
      <c r="D204" s="65"/>
      <c r="E204" s="65"/>
      <c r="F204" s="591" t="s">
        <v>221</v>
      </c>
      <c r="G204" s="592"/>
      <c r="H204" s="429"/>
      <c r="I204" s="429"/>
      <c r="J204" s="429"/>
      <c r="K204" s="208">
        <f>K202</f>
        <v>2021</v>
      </c>
      <c r="L204" s="208">
        <f t="shared" ref="L204:AN204" si="70">L202</f>
        <v>2022</v>
      </c>
      <c r="M204" s="208">
        <f t="shared" si="70"/>
        <v>2023</v>
      </c>
      <c r="N204" s="208">
        <f t="shared" si="70"/>
        <v>2024</v>
      </c>
      <c r="O204" s="208">
        <f t="shared" si="70"/>
        <v>2025</v>
      </c>
      <c r="P204" s="208">
        <f t="shared" si="70"/>
        <v>2026</v>
      </c>
      <c r="Q204" s="208">
        <f t="shared" si="70"/>
        <v>2027</v>
      </c>
      <c r="R204" s="208">
        <f t="shared" si="70"/>
        <v>2028</v>
      </c>
      <c r="S204" s="208">
        <f t="shared" si="70"/>
        <v>2029</v>
      </c>
      <c r="T204" s="208">
        <f t="shared" si="70"/>
        <v>2030</v>
      </c>
      <c r="U204" s="208">
        <f t="shared" si="70"/>
        <v>2031</v>
      </c>
      <c r="V204" s="208">
        <f t="shared" si="70"/>
        <v>2032</v>
      </c>
      <c r="W204" s="208">
        <f t="shared" si="70"/>
        <v>2033</v>
      </c>
      <c r="X204" s="208">
        <f t="shared" si="70"/>
        <v>2034</v>
      </c>
      <c r="Y204" s="208">
        <f t="shared" si="70"/>
        <v>2035</v>
      </c>
      <c r="Z204" s="208">
        <f t="shared" si="70"/>
        <v>2036</v>
      </c>
      <c r="AA204" s="208">
        <f t="shared" si="70"/>
        <v>2037</v>
      </c>
      <c r="AB204" s="208">
        <f t="shared" si="70"/>
        <v>2038</v>
      </c>
      <c r="AC204" s="208">
        <f t="shared" si="70"/>
        <v>2039</v>
      </c>
      <c r="AD204" s="208">
        <f t="shared" si="70"/>
        <v>2040</v>
      </c>
      <c r="AE204" s="208">
        <f t="shared" si="70"/>
        <v>2041</v>
      </c>
      <c r="AF204" s="208">
        <f t="shared" si="70"/>
        <v>2042</v>
      </c>
      <c r="AG204" s="208">
        <f t="shared" si="70"/>
        <v>2043</v>
      </c>
      <c r="AH204" s="208">
        <f t="shared" si="70"/>
        <v>2044</v>
      </c>
      <c r="AI204" s="208">
        <f t="shared" si="70"/>
        <v>2045</v>
      </c>
      <c r="AJ204" s="208">
        <f t="shared" si="70"/>
        <v>2046</v>
      </c>
      <c r="AK204" s="208">
        <f t="shared" si="70"/>
        <v>2047</v>
      </c>
      <c r="AL204" s="208">
        <f t="shared" si="70"/>
        <v>2048</v>
      </c>
      <c r="AM204" s="208">
        <f t="shared" si="70"/>
        <v>2049</v>
      </c>
      <c r="AN204" s="209">
        <f t="shared" si="70"/>
        <v>2050</v>
      </c>
    </row>
    <row r="205" spans="1:40" ht="20.100000000000001" customHeight="1">
      <c r="A205" s="64"/>
      <c r="B205" s="65"/>
      <c r="C205" s="65"/>
      <c r="D205" s="65"/>
      <c r="E205" s="65"/>
      <c r="F205" s="210" t="s">
        <v>78</v>
      </c>
      <c r="G205" s="185" t="s">
        <v>327</v>
      </c>
      <c r="H205" s="185"/>
      <c r="I205" s="185"/>
      <c r="J205" s="185"/>
      <c r="K205" s="107"/>
      <c r="L205" s="107"/>
      <c r="M205" s="107"/>
      <c r="N205" s="107"/>
      <c r="O205" s="107"/>
      <c r="P205" s="107"/>
      <c r="Q205" s="107"/>
      <c r="R205" s="107"/>
      <c r="S205" s="107"/>
      <c r="T205" s="107"/>
      <c r="U205" s="107"/>
      <c r="V205" s="107"/>
      <c r="W205" s="107"/>
      <c r="X205" s="107"/>
      <c r="Y205" s="107"/>
      <c r="Z205" s="107"/>
      <c r="AA205" s="107"/>
      <c r="AB205" s="107"/>
      <c r="AC205" s="107"/>
      <c r="AD205" s="107"/>
      <c r="AE205" s="107"/>
      <c r="AF205" s="107"/>
      <c r="AG205" s="107"/>
      <c r="AH205" s="107"/>
      <c r="AI205" s="107"/>
      <c r="AJ205" s="107"/>
      <c r="AK205" s="107"/>
      <c r="AL205" s="107"/>
      <c r="AM205" s="107"/>
      <c r="AN205" s="211"/>
    </row>
    <row r="206" spans="1:40" ht="20.100000000000001" customHeight="1">
      <c r="A206" s="64"/>
      <c r="B206" s="65"/>
      <c r="C206" s="65"/>
      <c r="D206" s="65"/>
      <c r="E206" s="65"/>
      <c r="F206" s="210" t="s">
        <v>79</v>
      </c>
      <c r="G206" s="185" t="s">
        <v>328</v>
      </c>
      <c r="H206" s="185"/>
      <c r="I206" s="185"/>
      <c r="J206" s="185"/>
      <c r="K206" s="107"/>
      <c r="L206" s="107"/>
      <c r="M206" s="107"/>
      <c r="N206" s="107"/>
      <c r="O206" s="107"/>
      <c r="P206" s="107"/>
      <c r="Q206" s="107"/>
      <c r="R206" s="107"/>
      <c r="S206" s="107"/>
      <c r="T206" s="107"/>
      <c r="U206" s="107"/>
      <c r="V206" s="107"/>
      <c r="W206" s="107"/>
      <c r="X206" s="107"/>
      <c r="Y206" s="107"/>
      <c r="Z206" s="107"/>
      <c r="AA206" s="107"/>
      <c r="AB206" s="107"/>
      <c r="AC206" s="107"/>
      <c r="AD206" s="107"/>
      <c r="AE206" s="107"/>
      <c r="AF206" s="107"/>
      <c r="AG206" s="107"/>
      <c r="AH206" s="107"/>
      <c r="AI206" s="107"/>
      <c r="AJ206" s="107"/>
      <c r="AK206" s="107"/>
      <c r="AL206" s="107"/>
      <c r="AM206" s="107"/>
      <c r="AN206" s="211"/>
    </row>
    <row r="207" spans="1:40" ht="20.100000000000001" customHeight="1" thickBot="1">
      <c r="A207" s="64"/>
      <c r="B207" s="65"/>
      <c r="C207" s="65"/>
      <c r="D207" s="65"/>
      <c r="E207" s="65"/>
      <c r="F207" s="212" t="s">
        <v>80</v>
      </c>
      <c r="G207" s="213" t="s">
        <v>329</v>
      </c>
      <c r="H207" s="213"/>
      <c r="I207" s="213"/>
      <c r="J207" s="213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214"/>
    </row>
    <row r="208" spans="1:40" ht="20.100000000000001" customHeight="1">
      <c r="A208" s="64"/>
      <c r="B208" s="65"/>
      <c r="C208" s="65"/>
      <c r="D208" s="65"/>
      <c r="E208" s="44"/>
    </row>
    <row r="209" spans="1:40" ht="20.100000000000001" customHeight="1">
      <c r="A209" s="64"/>
      <c r="B209" s="65"/>
      <c r="C209" s="65"/>
      <c r="D209" s="65"/>
      <c r="E209" s="44"/>
    </row>
    <row r="210" spans="1:40" ht="20.100000000000001" customHeight="1">
      <c r="A210" s="64"/>
      <c r="B210" s="65"/>
      <c r="C210" s="65"/>
      <c r="D210" s="65"/>
      <c r="E210" s="44"/>
    </row>
    <row r="211" spans="1:40" ht="20.100000000000001" customHeight="1">
      <c r="A211" s="64"/>
      <c r="B211" s="27" t="s">
        <v>190</v>
      </c>
      <c r="C211" s="27"/>
      <c r="D211" s="215"/>
      <c r="E211" s="44"/>
    </row>
    <row r="212" spans="1:40" ht="20.100000000000001" customHeight="1">
      <c r="A212" s="64"/>
      <c r="B212" s="597" t="s">
        <v>191</v>
      </c>
      <c r="C212" s="597" t="s">
        <v>192</v>
      </c>
      <c r="D212" s="65"/>
      <c r="E212" s="44"/>
    </row>
    <row r="213" spans="1:40" ht="20.100000000000001" customHeight="1" thickBot="1">
      <c r="A213" s="64"/>
      <c r="B213" s="597"/>
      <c r="C213" s="597"/>
      <c r="D213" s="603" t="s">
        <v>177</v>
      </c>
      <c r="E213" s="44"/>
    </row>
    <row r="214" spans="1:40" ht="20.100000000000001" customHeight="1" thickBot="1">
      <c r="A214" s="57" t="s">
        <v>184</v>
      </c>
      <c r="B214" s="196">
        <f>2021+C222</f>
        <v>2025</v>
      </c>
      <c r="C214" s="59">
        <f>2021+C222</f>
        <v>2025</v>
      </c>
      <c r="D214" s="604"/>
      <c r="E214" s="42"/>
      <c r="F214" s="216" t="s">
        <v>213</v>
      </c>
      <c r="G214" s="217" t="s">
        <v>90</v>
      </c>
      <c r="H214" s="217"/>
      <c r="I214" s="217"/>
      <c r="J214" s="217"/>
      <c r="K214" s="218"/>
      <c r="L214" s="218"/>
      <c r="M214" s="218"/>
      <c r="N214" s="218"/>
      <c r="O214" s="218"/>
      <c r="P214" s="218"/>
      <c r="Q214" s="218"/>
      <c r="R214" s="218"/>
      <c r="S214" s="218"/>
      <c r="T214" s="218"/>
      <c r="U214" s="218"/>
      <c r="V214" s="218"/>
      <c r="W214" s="218"/>
      <c r="X214" s="218"/>
      <c r="Y214" s="218"/>
      <c r="Z214" s="218"/>
      <c r="AA214" s="218"/>
      <c r="AB214" s="218"/>
      <c r="AC214" s="218"/>
      <c r="AD214" s="218"/>
      <c r="AE214" s="218"/>
      <c r="AF214" s="218"/>
      <c r="AG214" s="218"/>
      <c r="AH214" s="218"/>
      <c r="AI214" s="218"/>
      <c r="AJ214" s="218"/>
      <c r="AK214" s="218"/>
      <c r="AL214" s="218"/>
      <c r="AM214" s="218"/>
      <c r="AN214" s="219"/>
    </row>
    <row r="215" spans="1:40" ht="20.100000000000001" customHeight="1">
      <c r="A215" s="139" t="s">
        <v>180</v>
      </c>
      <c r="B215" s="220">
        <f>INDEX($L$194:$AN$198,1,$C$222)</f>
        <v>6.520821821324656</v>
      </c>
      <c r="C215" s="221">
        <v>45</v>
      </c>
      <c r="D215" s="54">
        <v>25</v>
      </c>
      <c r="E215" s="44"/>
      <c r="F215" s="222" t="s">
        <v>201</v>
      </c>
      <c r="G215" s="223"/>
      <c r="H215" s="223"/>
      <c r="I215" s="223"/>
      <c r="J215" s="223"/>
      <c r="K215" s="99">
        <f t="shared" ref="K215:AN215" si="71">K177</f>
        <v>2021</v>
      </c>
      <c r="L215" s="99">
        <f t="shared" si="71"/>
        <v>2022</v>
      </c>
      <c r="M215" s="99">
        <f t="shared" si="71"/>
        <v>2023</v>
      </c>
      <c r="N215" s="99">
        <f t="shared" si="71"/>
        <v>2024</v>
      </c>
      <c r="O215" s="99">
        <f t="shared" si="71"/>
        <v>2025</v>
      </c>
      <c r="P215" s="99">
        <f t="shared" si="71"/>
        <v>2026</v>
      </c>
      <c r="Q215" s="99">
        <f t="shared" si="71"/>
        <v>2027</v>
      </c>
      <c r="R215" s="99">
        <f t="shared" si="71"/>
        <v>2028</v>
      </c>
      <c r="S215" s="99">
        <f t="shared" si="71"/>
        <v>2029</v>
      </c>
      <c r="T215" s="99">
        <f t="shared" si="71"/>
        <v>2030</v>
      </c>
      <c r="U215" s="99">
        <f t="shared" si="71"/>
        <v>2031</v>
      </c>
      <c r="V215" s="99">
        <f t="shared" si="71"/>
        <v>2032</v>
      </c>
      <c r="W215" s="99">
        <f t="shared" si="71"/>
        <v>2033</v>
      </c>
      <c r="X215" s="99">
        <f t="shared" si="71"/>
        <v>2034</v>
      </c>
      <c r="Y215" s="99">
        <f t="shared" si="71"/>
        <v>2035</v>
      </c>
      <c r="Z215" s="99">
        <f t="shared" si="71"/>
        <v>2036</v>
      </c>
      <c r="AA215" s="99">
        <f t="shared" si="71"/>
        <v>2037</v>
      </c>
      <c r="AB215" s="99">
        <f t="shared" si="71"/>
        <v>2038</v>
      </c>
      <c r="AC215" s="99">
        <f t="shared" si="71"/>
        <v>2039</v>
      </c>
      <c r="AD215" s="99">
        <f t="shared" si="71"/>
        <v>2040</v>
      </c>
      <c r="AE215" s="99">
        <f t="shared" si="71"/>
        <v>2041</v>
      </c>
      <c r="AF215" s="99">
        <f t="shared" si="71"/>
        <v>2042</v>
      </c>
      <c r="AG215" s="99">
        <f t="shared" si="71"/>
        <v>2043</v>
      </c>
      <c r="AH215" s="99">
        <f t="shared" si="71"/>
        <v>2044</v>
      </c>
      <c r="AI215" s="99">
        <f t="shared" si="71"/>
        <v>2045</v>
      </c>
      <c r="AJ215" s="99">
        <f t="shared" si="71"/>
        <v>2046</v>
      </c>
      <c r="AK215" s="99">
        <f t="shared" si="71"/>
        <v>2047</v>
      </c>
      <c r="AL215" s="99">
        <f t="shared" si="71"/>
        <v>2048</v>
      </c>
      <c r="AM215" s="99">
        <f t="shared" si="71"/>
        <v>2049</v>
      </c>
      <c r="AN215" s="100">
        <f t="shared" si="71"/>
        <v>2050</v>
      </c>
    </row>
    <row r="216" spans="1:40" ht="20.100000000000001" customHeight="1">
      <c r="A216" s="139" t="s">
        <v>185</v>
      </c>
      <c r="B216" s="220">
        <f>INDEX($L$194:$AN$198,2,$C$222)</f>
        <v>7.2075347473464484E-3</v>
      </c>
      <c r="C216" s="221">
        <v>2</v>
      </c>
      <c r="D216" s="59"/>
      <c r="E216" s="44"/>
      <c r="F216" s="224" t="str">
        <f>F194</f>
        <v>BUS</v>
      </c>
      <c r="G216" s="162" t="s">
        <v>202</v>
      </c>
      <c r="H216" s="162"/>
      <c r="I216" s="162"/>
      <c r="J216" s="162"/>
      <c r="K216" s="163"/>
      <c r="L216" s="163" t="e">
        <f t="shared" ref="L216:AN216" si="72">L194</f>
        <v>#DIV/0!</v>
      </c>
      <c r="M216" s="163">
        <f t="shared" si="72"/>
        <v>3.8098367796356287</v>
      </c>
      <c r="N216" s="163">
        <f t="shared" si="72"/>
        <v>3.8098367796356296</v>
      </c>
      <c r="O216" s="163">
        <f t="shared" si="72"/>
        <v>6.520821821324656</v>
      </c>
      <c r="P216" s="163">
        <f t="shared" si="72"/>
        <v>6.4573937619925674</v>
      </c>
      <c r="Q216" s="163">
        <f t="shared" si="72"/>
        <v>6.3974515790181892</v>
      </c>
      <c r="R216" s="163">
        <f t="shared" si="72"/>
        <v>6.340731609121657</v>
      </c>
      <c r="S216" s="163">
        <f t="shared" si="72"/>
        <v>6.2869707119982285</v>
      </c>
      <c r="T216" s="163">
        <f t="shared" si="72"/>
        <v>6.2359624500335951</v>
      </c>
      <c r="U216" s="163">
        <f t="shared" si="72"/>
        <v>6.2380267009463877</v>
      </c>
      <c r="V216" s="163">
        <f t="shared" si="72"/>
        <v>6.2380335291376587</v>
      </c>
      <c r="W216" s="163">
        <f t="shared" si="72"/>
        <v>6.2380402898722949</v>
      </c>
      <c r="X216" s="163">
        <f t="shared" si="72"/>
        <v>6.2380658573095085</v>
      </c>
      <c r="Y216" s="163">
        <f t="shared" si="72"/>
        <v>6.2380103088404404</v>
      </c>
      <c r="Z216" s="163">
        <f t="shared" si="72"/>
        <v>6.2379739984042599</v>
      </c>
      <c r="AA216" s="163">
        <f t="shared" si="72"/>
        <v>6.237938047418508</v>
      </c>
      <c r="AB216" s="163">
        <f t="shared" si="72"/>
        <v>6.2379209572760503</v>
      </c>
      <c r="AC216" s="163">
        <f t="shared" si="72"/>
        <v>6.2379224504914816</v>
      </c>
      <c r="AD216" s="163">
        <f t="shared" si="72"/>
        <v>6.2379239289250616</v>
      </c>
      <c r="AE216" s="163">
        <f t="shared" si="72"/>
        <v>6.2379436245449078</v>
      </c>
      <c r="AF216" s="163">
        <f t="shared" si="72"/>
        <v>6.2379631256868411</v>
      </c>
      <c r="AG216" s="163">
        <f t="shared" si="72"/>
        <v>6.2379227783865634</v>
      </c>
      <c r="AH216" s="163">
        <f t="shared" si="72"/>
        <v>6.2378828310031009</v>
      </c>
      <c r="AI216" s="163">
        <f t="shared" si="72"/>
        <v>6.2378611532571817</v>
      </c>
      <c r="AJ216" s="163">
        <f t="shared" si="72"/>
        <v>6.2378396897964308</v>
      </c>
      <c r="AK216" s="163">
        <f t="shared" si="72"/>
        <v>6.2378361375170392</v>
      </c>
      <c r="AL216" s="163">
        <f t="shared" si="72"/>
        <v>6.2378502319502473</v>
      </c>
      <c r="AM216" s="163">
        <f t="shared" si="72"/>
        <v>6.2378641871433276</v>
      </c>
      <c r="AN216" s="164">
        <f t="shared" si="72"/>
        <v>6.23789544152039</v>
      </c>
    </row>
    <row r="217" spans="1:40" ht="20.100000000000001" customHeight="1">
      <c r="A217" s="139" t="s">
        <v>186</v>
      </c>
      <c r="B217" s="220">
        <f>INDEX($L$194:$AN$198,3,$C$222)</f>
        <v>3.2187072981300579E-3</v>
      </c>
      <c r="C217" s="221">
        <v>22</v>
      </c>
      <c r="D217" s="225"/>
      <c r="E217" s="44"/>
      <c r="F217" s="224"/>
      <c r="G217" s="162" t="s">
        <v>193</v>
      </c>
      <c r="H217" s="162"/>
      <c r="I217" s="162"/>
      <c r="J217" s="162"/>
      <c r="K217" s="163">
        <v>0</v>
      </c>
      <c r="L217" s="163">
        <f t="shared" ref="L217:AN217" si="73">IF(L215=($B$222+2021),($C$215-K216)/($C$222-$B$222+1),K217)</f>
        <v>11.25</v>
      </c>
      <c r="M217" s="163">
        <f t="shared" si="73"/>
        <v>11.25</v>
      </c>
      <c r="N217" s="163">
        <f t="shared" si="73"/>
        <v>11.25</v>
      </c>
      <c r="O217" s="163">
        <f t="shared" si="73"/>
        <v>11.25</v>
      </c>
      <c r="P217" s="163">
        <f t="shared" si="73"/>
        <v>11.25</v>
      </c>
      <c r="Q217" s="163">
        <f t="shared" si="73"/>
        <v>11.25</v>
      </c>
      <c r="R217" s="163">
        <f t="shared" si="73"/>
        <v>11.25</v>
      </c>
      <c r="S217" s="163">
        <f t="shared" si="73"/>
        <v>11.25</v>
      </c>
      <c r="T217" s="163">
        <f t="shared" si="73"/>
        <v>11.25</v>
      </c>
      <c r="U217" s="163">
        <f t="shared" si="73"/>
        <v>11.25</v>
      </c>
      <c r="V217" s="163">
        <f t="shared" si="73"/>
        <v>11.25</v>
      </c>
      <c r="W217" s="163">
        <f t="shared" si="73"/>
        <v>11.25</v>
      </c>
      <c r="X217" s="163">
        <f t="shared" si="73"/>
        <v>11.25</v>
      </c>
      <c r="Y217" s="163">
        <f t="shared" si="73"/>
        <v>11.25</v>
      </c>
      <c r="Z217" s="163">
        <f t="shared" si="73"/>
        <v>11.25</v>
      </c>
      <c r="AA217" s="163">
        <f t="shared" si="73"/>
        <v>11.25</v>
      </c>
      <c r="AB217" s="163">
        <f t="shared" si="73"/>
        <v>11.25</v>
      </c>
      <c r="AC217" s="163">
        <f t="shared" si="73"/>
        <v>11.25</v>
      </c>
      <c r="AD217" s="163">
        <f t="shared" si="73"/>
        <v>11.25</v>
      </c>
      <c r="AE217" s="163">
        <f t="shared" si="73"/>
        <v>11.25</v>
      </c>
      <c r="AF217" s="163">
        <f t="shared" si="73"/>
        <v>11.25</v>
      </c>
      <c r="AG217" s="163">
        <f t="shared" si="73"/>
        <v>11.25</v>
      </c>
      <c r="AH217" s="163">
        <f t="shared" si="73"/>
        <v>11.25</v>
      </c>
      <c r="AI217" s="163">
        <f t="shared" si="73"/>
        <v>11.25</v>
      </c>
      <c r="AJ217" s="163">
        <f t="shared" si="73"/>
        <v>11.25</v>
      </c>
      <c r="AK217" s="163">
        <f t="shared" si="73"/>
        <v>11.25</v>
      </c>
      <c r="AL217" s="163">
        <f t="shared" si="73"/>
        <v>11.25</v>
      </c>
      <c r="AM217" s="163">
        <f t="shared" si="73"/>
        <v>11.25</v>
      </c>
      <c r="AN217" s="164">
        <f t="shared" si="73"/>
        <v>11.25</v>
      </c>
    </row>
    <row r="218" spans="1:40" ht="20.100000000000001" customHeight="1">
      <c r="A218" s="139" t="s">
        <v>181</v>
      </c>
      <c r="B218" s="220">
        <f>INDEX($L$194:$AN$198,4,$C$222)</f>
        <v>12.241480632200918</v>
      </c>
      <c r="C218" s="221">
        <v>20</v>
      </c>
      <c r="D218" s="225"/>
      <c r="E218" s="44"/>
      <c r="F218" s="224"/>
      <c r="G218" s="162" t="s">
        <v>203</v>
      </c>
      <c r="H218" s="162"/>
      <c r="I218" s="162"/>
      <c r="J218" s="162"/>
      <c r="K218" s="163">
        <f>K216</f>
        <v>0</v>
      </c>
      <c r="L218" s="163" t="e">
        <f>IF(AND(L215&gt;($B$222+2020),L215&lt;($C$222+2022)),L216+L217,L216)</f>
        <v>#DIV/0!</v>
      </c>
      <c r="M218" s="221" t="e">
        <f t="shared" ref="M218:AN218" si="74">IF(AND(M215&gt;($B$222+2020),M215&lt;($C$222+2022)),L218+M217,L218*(M216/L216))</f>
        <v>#DIV/0!</v>
      </c>
      <c r="N218" s="163" t="e">
        <f t="shared" si="74"/>
        <v>#DIV/0!</v>
      </c>
      <c r="O218" s="163" t="e">
        <f t="shared" si="74"/>
        <v>#DIV/0!</v>
      </c>
      <c r="P218" s="163" t="e">
        <f t="shared" si="74"/>
        <v>#DIV/0!</v>
      </c>
      <c r="Q218" s="163" t="e">
        <f t="shared" si="74"/>
        <v>#DIV/0!</v>
      </c>
      <c r="R218" s="163" t="e">
        <f t="shared" si="74"/>
        <v>#DIV/0!</v>
      </c>
      <c r="S218" s="163" t="e">
        <f t="shared" si="74"/>
        <v>#DIV/0!</v>
      </c>
      <c r="T218" s="163" t="e">
        <f t="shared" si="74"/>
        <v>#DIV/0!</v>
      </c>
      <c r="U218" s="163" t="e">
        <f t="shared" si="74"/>
        <v>#DIV/0!</v>
      </c>
      <c r="V218" s="163" t="e">
        <f t="shared" si="74"/>
        <v>#DIV/0!</v>
      </c>
      <c r="W218" s="163" t="e">
        <f t="shared" si="74"/>
        <v>#DIV/0!</v>
      </c>
      <c r="X218" s="163" t="e">
        <f t="shared" si="74"/>
        <v>#DIV/0!</v>
      </c>
      <c r="Y218" s="163" t="e">
        <f t="shared" si="74"/>
        <v>#DIV/0!</v>
      </c>
      <c r="Z218" s="163" t="e">
        <f t="shared" si="74"/>
        <v>#DIV/0!</v>
      </c>
      <c r="AA218" s="163" t="e">
        <f t="shared" si="74"/>
        <v>#DIV/0!</v>
      </c>
      <c r="AB218" s="163" t="e">
        <f t="shared" si="74"/>
        <v>#DIV/0!</v>
      </c>
      <c r="AC218" s="163" t="e">
        <f t="shared" si="74"/>
        <v>#DIV/0!</v>
      </c>
      <c r="AD218" s="163" t="e">
        <f t="shared" si="74"/>
        <v>#DIV/0!</v>
      </c>
      <c r="AE218" s="163" t="e">
        <f t="shared" si="74"/>
        <v>#DIV/0!</v>
      </c>
      <c r="AF218" s="163" t="e">
        <f t="shared" si="74"/>
        <v>#DIV/0!</v>
      </c>
      <c r="AG218" s="163" t="e">
        <f t="shared" si="74"/>
        <v>#DIV/0!</v>
      </c>
      <c r="AH218" s="163" t="e">
        <f t="shared" si="74"/>
        <v>#DIV/0!</v>
      </c>
      <c r="AI218" s="163" t="e">
        <f t="shared" si="74"/>
        <v>#DIV/0!</v>
      </c>
      <c r="AJ218" s="163" t="e">
        <f t="shared" si="74"/>
        <v>#DIV/0!</v>
      </c>
      <c r="AK218" s="163" t="e">
        <f t="shared" si="74"/>
        <v>#DIV/0!</v>
      </c>
      <c r="AL218" s="163" t="e">
        <f t="shared" si="74"/>
        <v>#DIV/0!</v>
      </c>
      <c r="AM218" s="163" t="e">
        <f t="shared" si="74"/>
        <v>#DIV/0!</v>
      </c>
      <c r="AN218" s="164" t="e">
        <f t="shared" si="74"/>
        <v>#DIV/0!</v>
      </c>
    </row>
    <row r="219" spans="1:40" ht="20.100000000000001" customHeight="1">
      <c r="A219" s="226" t="s">
        <v>182</v>
      </c>
      <c r="B219" s="227">
        <f>INDEX($L$194:$AN$198,5,$C$222)</f>
        <v>81.227271304428953</v>
      </c>
      <c r="C219" s="227">
        <f>100-(SUM(C215:C218))</f>
        <v>11</v>
      </c>
      <c r="D219" s="225"/>
      <c r="E219" s="44"/>
      <c r="F219" s="224" t="str">
        <f>F195</f>
        <v>METRO</v>
      </c>
      <c r="G219" s="162" t="s">
        <v>202</v>
      </c>
      <c r="H219" s="162"/>
      <c r="I219" s="162"/>
      <c r="J219" s="162"/>
      <c r="K219" s="163"/>
      <c r="L219" s="163" t="e">
        <f t="shared" ref="L219:AN219" si="75">L195</f>
        <v>#DIV/0!</v>
      </c>
      <c r="M219" s="163">
        <f t="shared" si="75"/>
        <v>8.0563758771289747E-3</v>
      </c>
      <c r="N219" s="163">
        <f t="shared" si="75"/>
        <v>8.0563758771289747E-3</v>
      </c>
      <c r="O219" s="163">
        <f t="shared" si="75"/>
        <v>7.2075347473464484E-3</v>
      </c>
      <c r="P219" s="163">
        <f t="shared" si="75"/>
        <v>7.2273948147077282E-3</v>
      </c>
      <c r="Q219" s="163">
        <f t="shared" si="75"/>
        <v>7.2461634134034641E-3</v>
      </c>
      <c r="R219" s="163">
        <f t="shared" si="75"/>
        <v>7.2639230994909253E-3</v>
      </c>
      <c r="S219" s="163">
        <f t="shared" si="75"/>
        <v>7.2807562652777566E-3</v>
      </c>
      <c r="T219" s="163">
        <f t="shared" si="75"/>
        <v>7.2967275487959169E-3</v>
      </c>
      <c r="U219" s="163">
        <f t="shared" si="75"/>
        <v>7.2775741492205927E-3</v>
      </c>
      <c r="V219" s="163">
        <f t="shared" si="75"/>
        <v>7.2775720222876409E-3</v>
      </c>
      <c r="W219" s="163">
        <f t="shared" si="75"/>
        <v>7.2775699163669496E-3</v>
      </c>
      <c r="X219" s="163">
        <f t="shared" si="75"/>
        <v>7.2775619522923432E-3</v>
      </c>
      <c r="Y219" s="163">
        <f t="shared" si="75"/>
        <v>7.2775792552448549E-3</v>
      </c>
      <c r="Z219" s="163">
        <f t="shared" si="75"/>
        <v>7.2775905656871313E-3</v>
      </c>
      <c r="AA219" s="163">
        <f t="shared" si="75"/>
        <v>7.2776017641631588E-3</v>
      </c>
      <c r="AB219" s="163">
        <f t="shared" si="75"/>
        <v>7.2776070876208222E-3</v>
      </c>
      <c r="AC219" s="163">
        <f t="shared" si="75"/>
        <v>7.2776066224948506E-3</v>
      </c>
      <c r="AD219" s="163">
        <f t="shared" si="75"/>
        <v>7.2776061619733183E-3</v>
      </c>
      <c r="AE219" s="163">
        <f t="shared" si="75"/>
        <v>7.2776000269280036E-3</v>
      </c>
      <c r="AF219" s="163">
        <f t="shared" si="75"/>
        <v>7.2775939524611748E-3</v>
      </c>
      <c r="AG219" s="163">
        <f t="shared" si="75"/>
        <v>7.277606520357866E-3</v>
      </c>
      <c r="AH219" s="163">
        <f t="shared" si="75"/>
        <v>7.2776189636833194E-3</v>
      </c>
      <c r="AI219" s="163">
        <f t="shared" si="75"/>
        <v>7.2776257161467897E-3</v>
      </c>
      <c r="AJ219" s="163">
        <f t="shared" si="75"/>
        <v>7.2776324018619561E-3</v>
      </c>
      <c r="AK219" s="163">
        <f t="shared" si="75"/>
        <v>7.2776335083716889E-3</v>
      </c>
      <c r="AL219" s="163">
        <f t="shared" si="75"/>
        <v>7.2776291180561212E-3</v>
      </c>
      <c r="AM219" s="163">
        <f t="shared" si="75"/>
        <v>7.277624771112861E-3</v>
      </c>
      <c r="AN219" s="164">
        <f t="shared" si="75"/>
        <v>7.2776150355969935E-3</v>
      </c>
    </row>
    <row r="220" spans="1:40" ht="20.100000000000001" customHeight="1">
      <c r="A220" s="139" t="s">
        <v>183</v>
      </c>
      <c r="B220" s="220">
        <f>SUM(B215:B219)</f>
        <v>100</v>
      </c>
      <c r="C220" s="228">
        <v>100</v>
      </c>
      <c r="D220" s="225"/>
      <c r="E220" s="44"/>
      <c r="F220" s="224"/>
      <c r="G220" s="162" t="s">
        <v>193</v>
      </c>
      <c r="H220" s="162"/>
      <c r="I220" s="162"/>
      <c r="J220" s="162"/>
      <c r="K220" s="163">
        <v>0</v>
      </c>
      <c r="L220" s="163">
        <f t="shared" ref="L220:AN220" si="76">IF(L215=($B$222+2021),($C$215-K219)/($C$222-$B$222+1),K220)</f>
        <v>11.25</v>
      </c>
      <c r="M220" s="163">
        <f t="shared" si="76"/>
        <v>11.25</v>
      </c>
      <c r="N220" s="163">
        <f t="shared" si="76"/>
        <v>11.25</v>
      </c>
      <c r="O220" s="163">
        <f t="shared" si="76"/>
        <v>11.25</v>
      </c>
      <c r="P220" s="163">
        <f t="shared" si="76"/>
        <v>11.25</v>
      </c>
      <c r="Q220" s="163">
        <f t="shared" si="76"/>
        <v>11.25</v>
      </c>
      <c r="R220" s="163">
        <f t="shared" si="76"/>
        <v>11.25</v>
      </c>
      <c r="S220" s="163">
        <f t="shared" si="76"/>
        <v>11.25</v>
      </c>
      <c r="T220" s="163">
        <f t="shared" si="76"/>
        <v>11.25</v>
      </c>
      <c r="U220" s="163">
        <f t="shared" si="76"/>
        <v>11.25</v>
      </c>
      <c r="V220" s="163">
        <f t="shared" si="76"/>
        <v>11.25</v>
      </c>
      <c r="W220" s="163">
        <f t="shared" si="76"/>
        <v>11.25</v>
      </c>
      <c r="X220" s="163">
        <f t="shared" si="76"/>
        <v>11.25</v>
      </c>
      <c r="Y220" s="163">
        <f t="shared" si="76"/>
        <v>11.25</v>
      </c>
      <c r="Z220" s="163">
        <f t="shared" si="76"/>
        <v>11.25</v>
      </c>
      <c r="AA220" s="163">
        <f t="shared" si="76"/>
        <v>11.25</v>
      </c>
      <c r="AB220" s="163">
        <f t="shared" si="76"/>
        <v>11.25</v>
      </c>
      <c r="AC220" s="163">
        <f t="shared" si="76"/>
        <v>11.25</v>
      </c>
      <c r="AD220" s="163">
        <f t="shared" si="76"/>
        <v>11.25</v>
      </c>
      <c r="AE220" s="163">
        <f t="shared" si="76"/>
        <v>11.25</v>
      </c>
      <c r="AF220" s="163">
        <f t="shared" si="76"/>
        <v>11.25</v>
      </c>
      <c r="AG220" s="163">
        <f t="shared" si="76"/>
        <v>11.25</v>
      </c>
      <c r="AH220" s="163">
        <f t="shared" si="76"/>
        <v>11.25</v>
      </c>
      <c r="AI220" s="163">
        <f t="shared" si="76"/>
        <v>11.25</v>
      </c>
      <c r="AJ220" s="163">
        <f t="shared" si="76"/>
        <v>11.25</v>
      </c>
      <c r="AK220" s="163">
        <f t="shared" si="76"/>
        <v>11.25</v>
      </c>
      <c r="AL220" s="163">
        <f t="shared" si="76"/>
        <v>11.25</v>
      </c>
      <c r="AM220" s="163">
        <f t="shared" si="76"/>
        <v>11.25</v>
      </c>
      <c r="AN220" s="164">
        <f t="shared" si="76"/>
        <v>11.25</v>
      </c>
    </row>
    <row r="221" spans="1:40" ht="20.100000000000001" customHeight="1">
      <c r="A221" s="139" t="s">
        <v>175</v>
      </c>
      <c r="B221" s="59" t="s">
        <v>160</v>
      </c>
      <c r="C221" s="59" t="s">
        <v>161</v>
      </c>
      <c r="D221" s="65"/>
      <c r="E221" s="44"/>
      <c r="F221" s="224"/>
      <c r="G221" s="162" t="s">
        <v>203</v>
      </c>
      <c r="H221" s="162"/>
      <c r="I221" s="162"/>
      <c r="J221" s="162"/>
      <c r="K221" s="163">
        <f>K219</f>
        <v>0</v>
      </c>
      <c r="L221" s="163" t="e">
        <f>IF(AND(L215&gt;($B$222+2020),L215&lt;($C$222+2022)),L219+L220,L219)</f>
        <v>#DIV/0!</v>
      </c>
      <c r="M221" s="163" t="e">
        <f t="shared" ref="M221:AN221" si="77">IF(AND(M215&gt;($B$222+2020),M215&lt;($C$222+2022)),L221+M220,L221*(M219/L219))</f>
        <v>#DIV/0!</v>
      </c>
      <c r="N221" s="163" t="e">
        <f t="shared" si="77"/>
        <v>#DIV/0!</v>
      </c>
      <c r="O221" s="163" t="e">
        <f t="shared" si="77"/>
        <v>#DIV/0!</v>
      </c>
      <c r="P221" s="163" t="e">
        <f t="shared" si="77"/>
        <v>#DIV/0!</v>
      </c>
      <c r="Q221" s="163" t="e">
        <f t="shared" si="77"/>
        <v>#DIV/0!</v>
      </c>
      <c r="R221" s="163" t="e">
        <f t="shared" si="77"/>
        <v>#DIV/0!</v>
      </c>
      <c r="S221" s="163" t="e">
        <f t="shared" si="77"/>
        <v>#DIV/0!</v>
      </c>
      <c r="T221" s="163" t="e">
        <f t="shared" si="77"/>
        <v>#DIV/0!</v>
      </c>
      <c r="U221" s="163" t="e">
        <f t="shared" si="77"/>
        <v>#DIV/0!</v>
      </c>
      <c r="V221" s="163" t="e">
        <f t="shared" si="77"/>
        <v>#DIV/0!</v>
      </c>
      <c r="W221" s="163" t="e">
        <f t="shared" si="77"/>
        <v>#DIV/0!</v>
      </c>
      <c r="X221" s="163" t="e">
        <f t="shared" si="77"/>
        <v>#DIV/0!</v>
      </c>
      <c r="Y221" s="163" t="e">
        <f t="shared" si="77"/>
        <v>#DIV/0!</v>
      </c>
      <c r="Z221" s="163" t="e">
        <f t="shared" si="77"/>
        <v>#DIV/0!</v>
      </c>
      <c r="AA221" s="163" t="e">
        <f t="shared" si="77"/>
        <v>#DIV/0!</v>
      </c>
      <c r="AB221" s="163" t="e">
        <f t="shared" si="77"/>
        <v>#DIV/0!</v>
      </c>
      <c r="AC221" s="163" t="e">
        <f t="shared" si="77"/>
        <v>#DIV/0!</v>
      </c>
      <c r="AD221" s="163" t="e">
        <f t="shared" si="77"/>
        <v>#DIV/0!</v>
      </c>
      <c r="AE221" s="163" t="e">
        <f t="shared" si="77"/>
        <v>#DIV/0!</v>
      </c>
      <c r="AF221" s="163" t="e">
        <f t="shared" si="77"/>
        <v>#DIV/0!</v>
      </c>
      <c r="AG221" s="163" t="e">
        <f t="shared" si="77"/>
        <v>#DIV/0!</v>
      </c>
      <c r="AH221" s="163" t="e">
        <f t="shared" si="77"/>
        <v>#DIV/0!</v>
      </c>
      <c r="AI221" s="163" t="e">
        <f t="shared" si="77"/>
        <v>#DIV/0!</v>
      </c>
      <c r="AJ221" s="163" t="e">
        <f t="shared" si="77"/>
        <v>#DIV/0!</v>
      </c>
      <c r="AK221" s="163" t="e">
        <f t="shared" si="77"/>
        <v>#DIV/0!</v>
      </c>
      <c r="AL221" s="163" t="e">
        <f t="shared" si="77"/>
        <v>#DIV/0!</v>
      </c>
      <c r="AM221" s="163" t="e">
        <f t="shared" si="77"/>
        <v>#DIV/0!</v>
      </c>
      <c r="AN221" s="164" t="e">
        <f t="shared" si="77"/>
        <v>#DIV/0!</v>
      </c>
    </row>
    <row r="222" spans="1:40" ht="20.100000000000001" customHeight="1">
      <c r="A222" s="64"/>
      <c r="B222" s="65">
        <v>1</v>
      </c>
      <c r="C222" s="65">
        <v>4</v>
      </c>
      <c r="D222" s="65"/>
      <c r="E222" s="44"/>
      <c r="F222" s="224" t="str">
        <f>F196</f>
        <v>TRAM</v>
      </c>
      <c r="G222" s="162" t="s">
        <v>202</v>
      </c>
      <c r="H222" s="162"/>
      <c r="I222" s="162"/>
      <c r="J222" s="162"/>
      <c r="K222" s="163"/>
      <c r="L222" s="163" t="e">
        <f t="shared" ref="L222:AN222" si="78">L196</f>
        <v>#DIV/0!</v>
      </c>
      <c r="M222" s="163">
        <f t="shared" si="78"/>
        <v>3.5977788163617059E-3</v>
      </c>
      <c r="N222" s="163">
        <f t="shared" si="78"/>
        <v>3.5977788163617064E-3</v>
      </c>
      <c r="O222" s="163">
        <f t="shared" si="78"/>
        <v>3.2187072981300579E-3</v>
      </c>
      <c r="P222" s="163">
        <f t="shared" si="78"/>
        <v>3.2275763145133136E-3</v>
      </c>
      <c r="Q222" s="163">
        <f t="shared" si="78"/>
        <v>3.235957907903464E-3</v>
      </c>
      <c r="R222" s="163">
        <f t="shared" si="78"/>
        <v>3.2438889458000571E-3</v>
      </c>
      <c r="S222" s="163">
        <f t="shared" si="78"/>
        <v>3.2514062225760944E-3</v>
      </c>
      <c r="T222" s="163">
        <f t="shared" si="78"/>
        <v>3.2585386039828339E-3</v>
      </c>
      <c r="U222" s="163">
        <f t="shared" si="78"/>
        <v>3.2499851680081E-3</v>
      </c>
      <c r="V222" s="163">
        <f t="shared" si="78"/>
        <v>3.2499842181722889E-3</v>
      </c>
      <c r="W222" s="163">
        <f t="shared" si="78"/>
        <v>3.249983277720035E-3</v>
      </c>
      <c r="X222" s="163">
        <f t="shared" si="78"/>
        <v>3.2499797211606898E-3</v>
      </c>
      <c r="Y222" s="163">
        <f t="shared" si="78"/>
        <v>3.2499874482326335E-3</v>
      </c>
      <c r="Z222" s="163">
        <f t="shared" si="78"/>
        <v>3.2499924991972666E-3</v>
      </c>
      <c r="AA222" s="163">
        <f t="shared" si="78"/>
        <v>3.2499975001605338E-3</v>
      </c>
      <c r="AB222" s="163">
        <f t="shared" si="78"/>
        <v>3.2499998774854631E-3</v>
      </c>
      <c r="AC222" s="163">
        <f t="shared" si="78"/>
        <v>3.2499996697716725E-3</v>
      </c>
      <c r="AD222" s="163">
        <f t="shared" si="78"/>
        <v>3.2499994641141121E-3</v>
      </c>
      <c r="AE222" s="163">
        <f t="shared" si="78"/>
        <v>3.2499967243541494E-3</v>
      </c>
      <c r="AF222" s="163">
        <f t="shared" si="78"/>
        <v>3.2499940116470453E-3</v>
      </c>
      <c r="AG222" s="163">
        <f t="shared" si="78"/>
        <v>3.2499996241598145E-3</v>
      </c>
      <c r="AH222" s="163">
        <f t="shared" si="78"/>
        <v>3.2500051810421403E-3</v>
      </c>
      <c r="AI222" s="163">
        <f t="shared" si="78"/>
        <v>3.2500081965258268E-3</v>
      </c>
      <c r="AJ222" s="163">
        <f t="shared" si="78"/>
        <v>3.2500111822013661E-3</v>
      </c>
      <c r="AK222" s="163">
        <f t="shared" si="78"/>
        <v>3.2500116763413294E-3</v>
      </c>
      <c r="AL222" s="163">
        <f t="shared" si="78"/>
        <v>3.2500097157346516E-3</v>
      </c>
      <c r="AM222" s="163">
        <f t="shared" si="78"/>
        <v>3.2500077744969762E-3</v>
      </c>
      <c r="AN222" s="164">
        <f t="shared" si="78"/>
        <v>3.2500034268556442E-3</v>
      </c>
    </row>
    <row r="223" spans="1:40" ht="20.100000000000001" customHeight="1">
      <c r="A223" s="188" t="str">
        <f>IF(C222&lt;B222,"! end year has to be after start year!","")</f>
        <v/>
      </c>
      <c r="B223" s="189"/>
      <c r="C223" s="189"/>
      <c r="D223" s="225"/>
      <c r="E223" s="44"/>
      <c r="F223" s="224"/>
      <c r="G223" s="162" t="s">
        <v>193</v>
      </c>
      <c r="H223" s="162"/>
      <c r="I223" s="162"/>
      <c r="J223" s="162"/>
      <c r="K223" s="163">
        <v>0</v>
      </c>
      <c r="L223" s="163">
        <f t="shared" ref="L223:AN223" si="79">IF(L215=($B$222+2021),($C$215-K222)/($C$222-$B$222+1),K223)</f>
        <v>11.25</v>
      </c>
      <c r="M223" s="163">
        <f t="shared" si="79"/>
        <v>11.25</v>
      </c>
      <c r="N223" s="163">
        <f t="shared" si="79"/>
        <v>11.25</v>
      </c>
      <c r="O223" s="163">
        <f t="shared" si="79"/>
        <v>11.25</v>
      </c>
      <c r="P223" s="163">
        <f t="shared" si="79"/>
        <v>11.25</v>
      </c>
      <c r="Q223" s="163">
        <f t="shared" si="79"/>
        <v>11.25</v>
      </c>
      <c r="R223" s="163">
        <f t="shared" si="79"/>
        <v>11.25</v>
      </c>
      <c r="S223" s="163">
        <f t="shared" si="79"/>
        <v>11.25</v>
      </c>
      <c r="T223" s="163">
        <f t="shared" si="79"/>
        <v>11.25</v>
      </c>
      <c r="U223" s="163">
        <f t="shared" si="79"/>
        <v>11.25</v>
      </c>
      <c r="V223" s="163">
        <f t="shared" si="79"/>
        <v>11.25</v>
      </c>
      <c r="W223" s="163">
        <f t="shared" si="79"/>
        <v>11.25</v>
      </c>
      <c r="X223" s="163">
        <f t="shared" si="79"/>
        <v>11.25</v>
      </c>
      <c r="Y223" s="163">
        <f t="shared" si="79"/>
        <v>11.25</v>
      </c>
      <c r="Z223" s="163">
        <f t="shared" si="79"/>
        <v>11.25</v>
      </c>
      <c r="AA223" s="163">
        <f t="shared" si="79"/>
        <v>11.25</v>
      </c>
      <c r="AB223" s="163">
        <f t="shared" si="79"/>
        <v>11.25</v>
      </c>
      <c r="AC223" s="163">
        <f t="shared" si="79"/>
        <v>11.25</v>
      </c>
      <c r="AD223" s="163">
        <f t="shared" si="79"/>
        <v>11.25</v>
      </c>
      <c r="AE223" s="163">
        <f t="shared" si="79"/>
        <v>11.25</v>
      </c>
      <c r="AF223" s="163">
        <f t="shared" si="79"/>
        <v>11.25</v>
      </c>
      <c r="AG223" s="163">
        <f t="shared" si="79"/>
        <v>11.25</v>
      </c>
      <c r="AH223" s="163">
        <f t="shared" si="79"/>
        <v>11.25</v>
      </c>
      <c r="AI223" s="163">
        <f t="shared" si="79"/>
        <v>11.25</v>
      </c>
      <c r="AJ223" s="163">
        <f t="shared" si="79"/>
        <v>11.25</v>
      </c>
      <c r="AK223" s="163">
        <f t="shared" si="79"/>
        <v>11.25</v>
      </c>
      <c r="AL223" s="163">
        <f t="shared" si="79"/>
        <v>11.25</v>
      </c>
      <c r="AM223" s="163">
        <f t="shared" si="79"/>
        <v>11.25</v>
      </c>
      <c r="AN223" s="164">
        <f t="shared" si="79"/>
        <v>11.25</v>
      </c>
    </row>
    <row r="224" spans="1:40" ht="20.100000000000001" customHeight="1">
      <c r="A224" s="188" t="str">
        <f>IF(B222&lt;START!$B$2,"Policy period starts before the starting year for the study","")</f>
        <v>Policy period starts before the starting year for the study</v>
      </c>
      <c r="B224" s="590" t="s">
        <v>1043</v>
      </c>
      <c r="C224" s="590" t="s">
        <v>1044</v>
      </c>
      <c r="D224" s="65"/>
      <c r="E224" s="44"/>
      <c r="F224" s="224"/>
      <c r="G224" s="162" t="s">
        <v>203</v>
      </c>
      <c r="H224" s="162"/>
      <c r="I224" s="162"/>
      <c r="J224" s="162"/>
      <c r="K224" s="163">
        <f>K222</f>
        <v>0</v>
      </c>
      <c r="L224" s="163" t="e">
        <f>IF(AND(L215&gt;($B$222+2020),L215&lt;($C$222+2022)),L222+L223,L222)</f>
        <v>#DIV/0!</v>
      </c>
      <c r="M224" s="163" t="e">
        <f t="shared" ref="M224:AN224" si="80">IF(AND(M215&gt;($B$222+2020),M215&lt;($C$222+2022)),L224+M223,L224*(M222/L222))</f>
        <v>#DIV/0!</v>
      </c>
      <c r="N224" s="163" t="e">
        <f t="shared" si="80"/>
        <v>#DIV/0!</v>
      </c>
      <c r="O224" s="163" t="e">
        <f t="shared" si="80"/>
        <v>#DIV/0!</v>
      </c>
      <c r="P224" s="163" t="e">
        <f t="shared" si="80"/>
        <v>#DIV/0!</v>
      </c>
      <c r="Q224" s="163" t="e">
        <f t="shared" si="80"/>
        <v>#DIV/0!</v>
      </c>
      <c r="R224" s="163" t="e">
        <f t="shared" si="80"/>
        <v>#DIV/0!</v>
      </c>
      <c r="S224" s="163" t="e">
        <f t="shared" si="80"/>
        <v>#DIV/0!</v>
      </c>
      <c r="T224" s="163" t="e">
        <f t="shared" si="80"/>
        <v>#DIV/0!</v>
      </c>
      <c r="U224" s="163" t="e">
        <f t="shared" si="80"/>
        <v>#DIV/0!</v>
      </c>
      <c r="V224" s="163" t="e">
        <f t="shared" si="80"/>
        <v>#DIV/0!</v>
      </c>
      <c r="W224" s="163" t="e">
        <f t="shared" si="80"/>
        <v>#DIV/0!</v>
      </c>
      <c r="X224" s="163" t="e">
        <f t="shared" si="80"/>
        <v>#DIV/0!</v>
      </c>
      <c r="Y224" s="163" t="e">
        <f t="shared" si="80"/>
        <v>#DIV/0!</v>
      </c>
      <c r="Z224" s="163" t="e">
        <f t="shared" si="80"/>
        <v>#DIV/0!</v>
      </c>
      <c r="AA224" s="163" t="e">
        <f t="shared" si="80"/>
        <v>#DIV/0!</v>
      </c>
      <c r="AB224" s="163" t="e">
        <f t="shared" si="80"/>
        <v>#DIV/0!</v>
      </c>
      <c r="AC224" s="163" t="e">
        <f t="shared" si="80"/>
        <v>#DIV/0!</v>
      </c>
      <c r="AD224" s="163" t="e">
        <f t="shared" si="80"/>
        <v>#DIV/0!</v>
      </c>
      <c r="AE224" s="163" t="e">
        <f t="shared" si="80"/>
        <v>#DIV/0!</v>
      </c>
      <c r="AF224" s="163" t="e">
        <f t="shared" si="80"/>
        <v>#DIV/0!</v>
      </c>
      <c r="AG224" s="163" t="e">
        <f t="shared" si="80"/>
        <v>#DIV/0!</v>
      </c>
      <c r="AH224" s="163" t="e">
        <f t="shared" si="80"/>
        <v>#DIV/0!</v>
      </c>
      <c r="AI224" s="163" t="e">
        <f t="shared" si="80"/>
        <v>#DIV/0!</v>
      </c>
      <c r="AJ224" s="163" t="e">
        <f t="shared" si="80"/>
        <v>#DIV/0!</v>
      </c>
      <c r="AK224" s="163" t="e">
        <f t="shared" si="80"/>
        <v>#DIV/0!</v>
      </c>
      <c r="AL224" s="163" t="e">
        <f t="shared" si="80"/>
        <v>#DIV/0!</v>
      </c>
      <c r="AM224" s="163" t="e">
        <f t="shared" si="80"/>
        <v>#DIV/0!</v>
      </c>
      <c r="AN224" s="164" t="e">
        <f t="shared" si="80"/>
        <v>#DIV/0!</v>
      </c>
    </row>
    <row r="225" spans="1:40" ht="20.100000000000001" customHeight="1">
      <c r="A225" s="433"/>
      <c r="B225" s="590"/>
      <c r="C225" s="590"/>
      <c r="D225" s="590" t="s">
        <v>1046</v>
      </c>
      <c r="E225" s="44"/>
      <c r="F225" s="224" t="str">
        <f>F197</f>
        <v>PASSENGER TRAIN</v>
      </c>
      <c r="G225" s="162" t="s">
        <v>202</v>
      </c>
      <c r="H225" s="162"/>
      <c r="I225" s="162"/>
      <c r="J225" s="162"/>
      <c r="K225" s="163"/>
      <c r="L225" s="163" t="e">
        <f t="shared" ref="L225:AN225" si="81">L197</f>
        <v>#DIV/0!</v>
      </c>
      <c r="M225" s="163">
        <f t="shared" si="81"/>
        <v>5.3849919975863907</v>
      </c>
      <c r="N225" s="163">
        <f t="shared" si="81"/>
        <v>5.3849919975863907</v>
      </c>
      <c r="O225" s="163">
        <f t="shared" si="81"/>
        <v>12.241480632200918</v>
      </c>
      <c r="P225" s="163">
        <f t="shared" si="81"/>
        <v>12.081061536839488</v>
      </c>
      <c r="Q225" s="163">
        <f t="shared" si="81"/>
        <v>11.92945874671795</v>
      </c>
      <c r="R225" s="163">
        <f t="shared" si="81"/>
        <v>11.786005417772627</v>
      </c>
      <c r="S225" s="163">
        <f t="shared" si="81"/>
        <v>11.650036028622548</v>
      </c>
      <c r="T225" s="163">
        <f t="shared" si="81"/>
        <v>11.521028467513302</v>
      </c>
      <c r="U225" s="163">
        <f t="shared" si="81"/>
        <v>11.490749342462149</v>
      </c>
      <c r="V225" s="163">
        <f t="shared" si="81"/>
        <v>11.490766558735919</v>
      </c>
      <c r="W225" s="163">
        <f t="shared" si="81"/>
        <v>11.490783604927774</v>
      </c>
      <c r="X225" s="163">
        <f t="shared" si="81"/>
        <v>11.490848069436941</v>
      </c>
      <c r="Y225" s="163">
        <f t="shared" si="81"/>
        <v>11.490708012192901</v>
      </c>
      <c r="Z225" s="163">
        <f t="shared" si="81"/>
        <v>11.490616460801707</v>
      </c>
      <c r="AA225" s="163">
        <f t="shared" si="81"/>
        <v>11.490525815711578</v>
      </c>
      <c r="AB225" s="163">
        <f t="shared" si="81"/>
        <v>11.49048272544657</v>
      </c>
      <c r="AC225" s="163">
        <f t="shared" si="81"/>
        <v>11.490486490368292</v>
      </c>
      <c r="AD225" s="163">
        <f t="shared" si="81"/>
        <v>11.490490218019772</v>
      </c>
      <c r="AE225" s="163">
        <f t="shared" si="81"/>
        <v>11.490539877610427</v>
      </c>
      <c r="AF225" s="163">
        <f t="shared" si="81"/>
        <v>11.490589046853804</v>
      </c>
      <c r="AG225" s="163">
        <f t="shared" si="81"/>
        <v>11.490487317107217</v>
      </c>
      <c r="AH225" s="163">
        <f t="shared" si="81"/>
        <v>11.490386595691692</v>
      </c>
      <c r="AI225" s="163">
        <f t="shared" si="81"/>
        <v>11.490331938463488</v>
      </c>
      <c r="AJ225" s="163">
        <f t="shared" si="81"/>
        <v>11.490277821523611</v>
      </c>
      <c r="AK225" s="163">
        <f t="shared" si="81"/>
        <v>11.490268864976835</v>
      </c>
      <c r="AL225" s="163">
        <f t="shared" si="81"/>
        <v>11.490304402004318</v>
      </c>
      <c r="AM225" s="163">
        <f t="shared" si="81"/>
        <v>11.490339587958411</v>
      </c>
      <c r="AN225" s="164">
        <f t="shared" si="81"/>
        <v>11.490418391244786</v>
      </c>
    </row>
    <row r="226" spans="1:40" ht="20.100000000000001" customHeight="1">
      <c r="A226" s="435" t="s">
        <v>1045</v>
      </c>
      <c r="B226" s="436">
        <f>2020+C232</f>
        <v>2024</v>
      </c>
      <c r="C226" s="434">
        <f>2020+C232</f>
        <v>2024</v>
      </c>
      <c r="D226" s="590"/>
      <c r="E226" s="44"/>
      <c r="F226" s="224"/>
      <c r="G226" s="162" t="s">
        <v>193</v>
      </c>
      <c r="H226" s="162"/>
      <c r="I226" s="162"/>
      <c r="J226" s="162"/>
      <c r="K226" s="163">
        <v>0</v>
      </c>
      <c r="L226" s="163">
        <f t="shared" ref="L226:AN226" si="82">IF(L215=($B$222+2021),($C$215-K225)/($C$222-$B$222+1),K226)</f>
        <v>11.25</v>
      </c>
      <c r="M226" s="163">
        <f t="shared" si="82"/>
        <v>11.25</v>
      </c>
      <c r="N226" s="163">
        <f t="shared" si="82"/>
        <v>11.25</v>
      </c>
      <c r="O226" s="163">
        <f t="shared" si="82"/>
        <v>11.25</v>
      </c>
      <c r="P226" s="163">
        <f t="shared" si="82"/>
        <v>11.25</v>
      </c>
      <c r="Q226" s="163">
        <f t="shared" si="82"/>
        <v>11.25</v>
      </c>
      <c r="R226" s="163">
        <f t="shared" si="82"/>
        <v>11.25</v>
      </c>
      <c r="S226" s="163">
        <f t="shared" si="82"/>
        <v>11.25</v>
      </c>
      <c r="T226" s="163">
        <f t="shared" si="82"/>
        <v>11.25</v>
      </c>
      <c r="U226" s="163">
        <f t="shared" si="82"/>
        <v>11.25</v>
      </c>
      <c r="V226" s="163">
        <f t="shared" si="82"/>
        <v>11.25</v>
      </c>
      <c r="W226" s="163">
        <f t="shared" si="82"/>
        <v>11.25</v>
      </c>
      <c r="X226" s="163">
        <f t="shared" si="82"/>
        <v>11.25</v>
      </c>
      <c r="Y226" s="163">
        <f t="shared" si="82"/>
        <v>11.25</v>
      </c>
      <c r="Z226" s="163">
        <f t="shared" si="82"/>
        <v>11.25</v>
      </c>
      <c r="AA226" s="163">
        <f t="shared" si="82"/>
        <v>11.25</v>
      </c>
      <c r="AB226" s="163">
        <f t="shared" si="82"/>
        <v>11.25</v>
      </c>
      <c r="AC226" s="163">
        <f t="shared" si="82"/>
        <v>11.25</v>
      </c>
      <c r="AD226" s="163">
        <f t="shared" si="82"/>
        <v>11.25</v>
      </c>
      <c r="AE226" s="163">
        <f t="shared" si="82"/>
        <v>11.25</v>
      </c>
      <c r="AF226" s="163">
        <f t="shared" si="82"/>
        <v>11.25</v>
      </c>
      <c r="AG226" s="163">
        <f t="shared" si="82"/>
        <v>11.25</v>
      </c>
      <c r="AH226" s="163">
        <f t="shared" si="82"/>
        <v>11.25</v>
      </c>
      <c r="AI226" s="163">
        <f t="shared" si="82"/>
        <v>11.25</v>
      </c>
      <c r="AJ226" s="163">
        <f t="shared" si="82"/>
        <v>11.25</v>
      </c>
      <c r="AK226" s="163">
        <f t="shared" si="82"/>
        <v>11.25</v>
      </c>
      <c r="AL226" s="163">
        <f t="shared" si="82"/>
        <v>11.25</v>
      </c>
      <c r="AM226" s="163">
        <f t="shared" si="82"/>
        <v>11.25</v>
      </c>
      <c r="AN226" s="164">
        <f t="shared" si="82"/>
        <v>11.25</v>
      </c>
    </row>
    <row r="227" spans="1:40" ht="20.100000000000001" customHeight="1">
      <c r="A227" s="437" t="s">
        <v>1047</v>
      </c>
      <c r="B227" s="438">
        <f>INDEX('[1]LOCAL DATASET INPUTS'!E366:AH368,1,C232)</f>
        <v>0</v>
      </c>
      <c r="C227" s="439">
        <v>30</v>
      </c>
      <c r="D227" s="434" t="s">
        <v>1048</v>
      </c>
      <c r="E227" s="44"/>
      <c r="F227" s="224"/>
      <c r="G227" s="162" t="s">
        <v>203</v>
      </c>
      <c r="H227" s="162"/>
      <c r="I227" s="162"/>
      <c r="J227" s="162"/>
      <c r="K227" s="163">
        <f>K225</f>
        <v>0</v>
      </c>
      <c r="L227" s="163" t="e">
        <f t="shared" ref="L227:AN227" si="83">IF(AND(L215&gt;($B$222+2020),L215&lt;($C$222+2022)),L225+L226,L225)</f>
        <v>#DIV/0!</v>
      </c>
      <c r="M227" s="163">
        <f t="shared" si="83"/>
        <v>16.63499199758639</v>
      </c>
      <c r="N227" s="163">
        <f t="shared" si="83"/>
        <v>16.63499199758639</v>
      </c>
      <c r="O227" s="163">
        <f t="shared" si="83"/>
        <v>23.491480632200918</v>
      </c>
      <c r="P227" s="163">
        <f t="shared" si="83"/>
        <v>12.081061536839488</v>
      </c>
      <c r="Q227" s="163">
        <f t="shared" si="83"/>
        <v>11.92945874671795</v>
      </c>
      <c r="R227" s="163">
        <f t="shared" si="83"/>
        <v>11.786005417772627</v>
      </c>
      <c r="S227" s="163">
        <f t="shared" si="83"/>
        <v>11.650036028622548</v>
      </c>
      <c r="T227" s="163">
        <f t="shared" si="83"/>
        <v>11.521028467513302</v>
      </c>
      <c r="U227" s="163">
        <f t="shared" si="83"/>
        <v>11.490749342462149</v>
      </c>
      <c r="V227" s="163">
        <f t="shared" si="83"/>
        <v>11.490766558735919</v>
      </c>
      <c r="W227" s="163">
        <f t="shared" si="83"/>
        <v>11.490783604927774</v>
      </c>
      <c r="X227" s="163">
        <f t="shared" si="83"/>
        <v>11.490848069436941</v>
      </c>
      <c r="Y227" s="163">
        <f t="shared" si="83"/>
        <v>11.490708012192901</v>
      </c>
      <c r="Z227" s="163">
        <f t="shared" si="83"/>
        <v>11.490616460801707</v>
      </c>
      <c r="AA227" s="163">
        <f t="shared" si="83"/>
        <v>11.490525815711578</v>
      </c>
      <c r="AB227" s="163">
        <f t="shared" si="83"/>
        <v>11.49048272544657</v>
      </c>
      <c r="AC227" s="163">
        <f t="shared" si="83"/>
        <v>11.490486490368292</v>
      </c>
      <c r="AD227" s="163">
        <f t="shared" si="83"/>
        <v>11.490490218019772</v>
      </c>
      <c r="AE227" s="163">
        <f t="shared" si="83"/>
        <v>11.490539877610427</v>
      </c>
      <c r="AF227" s="163">
        <f t="shared" si="83"/>
        <v>11.490589046853804</v>
      </c>
      <c r="AG227" s="163">
        <f t="shared" si="83"/>
        <v>11.490487317107217</v>
      </c>
      <c r="AH227" s="163">
        <f t="shared" si="83"/>
        <v>11.490386595691692</v>
      </c>
      <c r="AI227" s="163">
        <f t="shared" si="83"/>
        <v>11.490331938463488</v>
      </c>
      <c r="AJ227" s="163">
        <f t="shared" si="83"/>
        <v>11.490277821523611</v>
      </c>
      <c r="AK227" s="163">
        <f t="shared" si="83"/>
        <v>11.490268864976835</v>
      </c>
      <c r="AL227" s="163">
        <f t="shared" si="83"/>
        <v>11.490304402004318</v>
      </c>
      <c r="AM227" s="163">
        <f t="shared" si="83"/>
        <v>11.490339587958411</v>
      </c>
      <c r="AN227" s="164">
        <f t="shared" si="83"/>
        <v>11.490418391244786</v>
      </c>
    </row>
    <row r="228" spans="1:40" ht="20.100000000000001" customHeight="1" thickBot="1">
      <c r="A228" s="437" t="s">
        <v>1049</v>
      </c>
      <c r="B228" s="438">
        <f>INDEX('[1]LOCAL DATASET INPUTS'!E366:AH368,3,C232)</f>
        <v>0</v>
      </c>
      <c r="C228" s="439">
        <v>1</v>
      </c>
      <c r="D228" s="260"/>
      <c r="E228" s="44"/>
      <c r="F228" s="229" t="str">
        <f>F198</f>
        <v>PASSENGER CAR</v>
      </c>
      <c r="G228" s="165" t="s">
        <v>211</v>
      </c>
      <c r="H228" s="165"/>
      <c r="I228" s="165"/>
      <c r="J228" s="165"/>
      <c r="K228" s="166"/>
      <c r="L228" s="166" t="e">
        <f>100-(L218+L221+L224+L227)</f>
        <v>#DIV/0!</v>
      </c>
      <c r="M228" s="166" t="e">
        <f t="shared" ref="M228:AN228" si="84">100-(M218+M221+M224+M227)</f>
        <v>#DIV/0!</v>
      </c>
      <c r="N228" s="166" t="e">
        <f t="shared" si="84"/>
        <v>#DIV/0!</v>
      </c>
      <c r="O228" s="166" t="e">
        <f t="shared" si="84"/>
        <v>#DIV/0!</v>
      </c>
      <c r="P228" s="166" t="e">
        <f t="shared" si="84"/>
        <v>#DIV/0!</v>
      </c>
      <c r="Q228" s="166" t="e">
        <f t="shared" si="84"/>
        <v>#DIV/0!</v>
      </c>
      <c r="R228" s="166" t="e">
        <f t="shared" si="84"/>
        <v>#DIV/0!</v>
      </c>
      <c r="S228" s="166" t="e">
        <f t="shared" si="84"/>
        <v>#DIV/0!</v>
      </c>
      <c r="T228" s="166" t="e">
        <f t="shared" si="84"/>
        <v>#DIV/0!</v>
      </c>
      <c r="U228" s="166" t="e">
        <f t="shared" si="84"/>
        <v>#DIV/0!</v>
      </c>
      <c r="V228" s="166" t="e">
        <f t="shared" si="84"/>
        <v>#DIV/0!</v>
      </c>
      <c r="W228" s="166" t="e">
        <f t="shared" si="84"/>
        <v>#DIV/0!</v>
      </c>
      <c r="X228" s="166" t="e">
        <f t="shared" si="84"/>
        <v>#DIV/0!</v>
      </c>
      <c r="Y228" s="166" t="e">
        <f t="shared" si="84"/>
        <v>#DIV/0!</v>
      </c>
      <c r="Z228" s="166" t="e">
        <f t="shared" si="84"/>
        <v>#DIV/0!</v>
      </c>
      <c r="AA228" s="166" t="e">
        <f t="shared" si="84"/>
        <v>#DIV/0!</v>
      </c>
      <c r="AB228" s="166" t="e">
        <f t="shared" si="84"/>
        <v>#DIV/0!</v>
      </c>
      <c r="AC228" s="166" t="e">
        <f t="shared" si="84"/>
        <v>#DIV/0!</v>
      </c>
      <c r="AD228" s="166" t="e">
        <f t="shared" si="84"/>
        <v>#DIV/0!</v>
      </c>
      <c r="AE228" s="166" t="e">
        <f t="shared" si="84"/>
        <v>#DIV/0!</v>
      </c>
      <c r="AF228" s="166" t="e">
        <f t="shared" si="84"/>
        <v>#DIV/0!</v>
      </c>
      <c r="AG228" s="166" t="e">
        <f t="shared" si="84"/>
        <v>#DIV/0!</v>
      </c>
      <c r="AH228" s="166" t="e">
        <f t="shared" si="84"/>
        <v>#DIV/0!</v>
      </c>
      <c r="AI228" s="166" t="e">
        <f t="shared" si="84"/>
        <v>#DIV/0!</v>
      </c>
      <c r="AJ228" s="166" t="e">
        <f t="shared" si="84"/>
        <v>#DIV/0!</v>
      </c>
      <c r="AK228" s="166" t="e">
        <f t="shared" si="84"/>
        <v>#DIV/0!</v>
      </c>
      <c r="AL228" s="166" t="e">
        <f t="shared" si="84"/>
        <v>#DIV/0!</v>
      </c>
      <c r="AM228" s="166" t="e">
        <f t="shared" si="84"/>
        <v>#DIV/0!</v>
      </c>
      <c r="AN228" s="167" t="e">
        <f t="shared" si="84"/>
        <v>#DIV/0!</v>
      </c>
    </row>
    <row r="229" spans="1:40" ht="20.100000000000001" customHeight="1">
      <c r="A229" s="440" t="s">
        <v>1050</v>
      </c>
      <c r="B229" s="441">
        <f>INDEX('[1]LOCAL DATASET INPUTS'!E366:AH368,2,C232)</f>
        <v>0</v>
      </c>
      <c r="C229" s="442">
        <f>100-(C227+C228)</f>
        <v>69</v>
      </c>
      <c r="D229" s="260"/>
      <c r="E229" s="44"/>
      <c r="F229" s="230" t="s">
        <v>208</v>
      </c>
      <c r="G229" s="159"/>
      <c r="H229" s="159"/>
      <c r="I229" s="159"/>
      <c r="J229" s="159"/>
      <c r="K229" s="99">
        <f>K215</f>
        <v>2021</v>
      </c>
      <c r="L229" s="99">
        <f>L215</f>
        <v>2022</v>
      </c>
      <c r="M229" s="99">
        <f t="shared" ref="M229:AN229" si="85">M215</f>
        <v>2023</v>
      </c>
      <c r="N229" s="99">
        <f t="shared" si="85"/>
        <v>2024</v>
      </c>
      <c r="O229" s="99">
        <f t="shared" si="85"/>
        <v>2025</v>
      </c>
      <c r="P229" s="99">
        <f t="shared" si="85"/>
        <v>2026</v>
      </c>
      <c r="Q229" s="99">
        <f t="shared" si="85"/>
        <v>2027</v>
      </c>
      <c r="R229" s="99">
        <f t="shared" si="85"/>
        <v>2028</v>
      </c>
      <c r="S229" s="99">
        <f t="shared" si="85"/>
        <v>2029</v>
      </c>
      <c r="T229" s="99">
        <f t="shared" si="85"/>
        <v>2030</v>
      </c>
      <c r="U229" s="99">
        <f t="shared" si="85"/>
        <v>2031</v>
      </c>
      <c r="V229" s="99">
        <f t="shared" si="85"/>
        <v>2032</v>
      </c>
      <c r="W229" s="99">
        <f t="shared" si="85"/>
        <v>2033</v>
      </c>
      <c r="X229" s="99">
        <f t="shared" si="85"/>
        <v>2034</v>
      </c>
      <c r="Y229" s="99">
        <f t="shared" si="85"/>
        <v>2035</v>
      </c>
      <c r="Z229" s="99">
        <f t="shared" si="85"/>
        <v>2036</v>
      </c>
      <c r="AA229" s="99">
        <f t="shared" si="85"/>
        <v>2037</v>
      </c>
      <c r="AB229" s="99">
        <f t="shared" si="85"/>
        <v>2038</v>
      </c>
      <c r="AC229" s="99">
        <f t="shared" si="85"/>
        <v>2039</v>
      </c>
      <c r="AD229" s="99">
        <f t="shared" si="85"/>
        <v>2040</v>
      </c>
      <c r="AE229" s="99">
        <f t="shared" si="85"/>
        <v>2041</v>
      </c>
      <c r="AF229" s="99">
        <f t="shared" si="85"/>
        <v>2042</v>
      </c>
      <c r="AG229" s="99">
        <f t="shared" si="85"/>
        <v>2043</v>
      </c>
      <c r="AH229" s="99">
        <f t="shared" si="85"/>
        <v>2044</v>
      </c>
      <c r="AI229" s="99">
        <f t="shared" si="85"/>
        <v>2045</v>
      </c>
      <c r="AJ229" s="99">
        <f t="shared" si="85"/>
        <v>2046</v>
      </c>
      <c r="AK229" s="99">
        <f t="shared" si="85"/>
        <v>2047</v>
      </c>
      <c r="AL229" s="99">
        <f t="shared" si="85"/>
        <v>2048</v>
      </c>
      <c r="AM229" s="99">
        <f t="shared" si="85"/>
        <v>2049</v>
      </c>
      <c r="AN229" s="100">
        <f t="shared" si="85"/>
        <v>2050</v>
      </c>
    </row>
    <row r="230" spans="1:40" ht="20.100000000000001" customHeight="1">
      <c r="A230" s="437" t="s">
        <v>183</v>
      </c>
      <c r="B230" s="438">
        <f>SUM(B227:B229)</f>
        <v>0</v>
      </c>
      <c r="C230" s="443">
        <v>100</v>
      </c>
      <c r="D230" s="260"/>
      <c r="E230" s="44"/>
      <c r="F230" s="106" t="str">
        <f t="shared" ref="F230:F235" si="86">F194</f>
        <v>BUS</v>
      </c>
      <c r="G230" s="68" t="s">
        <v>209</v>
      </c>
      <c r="H230" s="68"/>
      <c r="I230" s="68"/>
      <c r="J230" s="68"/>
      <c r="K230" s="107"/>
      <c r="L230" s="163" t="e">
        <f>(L218/100)*$L$192</f>
        <v>#DIV/0!</v>
      </c>
      <c r="M230" s="163" t="e">
        <f t="shared" ref="M230:AN230" si="87">(M218/100)*$L$192</f>
        <v>#DIV/0!</v>
      </c>
      <c r="N230" s="163" t="e">
        <f t="shared" si="87"/>
        <v>#DIV/0!</v>
      </c>
      <c r="O230" s="163" t="e">
        <f t="shared" si="87"/>
        <v>#DIV/0!</v>
      </c>
      <c r="P230" s="163" t="e">
        <f t="shared" si="87"/>
        <v>#DIV/0!</v>
      </c>
      <c r="Q230" s="163" t="e">
        <f t="shared" si="87"/>
        <v>#DIV/0!</v>
      </c>
      <c r="R230" s="163" t="e">
        <f t="shared" si="87"/>
        <v>#DIV/0!</v>
      </c>
      <c r="S230" s="163" t="e">
        <f t="shared" si="87"/>
        <v>#DIV/0!</v>
      </c>
      <c r="T230" s="163" t="e">
        <f t="shared" si="87"/>
        <v>#DIV/0!</v>
      </c>
      <c r="U230" s="163" t="e">
        <f t="shared" si="87"/>
        <v>#DIV/0!</v>
      </c>
      <c r="V230" s="163" t="e">
        <f t="shared" si="87"/>
        <v>#DIV/0!</v>
      </c>
      <c r="W230" s="163" t="e">
        <f t="shared" si="87"/>
        <v>#DIV/0!</v>
      </c>
      <c r="X230" s="163" t="e">
        <f t="shared" si="87"/>
        <v>#DIV/0!</v>
      </c>
      <c r="Y230" s="163" t="e">
        <f t="shared" si="87"/>
        <v>#DIV/0!</v>
      </c>
      <c r="Z230" s="163" t="e">
        <f t="shared" si="87"/>
        <v>#DIV/0!</v>
      </c>
      <c r="AA230" s="163" t="e">
        <f t="shared" si="87"/>
        <v>#DIV/0!</v>
      </c>
      <c r="AB230" s="163" t="e">
        <f t="shared" si="87"/>
        <v>#DIV/0!</v>
      </c>
      <c r="AC230" s="163" t="e">
        <f t="shared" si="87"/>
        <v>#DIV/0!</v>
      </c>
      <c r="AD230" s="163" t="e">
        <f t="shared" si="87"/>
        <v>#DIV/0!</v>
      </c>
      <c r="AE230" s="163" t="e">
        <f t="shared" si="87"/>
        <v>#DIV/0!</v>
      </c>
      <c r="AF230" s="163" t="e">
        <f t="shared" si="87"/>
        <v>#DIV/0!</v>
      </c>
      <c r="AG230" s="163" t="e">
        <f t="shared" si="87"/>
        <v>#DIV/0!</v>
      </c>
      <c r="AH230" s="163" t="e">
        <f t="shared" si="87"/>
        <v>#DIV/0!</v>
      </c>
      <c r="AI230" s="163" t="e">
        <f t="shared" si="87"/>
        <v>#DIV/0!</v>
      </c>
      <c r="AJ230" s="163" t="e">
        <f t="shared" si="87"/>
        <v>#DIV/0!</v>
      </c>
      <c r="AK230" s="163" t="e">
        <f t="shared" si="87"/>
        <v>#DIV/0!</v>
      </c>
      <c r="AL230" s="163" t="e">
        <f t="shared" si="87"/>
        <v>#DIV/0!</v>
      </c>
      <c r="AM230" s="163" t="e">
        <f t="shared" si="87"/>
        <v>#DIV/0!</v>
      </c>
      <c r="AN230" s="164" t="e">
        <f t="shared" si="87"/>
        <v>#DIV/0!</v>
      </c>
    </row>
    <row r="231" spans="1:40" ht="20.100000000000001" customHeight="1">
      <c r="A231" s="139" t="s">
        <v>175</v>
      </c>
      <c r="B231" s="59" t="s">
        <v>160</v>
      </c>
      <c r="C231" s="59" t="s">
        <v>161</v>
      </c>
      <c r="D231" s="65"/>
      <c r="E231" s="44"/>
      <c r="F231" s="106" t="str">
        <f t="shared" si="86"/>
        <v>METRO</v>
      </c>
      <c r="G231" s="68" t="s">
        <v>209</v>
      </c>
      <c r="H231" s="68"/>
      <c r="I231" s="68"/>
      <c r="J231" s="68"/>
      <c r="K231" s="107"/>
      <c r="L231" s="163" t="e">
        <f>(L221/100)*$L$192</f>
        <v>#DIV/0!</v>
      </c>
      <c r="M231" s="163" t="e">
        <f t="shared" ref="M231:AN231" si="88">(M221/100)*$L$192</f>
        <v>#DIV/0!</v>
      </c>
      <c r="N231" s="163" t="e">
        <f t="shared" si="88"/>
        <v>#DIV/0!</v>
      </c>
      <c r="O231" s="163" t="e">
        <f t="shared" si="88"/>
        <v>#DIV/0!</v>
      </c>
      <c r="P231" s="163" t="e">
        <f t="shared" si="88"/>
        <v>#DIV/0!</v>
      </c>
      <c r="Q231" s="163" t="e">
        <f t="shared" si="88"/>
        <v>#DIV/0!</v>
      </c>
      <c r="R231" s="163" t="e">
        <f t="shared" si="88"/>
        <v>#DIV/0!</v>
      </c>
      <c r="S231" s="163" t="e">
        <f t="shared" si="88"/>
        <v>#DIV/0!</v>
      </c>
      <c r="T231" s="163" t="e">
        <f t="shared" si="88"/>
        <v>#DIV/0!</v>
      </c>
      <c r="U231" s="163" t="e">
        <f t="shared" si="88"/>
        <v>#DIV/0!</v>
      </c>
      <c r="V231" s="163" t="e">
        <f t="shared" si="88"/>
        <v>#DIV/0!</v>
      </c>
      <c r="W231" s="163" t="e">
        <f t="shared" si="88"/>
        <v>#DIV/0!</v>
      </c>
      <c r="X231" s="163" t="e">
        <f t="shared" si="88"/>
        <v>#DIV/0!</v>
      </c>
      <c r="Y231" s="163" t="e">
        <f t="shared" si="88"/>
        <v>#DIV/0!</v>
      </c>
      <c r="Z231" s="163" t="e">
        <f t="shared" si="88"/>
        <v>#DIV/0!</v>
      </c>
      <c r="AA231" s="163" t="e">
        <f t="shared" si="88"/>
        <v>#DIV/0!</v>
      </c>
      <c r="AB231" s="163" t="e">
        <f t="shared" si="88"/>
        <v>#DIV/0!</v>
      </c>
      <c r="AC231" s="163" t="e">
        <f t="shared" si="88"/>
        <v>#DIV/0!</v>
      </c>
      <c r="AD231" s="163" t="e">
        <f t="shared" si="88"/>
        <v>#DIV/0!</v>
      </c>
      <c r="AE231" s="163" t="e">
        <f t="shared" si="88"/>
        <v>#DIV/0!</v>
      </c>
      <c r="AF231" s="163" t="e">
        <f t="shared" si="88"/>
        <v>#DIV/0!</v>
      </c>
      <c r="AG231" s="163" t="e">
        <f t="shared" si="88"/>
        <v>#DIV/0!</v>
      </c>
      <c r="AH231" s="163" t="e">
        <f t="shared" si="88"/>
        <v>#DIV/0!</v>
      </c>
      <c r="AI231" s="163" t="e">
        <f t="shared" si="88"/>
        <v>#DIV/0!</v>
      </c>
      <c r="AJ231" s="163" t="e">
        <f t="shared" si="88"/>
        <v>#DIV/0!</v>
      </c>
      <c r="AK231" s="163" t="e">
        <f t="shared" si="88"/>
        <v>#DIV/0!</v>
      </c>
      <c r="AL231" s="163" t="e">
        <f t="shared" si="88"/>
        <v>#DIV/0!</v>
      </c>
      <c r="AM231" s="163" t="e">
        <f t="shared" si="88"/>
        <v>#DIV/0!</v>
      </c>
      <c r="AN231" s="164" t="e">
        <f t="shared" si="88"/>
        <v>#DIV/0!</v>
      </c>
    </row>
    <row r="232" spans="1:40" ht="20.100000000000001" customHeight="1">
      <c r="A232" s="64"/>
      <c r="B232" s="65">
        <v>1</v>
      </c>
      <c r="C232" s="65">
        <v>4</v>
      </c>
      <c r="D232" s="65"/>
      <c r="E232" s="44"/>
      <c r="F232" s="106" t="str">
        <f t="shared" si="86"/>
        <v>TRAM</v>
      </c>
      <c r="G232" s="68" t="s">
        <v>209</v>
      </c>
      <c r="H232" s="68"/>
      <c r="I232" s="68"/>
      <c r="J232" s="68"/>
      <c r="K232" s="107"/>
      <c r="L232" s="163" t="e">
        <f>(L224/100)*$L$192</f>
        <v>#DIV/0!</v>
      </c>
      <c r="M232" s="163" t="e">
        <f t="shared" ref="M232:AN232" si="89">(M224/100)*$L$192</f>
        <v>#DIV/0!</v>
      </c>
      <c r="N232" s="163" t="e">
        <f t="shared" si="89"/>
        <v>#DIV/0!</v>
      </c>
      <c r="O232" s="163" t="e">
        <f t="shared" si="89"/>
        <v>#DIV/0!</v>
      </c>
      <c r="P232" s="163" t="e">
        <f t="shared" si="89"/>
        <v>#DIV/0!</v>
      </c>
      <c r="Q232" s="163" t="e">
        <f t="shared" si="89"/>
        <v>#DIV/0!</v>
      </c>
      <c r="R232" s="163" t="e">
        <f t="shared" si="89"/>
        <v>#DIV/0!</v>
      </c>
      <c r="S232" s="163" t="e">
        <f t="shared" si="89"/>
        <v>#DIV/0!</v>
      </c>
      <c r="T232" s="163" t="e">
        <f t="shared" si="89"/>
        <v>#DIV/0!</v>
      </c>
      <c r="U232" s="163" t="e">
        <f t="shared" si="89"/>
        <v>#DIV/0!</v>
      </c>
      <c r="V232" s="163" t="e">
        <f t="shared" si="89"/>
        <v>#DIV/0!</v>
      </c>
      <c r="W232" s="163" t="e">
        <f t="shared" si="89"/>
        <v>#DIV/0!</v>
      </c>
      <c r="X232" s="163" t="e">
        <f t="shared" si="89"/>
        <v>#DIV/0!</v>
      </c>
      <c r="Y232" s="163" t="e">
        <f t="shared" si="89"/>
        <v>#DIV/0!</v>
      </c>
      <c r="Z232" s="163" t="e">
        <f t="shared" si="89"/>
        <v>#DIV/0!</v>
      </c>
      <c r="AA232" s="163" t="e">
        <f t="shared" si="89"/>
        <v>#DIV/0!</v>
      </c>
      <c r="AB232" s="163" t="e">
        <f t="shared" si="89"/>
        <v>#DIV/0!</v>
      </c>
      <c r="AC232" s="163" t="e">
        <f t="shared" si="89"/>
        <v>#DIV/0!</v>
      </c>
      <c r="AD232" s="163" t="e">
        <f t="shared" si="89"/>
        <v>#DIV/0!</v>
      </c>
      <c r="AE232" s="163" t="e">
        <f t="shared" si="89"/>
        <v>#DIV/0!</v>
      </c>
      <c r="AF232" s="163" t="e">
        <f t="shared" si="89"/>
        <v>#DIV/0!</v>
      </c>
      <c r="AG232" s="163" t="e">
        <f t="shared" si="89"/>
        <v>#DIV/0!</v>
      </c>
      <c r="AH232" s="163" t="e">
        <f t="shared" si="89"/>
        <v>#DIV/0!</v>
      </c>
      <c r="AI232" s="163" t="e">
        <f t="shared" si="89"/>
        <v>#DIV/0!</v>
      </c>
      <c r="AJ232" s="163" t="e">
        <f t="shared" si="89"/>
        <v>#DIV/0!</v>
      </c>
      <c r="AK232" s="163" t="e">
        <f t="shared" si="89"/>
        <v>#DIV/0!</v>
      </c>
      <c r="AL232" s="163" t="e">
        <f t="shared" si="89"/>
        <v>#DIV/0!</v>
      </c>
      <c r="AM232" s="163" t="e">
        <f t="shared" si="89"/>
        <v>#DIV/0!</v>
      </c>
      <c r="AN232" s="164" t="e">
        <f t="shared" si="89"/>
        <v>#DIV/0!</v>
      </c>
    </row>
    <row r="233" spans="1:40" ht="20.100000000000001" customHeight="1">
      <c r="A233" s="188" t="str">
        <f>IF(C232&lt;B232,"! end year has to be after start year!","")</f>
        <v/>
      </c>
      <c r="B233" s="189"/>
      <c r="C233" s="189"/>
      <c r="D233" s="225"/>
      <c r="E233" s="44"/>
      <c r="F233" s="106" t="str">
        <f t="shared" si="86"/>
        <v>PASSENGER TRAIN</v>
      </c>
      <c r="G233" s="68" t="s">
        <v>209</v>
      </c>
      <c r="H233" s="68"/>
      <c r="I233" s="68"/>
      <c r="J233" s="68"/>
      <c r="K233" s="107"/>
      <c r="L233" s="163" t="e">
        <f>(L227/100)*$L$192</f>
        <v>#DIV/0!</v>
      </c>
      <c r="M233" s="163" t="e">
        <f t="shared" ref="M233:AN233" si="90">(M227/100)*$L$192</f>
        <v>#DIV/0!</v>
      </c>
      <c r="N233" s="163" t="e">
        <f t="shared" si="90"/>
        <v>#DIV/0!</v>
      </c>
      <c r="O233" s="163" t="e">
        <f t="shared" si="90"/>
        <v>#DIV/0!</v>
      </c>
      <c r="P233" s="163" t="e">
        <f t="shared" si="90"/>
        <v>#DIV/0!</v>
      </c>
      <c r="Q233" s="163" t="e">
        <f t="shared" si="90"/>
        <v>#DIV/0!</v>
      </c>
      <c r="R233" s="163" t="e">
        <f t="shared" si="90"/>
        <v>#DIV/0!</v>
      </c>
      <c r="S233" s="163" t="e">
        <f t="shared" si="90"/>
        <v>#DIV/0!</v>
      </c>
      <c r="T233" s="163" t="e">
        <f t="shared" si="90"/>
        <v>#DIV/0!</v>
      </c>
      <c r="U233" s="163" t="e">
        <f t="shared" si="90"/>
        <v>#DIV/0!</v>
      </c>
      <c r="V233" s="163" t="e">
        <f t="shared" si="90"/>
        <v>#DIV/0!</v>
      </c>
      <c r="W233" s="163" t="e">
        <f t="shared" si="90"/>
        <v>#DIV/0!</v>
      </c>
      <c r="X233" s="163" t="e">
        <f t="shared" si="90"/>
        <v>#DIV/0!</v>
      </c>
      <c r="Y233" s="163" t="e">
        <f t="shared" si="90"/>
        <v>#DIV/0!</v>
      </c>
      <c r="Z233" s="163" t="e">
        <f t="shared" si="90"/>
        <v>#DIV/0!</v>
      </c>
      <c r="AA233" s="163" t="e">
        <f t="shared" si="90"/>
        <v>#DIV/0!</v>
      </c>
      <c r="AB233" s="163" t="e">
        <f t="shared" si="90"/>
        <v>#DIV/0!</v>
      </c>
      <c r="AC233" s="163" t="e">
        <f t="shared" si="90"/>
        <v>#DIV/0!</v>
      </c>
      <c r="AD233" s="163" t="e">
        <f t="shared" si="90"/>
        <v>#DIV/0!</v>
      </c>
      <c r="AE233" s="163" t="e">
        <f t="shared" si="90"/>
        <v>#DIV/0!</v>
      </c>
      <c r="AF233" s="163" t="e">
        <f t="shared" si="90"/>
        <v>#DIV/0!</v>
      </c>
      <c r="AG233" s="163" t="e">
        <f t="shared" si="90"/>
        <v>#DIV/0!</v>
      </c>
      <c r="AH233" s="163" t="e">
        <f t="shared" si="90"/>
        <v>#DIV/0!</v>
      </c>
      <c r="AI233" s="163" t="e">
        <f t="shared" si="90"/>
        <v>#DIV/0!</v>
      </c>
      <c r="AJ233" s="163" t="e">
        <f t="shared" si="90"/>
        <v>#DIV/0!</v>
      </c>
      <c r="AK233" s="163" t="e">
        <f t="shared" si="90"/>
        <v>#DIV/0!</v>
      </c>
      <c r="AL233" s="163" t="e">
        <f t="shared" si="90"/>
        <v>#DIV/0!</v>
      </c>
      <c r="AM233" s="163" t="e">
        <f t="shared" si="90"/>
        <v>#DIV/0!</v>
      </c>
      <c r="AN233" s="164" t="e">
        <f t="shared" si="90"/>
        <v>#DIV/0!</v>
      </c>
    </row>
    <row r="234" spans="1:40" ht="20.100000000000001" customHeight="1">
      <c r="A234" s="444" t="str">
        <f>IF(B232&lt;START!$B$2,"Policy period starts before the starting year for the study","")</f>
        <v>Policy period starts before the starting year for the study</v>
      </c>
      <c r="B234" s="434" t="s">
        <v>1043</v>
      </c>
      <c r="C234" s="434" t="s">
        <v>1044</v>
      </c>
      <c r="D234" s="434" t="s">
        <v>1051</v>
      </c>
      <c r="E234" s="44"/>
      <c r="F234" s="106" t="str">
        <f t="shared" si="86"/>
        <v>PASSENGER CAR</v>
      </c>
      <c r="G234" s="68" t="s">
        <v>209</v>
      </c>
      <c r="H234" s="68"/>
      <c r="I234" s="68"/>
      <c r="J234" s="68"/>
      <c r="K234" s="107"/>
      <c r="L234" s="163" t="e">
        <f>(L228/100)*$L$192</f>
        <v>#DIV/0!</v>
      </c>
      <c r="M234" s="163" t="e">
        <f t="shared" ref="M234:AN234" si="91">(M228/100)*$L$192</f>
        <v>#DIV/0!</v>
      </c>
      <c r="N234" s="163" t="e">
        <f t="shared" si="91"/>
        <v>#DIV/0!</v>
      </c>
      <c r="O234" s="163" t="e">
        <f t="shared" si="91"/>
        <v>#DIV/0!</v>
      </c>
      <c r="P234" s="163" t="e">
        <f t="shared" si="91"/>
        <v>#DIV/0!</v>
      </c>
      <c r="Q234" s="163" t="e">
        <f t="shared" si="91"/>
        <v>#DIV/0!</v>
      </c>
      <c r="R234" s="163" t="e">
        <f t="shared" si="91"/>
        <v>#DIV/0!</v>
      </c>
      <c r="S234" s="163" t="e">
        <f t="shared" si="91"/>
        <v>#DIV/0!</v>
      </c>
      <c r="T234" s="163" t="e">
        <f t="shared" si="91"/>
        <v>#DIV/0!</v>
      </c>
      <c r="U234" s="163" t="e">
        <f t="shared" si="91"/>
        <v>#DIV/0!</v>
      </c>
      <c r="V234" s="163" t="e">
        <f t="shared" si="91"/>
        <v>#DIV/0!</v>
      </c>
      <c r="W234" s="163" t="e">
        <f t="shared" si="91"/>
        <v>#DIV/0!</v>
      </c>
      <c r="X234" s="163" t="e">
        <f t="shared" si="91"/>
        <v>#DIV/0!</v>
      </c>
      <c r="Y234" s="163" t="e">
        <f t="shared" si="91"/>
        <v>#DIV/0!</v>
      </c>
      <c r="Z234" s="163" t="e">
        <f t="shared" si="91"/>
        <v>#DIV/0!</v>
      </c>
      <c r="AA234" s="163" t="e">
        <f t="shared" si="91"/>
        <v>#DIV/0!</v>
      </c>
      <c r="AB234" s="163" t="e">
        <f t="shared" si="91"/>
        <v>#DIV/0!</v>
      </c>
      <c r="AC234" s="163" t="e">
        <f t="shared" si="91"/>
        <v>#DIV/0!</v>
      </c>
      <c r="AD234" s="163" t="e">
        <f t="shared" si="91"/>
        <v>#DIV/0!</v>
      </c>
      <c r="AE234" s="163" t="e">
        <f t="shared" si="91"/>
        <v>#DIV/0!</v>
      </c>
      <c r="AF234" s="163" t="e">
        <f t="shared" si="91"/>
        <v>#DIV/0!</v>
      </c>
      <c r="AG234" s="163" t="e">
        <f t="shared" si="91"/>
        <v>#DIV/0!</v>
      </c>
      <c r="AH234" s="163" t="e">
        <f t="shared" si="91"/>
        <v>#DIV/0!</v>
      </c>
      <c r="AI234" s="163" t="e">
        <f t="shared" si="91"/>
        <v>#DIV/0!</v>
      </c>
      <c r="AJ234" s="163" t="e">
        <f t="shared" si="91"/>
        <v>#DIV/0!</v>
      </c>
      <c r="AK234" s="163" t="e">
        <f t="shared" si="91"/>
        <v>#DIV/0!</v>
      </c>
      <c r="AL234" s="163" t="e">
        <f t="shared" si="91"/>
        <v>#DIV/0!</v>
      </c>
      <c r="AM234" s="163" t="e">
        <f t="shared" si="91"/>
        <v>#DIV/0!</v>
      </c>
      <c r="AN234" s="164" t="e">
        <f t="shared" si="91"/>
        <v>#DIV/0!</v>
      </c>
    </row>
    <row r="235" spans="1:40" ht="20.100000000000001" customHeight="1" thickBot="1">
      <c r="A235" s="435" t="s">
        <v>1052</v>
      </c>
      <c r="B235" s="445">
        <f>2020+C243</f>
        <v>2024</v>
      </c>
      <c r="C235" s="434">
        <f>2020+C243</f>
        <v>2024</v>
      </c>
      <c r="D235" s="434" t="s">
        <v>1048</v>
      </c>
      <c r="E235" s="44"/>
      <c r="F235" s="231" t="str">
        <f t="shared" si="86"/>
        <v>TOTAL</v>
      </c>
      <c r="G235" s="232" t="s">
        <v>209</v>
      </c>
      <c r="H235" s="232"/>
      <c r="I235" s="232"/>
      <c r="J235" s="232"/>
      <c r="K235" s="192"/>
      <c r="L235" s="193" t="e">
        <f>SUM(L230:L234)</f>
        <v>#DIV/0!</v>
      </c>
      <c r="M235" s="193" t="e">
        <f t="shared" ref="M235:AN235" si="92">SUM(M230:M234)</f>
        <v>#DIV/0!</v>
      </c>
      <c r="N235" s="193" t="e">
        <f t="shared" si="92"/>
        <v>#DIV/0!</v>
      </c>
      <c r="O235" s="193" t="e">
        <f t="shared" si="92"/>
        <v>#DIV/0!</v>
      </c>
      <c r="P235" s="193" t="e">
        <f t="shared" si="92"/>
        <v>#DIV/0!</v>
      </c>
      <c r="Q235" s="193" t="e">
        <f t="shared" si="92"/>
        <v>#DIV/0!</v>
      </c>
      <c r="R235" s="193" t="e">
        <f t="shared" si="92"/>
        <v>#DIV/0!</v>
      </c>
      <c r="S235" s="193" t="e">
        <f t="shared" si="92"/>
        <v>#DIV/0!</v>
      </c>
      <c r="T235" s="193" t="e">
        <f t="shared" si="92"/>
        <v>#DIV/0!</v>
      </c>
      <c r="U235" s="193" t="e">
        <f t="shared" si="92"/>
        <v>#DIV/0!</v>
      </c>
      <c r="V235" s="193" t="e">
        <f t="shared" si="92"/>
        <v>#DIV/0!</v>
      </c>
      <c r="W235" s="193" t="e">
        <f t="shared" si="92"/>
        <v>#DIV/0!</v>
      </c>
      <c r="X235" s="193" t="e">
        <f t="shared" si="92"/>
        <v>#DIV/0!</v>
      </c>
      <c r="Y235" s="193" t="e">
        <f t="shared" si="92"/>
        <v>#DIV/0!</v>
      </c>
      <c r="Z235" s="193" t="e">
        <f t="shared" si="92"/>
        <v>#DIV/0!</v>
      </c>
      <c r="AA235" s="193" t="e">
        <f t="shared" si="92"/>
        <v>#DIV/0!</v>
      </c>
      <c r="AB235" s="193" t="e">
        <f t="shared" si="92"/>
        <v>#DIV/0!</v>
      </c>
      <c r="AC235" s="193" t="e">
        <f t="shared" si="92"/>
        <v>#DIV/0!</v>
      </c>
      <c r="AD235" s="193" t="e">
        <f t="shared" si="92"/>
        <v>#DIV/0!</v>
      </c>
      <c r="AE235" s="193" t="e">
        <f t="shared" si="92"/>
        <v>#DIV/0!</v>
      </c>
      <c r="AF235" s="193" t="e">
        <f t="shared" si="92"/>
        <v>#DIV/0!</v>
      </c>
      <c r="AG235" s="193" t="e">
        <f t="shared" si="92"/>
        <v>#DIV/0!</v>
      </c>
      <c r="AH235" s="193" t="e">
        <f t="shared" si="92"/>
        <v>#DIV/0!</v>
      </c>
      <c r="AI235" s="193" t="e">
        <f t="shared" si="92"/>
        <v>#DIV/0!</v>
      </c>
      <c r="AJ235" s="193" t="e">
        <f t="shared" si="92"/>
        <v>#DIV/0!</v>
      </c>
      <c r="AK235" s="193" t="e">
        <f t="shared" si="92"/>
        <v>#DIV/0!</v>
      </c>
      <c r="AL235" s="193" t="e">
        <f t="shared" si="92"/>
        <v>#DIV/0!</v>
      </c>
      <c r="AM235" s="193" t="e">
        <f t="shared" si="92"/>
        <v>#DIV/0!</v>
      </c>
      <c r="AN235" s="194" t="e">
        <f t="shared" si="92"/>
        <v>#DIV/0!</v>
      </c>
    </row>
    <row r="236" spans="1:40" ht="20.100000000000001" customHeight="1">
      <c r="A236" s="437" t="str">
        <f>'[1]LOCAL DATASET INPUTS'!A161</f>
        <v>-</v>
      </c>
      <c r="B236" s="446">
        <f>INDEX('[1]LOCAL DATASET INPUTS'!E161:AH166,1,C243)</f>
        <v>0</v>
      </c>
      <c r="C236" s="447">
        <v>90</v>
      </c>
      <c r="D236" s="447">
        <v>0</v>
      </c>
      <c r="E236" s="44"/>
      <c r="F236" s="230" t="s">
        <v>210</v>
      </c>
      <c r="G236" s="159"/>
      <c r="H236" s="159"/>
      <c r="I236" s="159"/>
      <c r="J236" s="159"/>
      <c r="K236" s="99">
        <f>K229</f>
        <v>2021</v>
      </c>
      <c r="L236" s="99">
        <f t="shared" ref="L236:AN236" si="93">L229</f>
        <v>2022</v>
      </c>
      <c r="M236" s="99">
        <f t="shared" si="93"/>
        <v>2023</v>
      </c>
      <c r="N236" s="99">
        <f t="shared" si="93"/>
        <v>2024</v>
      </c>
      <c r="O236" s="99">
        <f t="shared" si="93"/>
        <v>2025</v>
      </c>
      <c r="P236" s="99">
        <f t="shared" si="93"/>
        <v>2026</v>
      </c>
      <c r="Q236" s="99">
        <f t="shared" si="93"/>
        <v>2027</v>
      </c>
      <c r="R236" s="99">
        <f t="shared" si="93"/>
        <v>2028</v>
      </c>
      <c r="S236" s="99">
        <f t="shared" si="93"/>
        <v>2029</v>
      </c>
      <c r="T236" s="99">
        <f t="shared" si="93"/>
        <v>2030</v>
      </c>
      <c r="U236" s="99">
        <f t="shared" si="93"/>
        <v>2031</v>
      </c>
      <c r="V236" s="99">
        <f t="shared" si="93"/>
        <v>2032</v>
      </c>
      <c r="W236" s="99">
        <f t="shared" si="93"/>
        <v>2033</v>
      </c>
      <c r="X236" s="99">
        <f t="shared" si="93"/>
        <v>2034</v>
      </c>
      <c r="Y236" s="99">
        <f t="shared" si="93"/>
        <v>2035</v>
      </c>
      <c r="Z236" s="99">
        <f t="shared" si="93"/>
        <v>2036</v>
      </c>
      <c r="AA236" s="99">
        <f t="shared" si="93"/>
        <v>2037</v>
      </c>
      <c r="AB236" s="99">
        <f t="shared" si="93"/>
        <v>2038</v>
      </c>
      <c r="AC236" s="99">
        <f t="shared" si="93"/>
        <v>2039</v>
      </c>
      <c r="AD236" s="99">
        <f t="shared" si="93"/>
        <v>2040</v>
      </c>
      <c r="AE236" s="99">
        <f t="shared" si="93"/>
        <v>2041</v>
      </c>
      <c r="AF236" s="99">
        <f t="shared" si="93"/>
        <v>2042</v>
      </c>
      <c r="AG236" s="99">
        <f t="shared" si="93"/>
        <v>2043</v>
      </c>
      <c r="AH236" s="99">
        <f t="shared" si="93"/>
        <v>2044</v>
      </c>
      <c r="AI236" s="99">
        <f t="shared" si="93"/>
        <v>2045</v>
      </c>
      <c r="AJ236" s="99">
        <f t="shared" si="93"/>
        <v>2046</v>
      </c>
      <c r="AK236" s="99">
        <f t="shared" si="93"/>
        <v>2047</v>
      </c>
      <c r="AL236" s="99">
        <f t="shared" si="93"/>
        <v>2048</v>
      </c>
      <c r="AM236" s="99">
        <f t="shared" si="93"/>
        <v>2049</v>
      </c>
      <c r="AN236" s="100">
        <f t="shared" si="93"/>
        <v>2050</v>
      </c>
    </row>
    <row r="237" spans="1:40" ht="20.100000000000001" customHeight="1">
      <c r="A237" s="437" t="str">
        <f>'[1]LOCAL DATASET INPUTS'!A162</f>
        <v>-</v>
      </c>
      <c r="B237" s="446">
        <f>INDEX('[1]LOCAL DATASET INPUTS'!E161:AH166,2,C243)</f>
        <v>0</v>
      </c>
      <c r="C237" s="447">
        <v>5</v>
      </c>
      <c r="D237" s="260"/>
      <c r="E237" s="44"/>
      <c r="F237" s="233" t="str">
        <f>F230</f>
        <v>BUS</v>
      </c>
      <c r="G237" s="107"/>
      <c r="H237" s="107"/>
      <c r="I237" s="107"/>
      <c r="J237" s="107"/>
      <c r="K237" s="175">
        <f t="shared" ref="K237:AN237" si="94">((100-$D$215)/100*K187)+($D$215/100*K230)</f>
        <v>0</v>
      </c>
      <c r="L237" s="163" t="e">
        <f t="shared" si="94"/>
        <v>#DIV/0!</v>
      </c>
      <c r="M237" s="163" t="e">
        <f t="shared" si="94"/>
        <v>#DIV/0!</v>
      </c>
      <c r="N237" s="163" t="e">
        <f t="shared" si="94"/>
        <v>#DIV/0!</v>
      </c>
      <c r="O237" s="163" t="e">
        <f t="shared" si="94"/>
        <v>#DIV/0!</v>
      </c>
      <c r="P237" s="163" t="e">
        <f t="shared" si="94"/>
        <v>#DIV/0!</v>
      </c>
      <c r="Q237" s="163" t="e">
        <f t="shared" si="94"/>
        <v>#DIV/0!</v>
      </c>
      <c r="R237" s="163" t="e">
        <f t="shared" si="94"/>
        <v>#DIV/0!</v>
      </c>
      <c r="S237" s="163" t="e">
        <f t="shared" si="94"/>
        <v>#DIV/0!</v>
      </c>
      <c r="T237" s="163" t="e">
        <f t="shared" si="94"/>
        <v>#DIV/0!</v>
      </c>
      <c r="U237" s="163" t="e">
        <f t="shared" si="94"/>
        <v>#DIV/0!</v>
      </c>
      <c r="V237" s="163" t="e">
        <f t="shared" si="94"/>
        <v>#DIV/0!</v>
      </c>
      <c r="W237" s="163" t="e">
        <f t="shared" si="94"/>
        <v>#DIV/0!</v>
      </c>
      <c r="X237" s="163" t="e">
        <f t="shared" si="94"/>
        <v>#DIV/0!</v>
      </c>
      <c r="Y237" s="163" t="e">
        <f t="shared" si="94"/>
        <v>#DIV/0!</v>
      </c>
      <c r="Z237" s="163" t="e">
        <f t="shared" si="94"/>
        <v>#DIV/0!</v>
      </c>
      <c r="AA237" s="163" t="e">
        <f t="shared" si="94"/>
        <v>#DIV/0!</v>
      </c>
      <c r="AB237" s="163" t="e">
        <f t="shared" si="94"/>
        <v>#DIV/0!</v>
      </c>
      <c r="AC237" s="163" t="e">
        <f t="shared" si="94"/>
        <v>#DIV/0!</v>
      </c>
      <c r="AD237" s="163" t="e">
        <f t="shared" si="94"/>
        <v>#DIV/0!</v>
      </c>
      <c r="AE237" s="163" t="e">
        <f t="shared" si="94"/>
        <v>#DIV/0!</v>
      </c>
      <c r="AF237" s="163" t="e">
        <f t="shared" si="94"/>
        <v>#DIV/0!</v>
      </c>
      <c r="AG237" s="163" t="e">
        <f t="shared" si="94"/>
        <v>#DIV/0!</v>
      </c>
      <c r="AH237" s="163" t="e">
        <f t="shared" si="94"/>
        <v>#DIV/0!</v>
      </c>
      <c r="AI237" s="163" t="e">
        <f t="shared" si="94"/>
        <v>#DIV/0!</v>
      </c>
      <c r="AJ237" s="163" t="e">
        <f t="shared" si="94"/>
        <v>#DIV/0!</v>
      </c>
      <c r="AK237" s="163" t="e">
        <f t="shared" si="94"/>
        <v>#DIV/0!</v>
      </c>
      <c r="AL237" s="163" t="e">
        <f t="shared" si="94"/>
        <v>#DIV/0!</v>
      </c>
      <c r="AM237" s="163" t="e">
        <f t="shared" si="94"/>
        <v>#DIV/0!</v>
      </c>
      <c r="AN237" s="164" t="e">
        <f t="shared" si="94"/>
        <v>#DIV/0!</v>
      </c>
    </row>
    <row r="238" spans="1:40" ht="20.100000000000001" customHeight="1">
      <c r="A238" s="437" t="str">
        <f>'[1]LOCAL DATASET INPUTS'!A164</f>
        <v>-</v>
      </c>
      <c r="B238" s="446">
        <f>INDEX('[1]LOCAL DATASET INPUTS'!E161:AH166,4,C243)</f>
        <v>0</v>
      </c>
      <c r="C238" s="447">
        <v>5</v>
      </c>
      <c r="D238" s="260"/>
      <c r="E238" s="44"/>
      <c r="F238" s="233" t="str">
        <f t="shared" ref="F238:F242" si="95">F231</f>
        <v>METRO</v>
      </c>
      <c r="G238" s="107"/>
      <c r="H238" s="107"/>
      <c r="I238" s="107"/>
      <c r="J238" s="107"/>
      <c r="K238" s="175">
        <f t="shared" ref="K238:AN238" si="96">((100-$D$215)/100*K188)+($D$215/100*K231)</f>
        <v>0</v>
      </c>
      <c r="L238" s="163" t="e">
        <f t="shared" si="96"/>
        <v>#DIV/0!</v>
      </c>
      <c r="M238" s="163" t="e">
        <f t="shared" si="96"/>
        <v>#DIV/0!</v>
      </c>
      <c r="N238" s="163" t="e">
        <f t="shared" si="96"/>
        <v>#DIV/0!</v>
      </c>
      <c r="O238" s="163" t="e">
        <f t="shared" si="96"/>
        <v>#DIV/0!</v>
      </c>
      <c r="P238" s="163" t="e">
        <f t="shared" si="96"/>
        <v>#DIV/0!</v>
      </c>
      <c r="Q238" s="163" t="e">
        <f t="shared" si="96"/>
        <v>#DIV/0!</v>
      </c>
      <c r="R238" s="163" t="e">
        <f t="shared" si="96"/>
        <v>#DIV/0!</v>
      </c>
      <c r="S238" s="163" t="e">
        <f t="shared" si="96"/>
        <v>#DIV/0!</v>
      </c>
      <c r="T238" s="163" t="e">
        <f t="shared" si="96"/>
        <v>#DIV/0!</v>
      </c>
      <c r="U238" s="163" t="e">
        <f t="shared" si="96"/>
        <v>#DIV/0!</v>
      </c>
      <c r="V238" s="163" t="e">
        <f t="shared" si="96"/>
        <v>#DIV/0!</v>
      </c>
      <c r="W238" s="163" t="e">
        <f t="shared" si="96"/>
        <v>#DIV/0!</v>
      </c>
      <c r="X238" s="163" t="e">
        <f t="shared" si="96"/>
        <v>#DIV/0!</v>
      </c>
      <c r="Y238" s="163" t="e">
        <f t="shared" si="96"/>
        <v>#DIV/0!</v>
      </c>
      <c r="Z238" s="163" t="e">
        <f t="shared" si="96"/>
        <v>#DIV/0!</v>
      </c>
      <c r="AA238" s="163" t="e">
        <f t="shared" si="96"/>
        <v>#DIV/0!</v>
      </c>
      <c r="AB238" s="163" t="e">
        <f t="shared" si="96"/>
        <v>#DIV/0!</v>
      </c>
      <c r="AC238" s="163" t="e">
        <f t="shared" si="96"/>
        <v>#DIV/0!</v>
      </c>
      <c r="AD238" s="163" t="e">
        <f t="shared" si="96"/>
        <v>#DIV/0!</v>
      </c>
      <c r="AE238" s="163" t="e">
        <f t="shared" si="96"/>
        <v>#DIV/0!</v>
      </c>
      <c r="AF238" s="163" t="e">
        <f t="shared" si="96"/>
        <v>#DIV/0!</v>
      </c>
      <c r="AG238" s="163" t="e">
        <f t="shared" si="96"/>
        <v>#DIV/0!</v>
      </c>
      <c r="AH238" s="163" t="e">
        <f t="shared" si="96"/>
        <v>#DIV/0!</v>
      </c>
      <c r="AI238" s="163" t="e">
        <f t="shared" si="96"/>
        <v>#DIV/0!</v>
      </c>
      <c r="AJ238" s="163" t="e">
        <f t="shared" si="96"/>
        <v>#DIV/0!</v>
      </c>
      <c r="AK238" s="163" t="e">
        <f t="shared" si="96"/>
        <v>#DIV/0!</v>
      </c>
      <c r="AL238" s="163" t="e">
        <f t="shared" si="96"/>
        <v>#DIV/0!</v>
      </c>
      <c r="AM238" s="163" t="e">
        <f t="shared" si="96"/>
        <v>#DIV/0!</v>
      </c>
      <c r="AN238" s="164" t="e">
        <f t="shared" si="96"/>
        <v>#DIV/0!</v>
      </c>
    </row>
    <row r="239" spans="1:40" ht="20.100000000000001" customHeight="1">
      <c r="A239" s="448" t="str">
        <f>'[1]LOCAL DATASET INPUTS'!A166</f>
        <v>-</v>
      </c>
      <c r="B239" s="446">
        <f>INDEX('[1]LOCAL DATASET INPUTS'!E161:AH166,6,C243)</f>
        <v>0</v>
      </c>
      <c r="C239" s="447">
        <v>45</v>
      </c>
      <c r="D239" s="260"/>
      <c r="E239" s="44"/>
      <c r="F239" s="233" t="str">
        <f t="shared" si="95"/>
        <v>TRAM</v>
      </c>
      <c r="G239" s="107"/>
      <c r="H239" s="107"/>
      <c r="I239" s="107"/>
      <c r="J239" s="107"/>
      <c r="K239" s="175">
        <f t="shared" ref="K239:AN239" si="97">((100-$D$215)/100*K189)+($D$215/100*K232)</f>
        <v>0</v>
      </c>
      <c r="L239" s="163" t="e">
        <f t="shared" si="97"/>
        <v>#DIV/0!</v>
      </c>
      <c r="M239" s="163" t="e">
        <f t="shared" si="97"/>
        <v>#DIV/0!</v>
      </c>
      <c r="N239" s="163" t="e">
        <f t="shared" si="97"/>
        <v>#DIV/0!</v>
      </c>
      <c r="O239" s="163" t="e">
        <f t="shared" si="97"/>
        <v>#DIV/0!</v>
      </c>
      <c r="P239" s="163" t="e">
        <f t="shared" si="97"/>
        <v>#DIV/0!</v>
      </c>
      <c r="Q239" s="163" t="e">
        <f t="shared" si="97"/>
        <v>#DIV/0!</v>
      </c>
      <c r="R239" s="163" t="e">
        <f t="shared" si="97"/>
        <v>#DIV/0!</v>
      </c>
      <c r="S239" s="163" t="e">
        <f t="shared" si="97"/>
        <v>#DIV/0!</v>
      </c>
      <c r="T239" s="163" t="e">
        <f t="shared" si="97"/>
        <v>#DIV/0!</v>
      </c>
      <c r="U239" s="163" t="e">
        <f t="shared" si="97"/>
        <v>#DIV/0!</v>
      </c>
      <c r="V239" s="163" t="e">
        <f t="shared" si="97"/>
        <v>#DIV/0!</v>
      </c>
      <c r="W239" s="163" t="e">
        <f t="shared" si="97"/>
        <v>#DIV/0!</v>
      </c>
      <c r="X239" s="163" t="e">
        <f t="shared" si="97"/>
        <v>#DIV/0!</v>
      </c>
      <c r="Y239" s="163" t="e">
        <f t="shared" si="97"/>
        <v>#DIV/0!</v>
      </c>
      <c r="Z239" s="163" t="e">
        <f t="shared" si="97"/>
        <v>#DIV/0!</v>
      </c>
      <c r="AA239" s="163" t="e">
        <f t="shared" si="97"/>
        <v>#DIV/0!</v>
      </c>
      <c r="AB239" s="163" t="e">
        <f t="shared" si="97"/>
        <v>#DIV/0!</v>
      </c>
      <c r="AC239" s="163" t="e">
        <f t="shared" si="97"/>
        <v>#DIV/0!</v>
      </c>
      <c r="AD239" s="163" t="e">
        <f t="shared" si="97"/>
        <v>#DIV/0!</v>
      </c>
      <c r="AE239" s="163" t="e">
        <f t="shared" si="97"/>
        <v>#DIV/0!</v>
      </c>
      <c r="AF239" s="163" t="e">
        <f t="shared" si="97"/>
        <v>#DIV/0!</v>
      </c>
      <c r="AG239" s="163" t="e">
        <f t="shared" si="97"/>
        <v>#DIV/0!</v>
      </c>
      <c r="AH239" s="163" t="e">
        <f t="shared" si="97"/>
        <v>#DIV/0!</v>
      </c>
      <c r="AI239" s="163" t="e">
        <f t="shared" si="97"/>
        <v>#DIV/0!</v>
      </c>
      <c r="AJ239" s="163" t="e">
        <f t="shared" si="97"/>
        <v>#DIV/0!</v>
      </c>
      <c r="AK239" s="163" t="e">
        <f t="shared" si="97"/>
        <v>#DIV/0!</v>
      </c>
      <c r="AL239" s="163" t="e">
        <f t="shared" si="97"/>
        <v>#DIV/0!</v>
      </c>
      <c r="AM239" s="163" t="e">
        <f t="shared" si="97"/>
        <v>#DIV/0!</v>
      </c>
      <c r="AN239" s="164" t="e">
        <f t="shared" si="97"/>
        <v>#DIV/0!</v>
      </c>
    </row>
    <row r="240" spans="1:40" ht="20.100000000000001" customHeight="1">
      <c r="A240" s="440" t="str">
        <f>'[1]LOCAL DATASET INPUTS'!A163</f>
        <v>-</v>
      </c>
      <c r="B240" s="449">
        <f>INDEX('[1]LOCAL DATASET INPUTS'!E161:AH166,3,C243)</f>
        <v>0</v>
      </c>
      <c r="C240" s="449">
        <f>100-SUM(C236:C239)</f>
        <v>-45</v>
      </c>
      <c r="D240" s="260"/>
      <c r="E240" s="44"/>
      <c r="F240" s="233" t="str">
        <f t="shared" si="95"/>
        <v>PASSENGER TRAIN</v>
      </c>
      <c r="G240" s="107"/>
      <c r="H240" s="107"/>
      <c r="I240" s="107"/>
      <c r="J240" s="107"/>
      <c r="K240" s="175">
        <f t="shared" ref="K240:AN240" si="98">((100-$D$215)/100*K190)+($D$215/100*K233)</f>
        <v>0</v>
      </c>
      <c r="L240" s="163" t="e">
        <f t="shared" si="98"/>
        <v>#DIV/0!</v>
      </c>
      <c r="M240" s="163" t="e">
        <f t="shared" si="98"/>
        <v>#DIV/0!</v>
      </c>
      <c r="N240" s="163" t="e">
        <f t="shared" si="98"/>
        <v>#DIV/0!</v>
      </c>
      <c r="O240" s="163" t="e">
        <f t="shared" si="98"/>
        <v>#DIV/0!</v>
      </c>
      <c r="P240" s="163" t="e">
        <f t="shared" si="98"/>
        <v>#DIV/0!</v>
      </c>
      <c r="Q240" s="163" t="e">
        <f t="shared" si="98"/>
        <v>#DIV/0!</v>
      </c>
      <c r="R240" s="163" t="e">
        <f t="shared" si="98"/>
        <v>#DIV/0!</v>
      </c>
      <c r="S240" s="163" t="e">
        <f t="shared" si="98"/>
        <v>#DIV/0!</v>
      </c>
      <c r="T240" s="163" t="e">
        <f t="shared" si="98"/>
        <v>#DIV/0!</v>
      </c>
      <c r="U240" s="163" t="e">
        <f t="shared" si="98"/>
        <v>#DIV/0!</v>
      </c>
      <c r="V240" s="163" t="e">
        <f t="shared" si="98"/>
        <v>#DIV/0!</v>
      </c>
      <c r="W240" s="163" t="e">
        <f t="shared" si="98"/>
        <v>#DIV/0!</v>
      </c>
      <c r="X240" s="163" t="e">
        <f t="shared" si="98"/>
        <v>#DIV/0!</v>
      </c>
      <c r="Y240" s="163" t="e">
        <f t="shared" si="98"/>
        <v>#DIV/0!</v>
      </c>
      <c r="Z240" s="163" t="e">
        <f t="shared" si="98"/>
        <v>#DIV/0!</v>
      </c>
      <c r="AA240" s="163" t="e">
        <f t="shared" si="98"/>
        <v>#DIV/0!</v>
      </c>
      <c r="AB240" s="163" t="e">
        <f t="shared" si="98"/>
        <v>#DIV/0!</v>
      </c>
      <c r="AC240" s="163" t="e">
        <f t="shared" si="98"/>
        <v>#DIV/0!</v>
      </c>
      <c r="AD240" s="163" t="e">
        <f t="shared" si="98"/>
        <v>#DIV/0!</v>
      </c>
      <c r="AE240" s="163" t="e">
        <f t="shared" si="98"/>
        <v>#DIV/0!</v>
      </c>
      <c r="AF240" s="163" t="e">
        <f t="shared" si="98"/>
        <v>#DIV/0!</v>
      </c>
      <c r="AG240" s="163" t="e">
        <f t="shared" si="98"/>
        <v>#DIV/0!</v>
      </c>
      <c r="AH240" s="163" t="e">
        <f t="shared" si="98"/>
        <v>#DIV/0!</v>
      </c>
      <c r="AI240" s="163" t="e">
        <f t="shared" si="98"/>
        <v>#DIV/0!</v>
      </c>
      <c r="AJ240" s="163" t="e">
        <f t="shared" si="98"/>
        <v>#DIV/0!</v>
      </c>
      <c r="AK240" s="163" t="e">
        <f t="shared" si="98"/>
        <v>#DIV/0!</v>
      </c>
      <c r="AL240" s="163" t="e">
        <f t="shared" si="98"/>
        <v>#DIV/0!</v>
      </c>
      <c r="AM240" s="163" t="e">
        <f t="shared" si="98"/>
        <v>#DIV/0!</v>
      </c>
      <c r="AN240" s="164" t="e">
        <f t="shared" si="98"/>
        <v>#DIV/0!</v>
      </c>
    </row>
    <row r="241" spans="1:40" ht="20.100000000000001" customHeight="1">
      <c r="A241" s="437" t="s">
        <v>183</v>
      </c>
      <c r="B241" s="438">
        <f>SUM(B236:B240)</f>
        <v>0</v>
      </c>
      <c r="C241" s="443">
        <v>100</v>
      </c>
      <c r="D241" s="260"/>
      <c r="E241" s="44"/>
      <c r="F241" s="233" t="str">
        <f t="shared" si="95"/>
        <v>PASSENGER CAR</v>
      </c>
      <c r="G241" s="107"/>
      <c r="H241" s="107"/>
      <c r="I241" s="107"/>
      <c r="J241" s="107"/>
      <c r="K241" s="175">
        <f t="shared" ref="K241:AN241" si="99">((100-$D$215)/100*K191)+($D$215/100*K234)</f>
        <v>0</v>
      </c>
      <c r="L241" s="163" t="e">
        <f t="shared" si="99"/>
        <v>#DIV/0!</v>
      </c>
      <c r="M241" s="163" t="e">
        <f t="shared" si="99"/>
        <v>#DIV/0!</v>
      </c>
      <c r="N241" s="163" t="e">
        <f t="shared" si="99"/>
        <v>#DIV/0!</v>
      </c>
      <c r="O241" s="163" t="e">
        <f t="shared" si="99"/>
        <v>#DIV/0!</v>
      </c>
      <c r="P241" s="163" t="e">
        <f t="shared" si="99"/>
        <v>#DIV/0!</v>
      </c>
      <c r="Q241" s="163" t="e">
        <f t="shared" si="99"/>
        <v>#DIV/0!</v>
      </c>
      <c r="R241" s="163" t="e">
        <f t="shared" si="99"/>
        <v>#DIV/0!</v>
      </c>
      <c r="S241" s="163" t="e">
        <f t="shared" si="99"/>
        <v>#DIV/0!</v>
      </c>
      <c r="T241" s="163" t="e">
        <f t="shared" si="99"/>
        <v>#DIV/0!</v>
      </c>
      <c r="U241" s="163" t="e">
        <f t="shared" si="99"/>
        <v>#DIV/0!</v>
      </c>
      <c r="V241" s="163" t="e">
        <f t="shared" si="99"/>
        <v>#DIV/0!</v>
      </c>
      <c r="W241" s="163" t="e">
        <f t="shared" si="99"/>
        <v>#DIV/0!</v>
      </c>
      <c r="X241" s="163" t="e">
        <f t="shared" si="99"/>
        <v>#DIV/0!</v>
      </c>
      <c r="Y241" s="163" t="e">
        <f t="shared" si="99"/>
        <v>#DIV/0!</v>
      </c>
      <c r="Z241" s="163" t="e">
        <f t="shared" si="99"/>
        <v>#DIV/0!</v>
      </c>
      <c r="AA241" s="163" t="e">
        <f t="shared" si="99"/>
        <v>#DIV/0!</v>
      </c>
      <c r="AB241" s="163" t="e">
        <f t="shared" si="99"/>
        <v>#DIV/0!</v>
      </c>
      <c r="AC241" s="163" t="e">
        <f t="shared" si="99"/>
        <v>#DIV/0!</v>
      </c>
      <c r="AD241" s="163" t="e">
        <f t="shared" si="99"/>
        <v>#DIV/0!</v>
      </c>
      <c r="AE241" s="163" t="e">
        <f t="shared" si="99"/>
        <v>#DIV/0!</v>
      </c>
      <c r="AF241" s="163" t="e">
        <f t="shared" si="99"/>
        <v>#DIV/0!</v>
      </c>
      <c r="AG241" s="163" t="e">
        <f t="shared" si="99"/>
        <v>#DIV/0!</v>
      </c>
      <c r="AH241" s="163" t="e">
        <f t="shared" si="99"/>
        <v>#DIV/0!</v>
      </c>
      <c r="AI241" s="163" t="e">
        <f t="shared" si="99"/>
        <v>#DIV/0!</v>
      </c>
      <c r="AJ241" s="163" t="e">
        <f t="shared" si="99"/>
        <v>#DIV/0!</v>
      </c>
      <c r="AK241" s="163" t="e">
        <f t="shared" si="99"/>
        <v>#DIV/0!</v>
      </c>
      <c r="AL241" s="163" t="e">
        <f t="shared" si="99"/>
        <v>#DIV/0!</v>
      </c>
      <c r="AM241" s="163" t="e">
        <f t="shared" si="99"/>
        <v>#DIV/0!</v>
      </c>
      <c r="AN241" s="164" t="e">
        <f t="shared" si="99"/>
        <v>#DIV/0!</v>
      </c>
    </row>
    <row r="242" spans="1:40" ht="20.100000000000001" customHeight="1" thickBot="1">
      <c r="A242" s="139" t="s">
        <v>175</v>
      </c>
      <c r="B242" s="59" t="s">
        <v>160</v>
      </c>
      <c r="C242" s="59" t="s">
        <v>161</v>
      </c>
      <c r="D242" s="65"/>
      <c r="E242" s="44"/>
      <c r="F242" s="171" t="str">
        <f t="shared" si="95"/>
        <v>TOTAL</v>
      </c>
      <c r="G242" s="109"/>
      <c r="H242" s="109"/>
      <c r="I242" s="109"/>
      <c r="J242" s="109"/>
      <c r="K242" s="176">
        <f>SUM(K237:K241)</f>
        <v>0</v>
      </c>
      <c r="L242" s="166" t="e">
        <f t="shared" ref="L242:AN242" si="100">SUM(L237:L241)</f>
        <v>#DIV/0!</v>
      </c>
      <c r="M242" s="166" t="e">
        <f t="shared" si="100"/>
        <v>#DIV/0!</v>
      </c>
      <c r="N242" s="166" t="e">
        <f t="shared" si="100"/>
        <v>#DIV/0!</v>
      </c>
      <c r="O242" s="166" t="e">
        <f t="shared" si="100"/>
        <v>#DIV/0!</v>
      </c>
      <c r="P242" s="166" t="e">
        <f t="shared" si="100"/>
        <v>#DIV/0!</v>
      </c>
      <c r="Q242" s="166" t="e">
        <f t="shared" si="100"/>
        <v>#DIV/0!</v>
      </c>
      <c r="R242" s="166" t="e">
        <f t="shared" si="100"/>
        <v>#DIV/0!</v>
      </c>
      <c r="S242" s="166" t="e">
        <f t="shared" si="100"/>
        <v>#DIV/0!</v>
      </c>
      <c r="T242" s="166" t="e">
        <f t="shared" si="100"/>
        <v>#DIV/0!</v>
      </c>
      <c r="U242" s="166" t="e">
        <f t="shared" si="100"/>
        <v>#DIV/0!</v>
      </c>
      <c r="V242" s="166" t="e">
        <f t="shared" si="100"/>
        <v>#DIV/0!</v>
      </c>
      <c r="W242" s="166" t="e">
        <f t="shared" si="100"/>
        <v>#DIV/0!</v>
      </c>
      <c r="X242" s="166" t="e">
        <f t="shared" si="100"/>
        <v>#DIV/0!</v>
      </c>
      <c r="Y242" s="166" t="e">
        <f t="shared" si="100"/>
        <v>#DIV/0!</v>
      </c>
      <c r="Z242" s="166" t="e">
        <f t="shared" si="100"/>
        <v>#DIV/0!</v>
      </c>
      <c r="AA242" s="166" t="e">
        <f t="shared" si="100"/>
        <v>#DIV/0!</v>
      </c>
      <c r="AB242" s="166" t="e">
        <f t="shared" si="100"/>
        <v>#DIV/0!</v>
      </c>
      <c r="AC242" s="166" t="e">
        <f t="shared" si="100"/>
        <v>#DIV/0!</v>
      </c>
      <c r="AD242" s="166" t="e">
        <f t="shared" si="100"/>
        <v>#DIV/0!</v>
      </c>
      <c r="AE242" s="166" t="e">
        <f t="shared" si="100"/>
        <v>#DIV/0!</v>
      </c>
      <c r="AF242" s="166" t="e">
        <f t="shared" si="100"/>
        <v>#DIV/0!</v>
      </c>
      <c r="AG242" s="166" t="e">
        <f t="shared" si="100"/>
        <v>#DIV/0!</v>
      </c>
      <c r="AH242" s="166" t="e">
        <f t="shared" si="100"/>
        <v>#DIV/0!</v>
      </c>
      <c r="AI242" s="166" t="e">
        <f t="shared" si="100"/>
        <v>#DIV/0!</v>
      </c>
      <c r="AJ242" s="166" t="e">
        <f t="shared" si="100"/>
        <v>#DIV/0!</v>
      </c>
      <c r="AK242" s="166" t="e">
        <f t="shared" si="100"/>
        <v>#DIV/0!</v>
      </c>
      <c r="AL242" s="166" t="e">
        <f t="shared" si="100"/>
        <v>#DIV/0!</v>
      </c>
      <c r="AM242" s="166" t="e">
        <f t="shared" si="100"/>
        <v>#DIV/0!</v>
      </c>
      <c r="AN242" s="167" t="e">
        <f t="shared" si="100"/>
        <v>#DIV/0!</v>
      </c>
    </row>
    <row r="243" spans="1:40" ht="20.100000000000001" customHeight="1">
      <c r="A243" s="64"/>
      <c r="B243" s="65">
        <v>1</v>
      </c>
      <c r="C243" s="65">
        <v>4</v>
      </c>
      <c r="D243" s="65"/>
      <c r="E243" s="44"/>
      <c r="F243" s="112"/>
    </row>
    <row r="244" spans="1:40" ht="20.100000000000001" customHeight="1">
      <c r="A244" s="188" t="str">
        <f>IF(C243&lt;B243,"! end year has to be after start year!","")</f>
        <v/>
      </c>
      <c r="B244" s="189"/>
      <c r="C244" s="189"/>
      <c r="D244" s="225"/>
      <c r="E244" s="44"/>
      <c r="F244" s="112"/>
    </row>
    <row r="245" spans="1:40" ht="20.100000000000001" customHeight="1">
      <c r="A245" s="188" t="str">
        <f>IF(B243&lt;START!$B$2,"Policy period starts before the starting year for the study","")</f>
        <v>Policy period starts before the starting year for the study</v>
      </c>
      <c r="B245" s="189"/>
      <c r="C245" s="189"/>
      <c r="D245" s="225"/>
      <c r="E245" s="44"/>
      <c r="F245" s="112"/>
    </row>
    <row r="246" spans="1:40" ht="20.100000000000001" customHeight="1">
      <c r="A246" s="433"/>
      <c r="B246" s="434" t="s">
        <v>1043</v>
      </c>
      <c r="C246" s="434"/>
      <c r="D246" s="434" t="s">
        <v>1051</v>
      </c>
      <c r="E246" s="44"/>
      <c r="F246" s="112"/>
    </row>
    <row r="247" spans="1:40" ht="20.100000000000001" customHeight="1">
      <c r="A247" s="435" t="s">
        <v>1053</v>
      </c>
      <c r="B247" s="436">
        <f>2020+C265</f>
        <v>2024</v>
      </c>
      <c r="C247" s="434" t="s">
        <v>1054</v>
      </c>
      <c r="D247" s="434" t="s">
        <v>1048</v>
      </c>
      <c r="E247" s="44"/>
      <c r="F247" s="112"/>
    </row>
    <row r="248" spans="1:40" ht="20.100000000000001" customHeight="1">
      <c r="A248" s="437" t="str">
        <f>'[1]LOCAL DATASET INPUTS'!A198</f>
        <v>-</v>
      </c>
      <c r="B248" s="450">
        <f>INDEX('[1]LOCAL DATASET INPUTS'!E198:AH215,1,C265)</f>
        <v>0</v>
      </c>
      <c r="C248" s="454">
        <v>0</v>
      </c>
      <c r="D248" s="447">
        <v>0</v>
      </c>
      <c r="E248" s="44"/>
      <c r="F248" s="112"/>
    </row>
    <row r="249" spans="1:40" ht="20.100000000000001" customHeight="1">
      <c r="A249" s="437" t="str">
        <f>'[1]LOCAL DATASET INPUTS'!A199</f>
        <v>-</v>
      </c>
      <c r="B249" s="450">
        <f>INDEX('[1]LOCAL DATASET INPUTS'!E198:AH215,2,C265)</f>
        <v>0</v>
      </c>
      <c r="C249" s="454">
        <v>0.09</v>
      </c>
      <c r="D249" s="406"/>
      <c r="E249" s="44"/>
      <c r="F249" s="112"/>
    </row>
    <row r="250" spans="1:40" ht="20.100000000000001" customHeight="1">
      <c r="A250" s="437" t="str">
        <f>'[1]LOCAL DATASET INPUTS'!A200</f>
        <v>-</v>
      </c>
      <c r="B250" s="450">
        <f>INDEX('[1]LOCAL DATASET INPUTS'!E198:AH215,3,C265)</f>
        <v>0</v>
      </c>
      <c r="C250" s="454">
        <v>0.54</v>
      </c>
      <c r="D250" s="406"/>
      <c r="E250" s="44"/>
      <c r="F250" s="112"/>
    </row>
    <row r="251" spans="1:40" ht="20.100000000000001" customHeight="1">
      <c r="A251" s="437" t="str">
        <f>'[1]LOCAL DATASET INPUTS'!A202</f>
        <v>-</v>
      </c>
      <c r="B251" s="450">
        <f>INDEX('[1]LOCAL DATASET INPUTS'!E198:AH215,5,C265)</f>
        <v>0</v>
      </c>
      <c r="C251" s="454">
        <v>1.5</v>
      </c>
      <c r="D251" s="406"/>
      <c r="E251" s="44"/>
      <c r="F251" s="112"/>
    </row>
    <row r="252" spans="1:40" ht="20.100000000000001" customHeight="1">
      <c r="A252" s="437" t="str">
        <f>'[1]LOCAL DATASET INPUTS'!A203</f>
        <v>-</v>
      </c>
      <c r="B252" s="450">
        <f>INDEX('[1]LOCAL DATASET INPUTS'!E198:AH215,16,C265)</f>
        <v>2024</v>
      </c>
      <c r="C252" s="454">
        <v>0.64</v>
      </c>
      <c r="D252" s="406"/>
      <c r="E252" s="44"/>
      <c r="F252" s="112"/>
    </row>
    <row r="253" spans="1:40" ht="20.100000000000001" customHeight="1">
      <c r="A253" s="437" t="str">
        <f>'[1]LOCAL DATASET INPUTS'!A205</f>
        <v>-</v>
      </c>
      <c r="B253" s="450">
        <f>INDEX('[1]LOCAL DATASET INPUTS'!E198:AH215,8,C265)</f>
        <v>0</v>
      </c>
      <c r="C253" s="454">
        <v>0.06</v>
      </c>
      <c r="D253" s="406"/>
      <c r="E253" s="44"/>
      <c r="F253" s="112"/>
    </row>
    <row r="254" spans="1:40" ht="20.100000000000001" customHeight="1">
      <c r="A254" s="437" t="str">
        <f>'[1]LOCAL DATASET INPUTS'!A206</f>
        <v>-</v>
      </c>
      <c r="B254" s="450">
        <f>INDEX('[1]LOCAL DATASET INPUTS'!E198:AH215,17,C265)</f>
        <v>2.3476920697674415</v>
      </c>
      <c r="C254" s="454">
        <v>0.06</v>
      </c>
      <c r="D254" s="406"/>
      <c r="E254" s="44"/>
      <c r="F254" s="112"/>
    </row>
    <row r="255" spans="1:40" ht="20.100000000000001" customHeight="1">
      <c r="A255" s="437" t="str">
        <f>'[1]LOCAL DATASET INPUTS'!A207</f>
        <v>-</v>
      </c>
      <c r="B255" s="450">
        <f>INDEX('[1]LOCAL DATASET INPUTS'!E198:AH215,10,C265)</f>
        <v>0</v>
      </c>
      <c r="C255" s="454">
        <v>0</v>
      </c>
      <c r="D255" s="406"/>
      <c r="E255" s="44"/>
      <c r="F255" s="112"/>
    </row>
    <row r="256" spans="1:40" ht="20.100000000000001" customHeight="1">
      <c r="A256" s="437" t="str">
        <f>'[1]LOCAL DATASET INPUTS'!A208</f>
        <v>-</v>
      </c>
      <c r="B256" s="450">
        <f>INDEX('[1]LOCAL DATASET INPUTS'!E198:AH215,11,C265)</f>
        <v>0</v>
      </c>
      <c r="C256" s="454">
        <v>0</v>
      </c>
      <c r="D256" s="406"/>
      <c r="E256" s="65"/>
    </row>
    <row r="257" spans="1:5" ht="20.100000000000001" customHeight="1">
      <c r="A257" s="437" t="str">
        <f>'[1]LOCAL DATASET INPUTS'!A209</f>
        <v>-</v>
      </c>
      <c r="B257" s="450">
        <f>INDEX('[1]LOCAL DATASET INPUTS'!E198:AH215,12,C265)</f>
        <v>0</v>
      </c>
      <c r="C257" s="454">
        <v>0</v>
      </c>
      <c r="D257" s="406"/>
      <c r="E257" s="65"/>
    </row>
    <row r="258" spans="1:5" ht="20.100000000000001" customHeight="1">
      <c r="A258" s="437" t="str">
        <f>'[1]LOCAL DATASET INPUTS'!A210</f>
        <v>-</v>
      </c>
      <c r="B258" s="450">
        <f>INDEX('[1]LOCAL DATASET INPUTS'!E198:AH215,13,C265)</f>
        <v>0</v>
      </c>
      <c r="C258" s="454">
        <v>0.19</v>
      </c>
      <c r="D258" s="406"/>
      <c r="E258" s="65"/>
    </row>
    <row r="259" spans="1:5" ht="20.100000000000001" customHeight="1">
      <c r="A259" s="437" t="str">
        <f>'[1]LOCAL DATASET INPUTS'!A211</f>
        <v>trams, million vehicle-km/a</v>
      </c>
      <c r="B259" s="450" t="e">
        <f>INDEX('[1]LOCAL DATASET INPUTS'!E198:AH215,14,C265)</f>
        <v>#VALUE!</v>
      </c>
      <c r="C259" s="454">
        <v>0</v>
      </c>
      <c r="D259" s="406"/>
      <c r="E259" s="65"/>
    </row>
    <row r="260" spans="1:5" ht="20.100000000000001" customHeight="1">
      <c r="A260" s="437" t="str">
        <f>'[1]LOCAL DATASET INPUTS'!A215</f>
        <v>transport activity</v>
      </c>
      <c r="B260" s="450" t="e">
        <f>INDEX('[1]LOCAL DATASET INPUTS'!E198:AH215,18,C265)</f>
        <v>#VALUE!</v>
      </c>
      <c r="C260" s="454">
        <v>20</v>
      </c>
      <c r="D260" s="406"/>
      <c r="E260" s="65"/>
    </row>
    <row r="261" spans="1:5" ht="20.100000000000001" customHeight="1">
      <c r="A261" s="437" t="str">
        <f>'[1]LOCAL DATASET INPUTS'!A201</f>
        <v>-</v>
      </c>
      <c r="B261" s="438">
        <f>INDEX('[1]LOCAL DATASET INPUTS'!E198:AH215,4,C265)</f>
        <v>0</v>
      </c>
      <c r="C261" s="443" t="e">
        <f>(100-SUM(C248:C260))*(B261/(B261+B262))</f>
        <v>#DIV/0!</v>
      </c>
      <c r="D261" s="406"/>
      <c r="E261" s="65"/>
    </row>
    <row r="262" spans="1:5" ht="20.100000000000001" customHeight="1">
      <c r="A262" s="440" t="str">
        <f>'[1]LOCAL DATASET INPUTS'!A204</f>
        <v>-</v>
      </c>
      <c r="B262" s="441">
        <f>INDEX('[1]LOCAL DATASET INPUTS'!E198:AH215,7,C265)</f>
        <v>0</v>
      </c>
      <c r="C262" s="442" t="e">
        <f>(100-SUM(C248:C260))*(B262/(B261+B262))</f>
        <v>#DIV/0!</v>
      </c>
      <c r="D262" s="406"/>
      <c r="E262" s="65"/>
    </row>
    <row r="263" spans="1:5" ht="20.100000000000001" customHeight="1">
      <c r="A263" s="437" t="s">
        <v>183</v>
      </c>
      <c r="B263" s="438" t="e">
        <f>SUM(B248:B262)</f>
        <v>#VALUE!</v>
      </c>
      <c r="C263" s="443">
        <v>100</v>
      </c>
      <c r="D263" s="406"/>
      <c r="E263" s="65"/>
    </row>
    <row r="264" spans="1:5" ht="20.100000000000001" customHeight="1">
      <c r="A264" s="139" t="s">
        <v>175</v>
      </c>
      <c r="B264" s="59" t="s">
        <v>160</v>
      </c>
      <c r="C264" s="59" t="s">
        <v>161</v>
      </c>
      <c r="D264" s="65"/>
      <c r="E264" s="65"/>
    </row>
    <row r="265" spans="1:5" ht="20.100000000000001" customHeight="1">
      <c r="A265" s="64"/>
      <c r="B265" s="65">
        <v>1</v>
      </c>
      <c r="C265" s="65">
        <v>4</v>
      </c>
      <c r="D265" s="65"/>
      <c r="E265" s="65"/>
    </row>
    <row r="266" spans="1:5" ht="20.100000000000001" customHeight="1">
      <c r="A266" s="188" t="str">
        <f>IF(C265&lt;B265,"! end year has to be after start year!","")</f>
        <v/>
      </c>
      <c r="B266" s="189"/>
      <c r="C266" s="189"/>
      <c r="D266" s="225"/>
      <c r="E266" s="65"/>
    </row>
    <row r="267" spans="1:5" ht="20.100000000000001" customHeight="1">
      <c r="A267" s="188" t="str">
        <f>IF(B265&lt;START!$B$2,"Policy period starts before the starting year for the study","")</f>
        <v>Policy period starts before the starting year for the study</v>
      </c>
      <c r="B267" s="189"/>
      <c r="C267" s="189"/>
      <c r="D267" s="225"/>
      <c r="E267" s="65"/>
    </row>
    <row r="268" spans="1:5" ht="20.100000000000001" customHeight="1">
      <c r="A268" s="188"/>
      <c r="B268" s="590" t="s">
        <v>1055</v>
      </c>
      <c r="C268" s="590" t="s">
        <v>1058</v>
      </c>
      <c r="D268" s="225"/>
      <c r="E268" s="65"/>
    </row>
    <row r="269" spans="1:5" ht="20.100000000000001" customHeight="1">
      <c r="A269" s="433"/>
      <c r="B269" s="590"/>
      <c r="C269" s="590"/>
      <c r="D269" s="434" t="s">
        <v>1051</v>
      </c>
      <c r="E269" s="65"/>
    </row>
    <row r="270" spans="1:5" ht="20.100000000000001" customHeight="1">
      <c r="A270" s="435" t="s">
        <v>1056</v>
      </c>
      <c r="B270" s="436">
        <f>2020+C273</f>
        <v>2024</v>
      </c>
      <c r="C270" s="434" t="s">
        <v>89</v>
      </c>
      <c r="D270" s="434" t="s">
        <v>1048</v>
      </c>
      <c r="E270" s="65"/>
    </row>
    <row r="271" spans="1:5" ht="20.100000000000001" customHeight="1">
      <c r="A271" s="451" t="s">
        <v>1057</v>
      </c>
      <c r="B271" s="452">
        <f>INDEX(S382:AV382,1,C273)</f>
        <v>0</v>
      </c>
      <c r="C271" s="453">
        <v>-90</v>
      </c>
      <c r="D271" s="447">
        <v>0</v>
      </c>
      <c r="E271" s="65"/>
    </row>
    <row r="272" spans="1:5" ht="20.100000000000001" customHeight="1">
      <c r="A272" s="139" t="s">
        <v>175</v>
      </c>
      <c r="B272" s="59" t="s">
        <v>160</v>
      </c>
      <c r="C272" s="59" t="s">
        <v>161</v>
      </c>
      <c r="D272" s="65"/>
      <c r="E272" s="65"/>
    </row>
    <row r="273" spans="1:5" ht="20.100000000000001" customHeight="1">
      <c r="A273" s="64"/>
      <c r="B273" s="65">
        <v>1</v>
      </c>
      <c r="C273" s="65">
        <v>4</v>
      </c>
      <c r="D273" s="65"/>
      <c r="E273" s="65"/>
    </row>
    <row r="274" spans="1:5" ht="20.100000000000001" customHeight="1">
      <c r="A274" s="188" t="str">
        <f>IF(C273&lt;B273,"! end year has to be after start year!","")</f>
        <v/>
      </c>
      <c r="B274" s="189"/>
      <c r="C274" s="189"/>
      <c r="D274" s="225"/>
      <c r="E274" s="65"/>
    </row>
    <row r="275" spans="1:5" ht="20.100000000000001" customHeight="1">
      <c r="A275" s="65" t="str">
        <f>IF(B273&lt;START!$B$2,"Policy period starts before the starting year for the study","")</f>
        <v>Policy period starts before the starting year for the study</v>
      </c>
      <c r="B275" s="65"/>
      <c r="C275" s="65"/>
      <c r="D275" s="65"/>
      <c r="E275" s="65"/>
    </row>
    <row r="276" spans="1:5" ht="20.100000000000001" customHeight="1">
      <c r="A276" s="65"/>
      <c r="B276" s="65"/>
      <c r="C276" s="65"/>
      <c r="D276" s="65"/>
      <c r="E276" s="65"/>
    </row>
    <row r="277" spans="1:5" ht="20.100000000000001" customHeight="1">
      <c r="A277" s="65"/>
      <c r="B277" s="65"/>
      <c r="C277" s="65"/>
      <c r="D277" s="65"/>
      <c r="E277" s="65"/>
    </row>
    <row r="278" spans="1:5" ht="20.100000000000001" customHeight="1">
      <c r="A278" s="65"/>
      <c r="B278" s="65"/>
      <c r="C278" s="65"/>
      <c r="D278" s="65"/>
      <c r="E278" s="65"/>
    </row>
    <row r="279" spans="1:5" ht="20.100000000000001" customHeight="1">
      <c r="A279" s="65"/>
      <c r="B279" s="65"/>
      <c r="C279" s="65"/>
      <c r="D279" s="65"/>
      <c r="E279" s="65"/>
    </row>
    <row r="280" spans="1:5" ht="20.100000000000001" customHeight="1">
      <c r="A280" s="65"/>
      <c r="B280" s="65"/>
      <c r="C280" s="65"/>
      <c r="D280" s="65"/>
      <c r="E280" s="65"/>
    </row>
    <row r="281" spans="1:5" ht="20.100000000000001" customHeight="1">
      <c r="A281" s="65"/>
      <c r="B281" s="65"/>
      <c r="C281" s="65"/>
      <c r="D281" s="65"/>
      <c r="E281" s="65"/>
    </row>
    <row r="282" spans="1:5" ht="20.100000000000001" customHeight="1">
      <c r="A282" s="65"/>
      <c r="B282" s="65"/>
      <c r="C282" s="65"/>
      <c r="D282" s="65"/>
      <c r="E282" s="65"/>
    </row>
    <row r="283" spans="1:5" ht="20.100000000000001" customHeight="1">
      <c r="A283" s="65"/>
      <c r="B283" s="65"/>
      <c r="C283" s="65"/>
      <c r="D283" s="65"/>
      <c r="E283" s="65"/>
    </row>
    <row r="284" spans="1:5" ht="20.100000000000001" customHeight="1">
      <c r="A284" s="65"/>
      <c r="B284" s="65"/>
      <c r="C284" s="65"/>
      <c r="D284" s="65"/>
      <c r="E284" s="65"/>
    </row>
    <row r="285" spans="1:5" ht="20.100000000000001" customHeight="1">
      <c r="A285" s="65"/>
      <c r="B285" s="65"/>
      <c r="C285" s="65"/>
      <c r="D285" s="65"/>
      <c r="E285" s="65"/>
    </row>
    <row r="286" spans="1:5" ht="20.100000000000001" customHeight="1">
      <c r="A286" s="65"/>
      <c r="B286" s="65"/>
      <c r="C286" s="65"/>
      <c r="D286" s="65"/>
      <c r="E286" s="65"/>
    </row>
    <row r="287" spans="1:5" ht="20.100000000000001" customHeight="1">
      <c r="A287" s="65"/>
      <c r="B287" s="65"/>
      <c r="C287" s="65"/>
      <c r="D287" s="65"/>
      <c r="E287" s="65"/>
    </row>
    <row r="288" spans="1:5" ht="20.100000000000001" customHeight="1">
      <c r="A288" s="65"/>
      <c r="B288" s="65"/>
      <c r="C288" s="65"/>
      <c r="D288" s="65"/>
      <c r="E288" s="65"/>
    </row>
    <row r="289" spans="1:5" ht="20.100000000000001" customHeight="1">
      <c r="A289" s="65"/>
      <c r="B289" s="65"/>
      <c r="C289" s="65"/>
      <c r="D289" s="65"/>
      <c r="E289" s="65"/>
    </row>
    <row r="290" spans="1:5" ht="20.100000000000001" customHeight="1">
      <c r="A290" s="65"/>
      <c r="B290" s="65"/>
      <c r="C290" s="65"/>
      <c r="D290" s="65"/>
      <c r="E290" s="65"/>
    </row>
    <row r="291" spans="1:5" ht="20.100000000000001" customHeight="1">
      <c r="A291" s="65"/>
      <c r="B291" s="65"/>
      <c r="C291" s="65"/>
      <c r="D291" s="65"/>
      <c r="E291" s="65"/>
    </row>
    <row r="292" spans="1:5" ht="20.100000000000001" customHeight="1">
      <c r="A292" s="65"/>
      <c r="B292" s="65"/>
      <c r="C292" s="65"/>
      <c r="D292" s="65"/>
      <c r="E292" s="65"/>
    </row>
    <row r="293" spans="1:5" ht="20.100000000000001" customHeight="1">
      <c r="A293" s="65"/>
      <c r="B293" s="65"/>
      <c r="C293" s="65"/>
      <c r="D293" s="65"/>
      <c r="E293" s="65"/>
    </row>
    <row r="294" spans="1:5" ht="20.100000000000001" customHeight="1">
      <c r="A294" s="65"/>
      <c r="B294" s="65"/>
      <c r="C294" s="65"/>
      <c r="D294" s="65"/>
      <c r="E294" s="65"/>
    </row>
    <row r="295" spans="1:5" ht="20.100000000000001" customHeight="1">
      <c r="A295" s="65"/>
      <c r="B295" s="65"/>
      <c r="C295" s="65"/>
      <c r="D295" s="65"/>
      <c r="E295" s="65"/>
    </row>
    <row r="296" spans="1:5" ht="20.100000000000001" customHeight="1">
      <c r="A296" s="65"/>
      <c r="B296" s="65"/>
      <c r="C296" s="65"/>
      <c r="D296" s="65"/>
      <c r="E296" s="65"/>
    </row>
    <row r="297" spans="1:5" ht="20.100000000000001" customHeight="1">
      <c r="A297" s="65"/>
      <c r="B297" s="65"/>
      <c r="C297" s="65"/>
      <c r="D297" s="65"/>
      <c r="E297" s="65"/>
    </row>
    <row r="298" spans="1:5" ht="20.100000000000001" customHeight="1">
      <c r="A298" s="65"/>
      <c r="B298" s="65"/>
      <c r="C298" s="65"/>
      <c r="D298" s="65"/>
      <c r="E298" s="65"/>
    </row>
    <row r="299" spans="1:5" ht="20.100000000000001" customHeight="1">
      <c r="A299" s="65"/>
      <c r="B299" s="65"/>
      <c r="C299" s="65"/>
      <c r="D299" s="65"/>
      <c r="E299" s="65"/>
    </row>
    <row r="300" spans="1:5" ht="20.100000000000001" customHeight="1">
      <c r="A300" s="65"/>
      <c r="B300" s="65"/>
      <c r="C300" s="65"/>
      <c r="D300" s="65"/>
      <c r="E300" s="65"/>
    </row>
    <row r="302" spans="1:5" ht="20.100000000000001" customHeight="1">
      <c r="A302" s="92"/>
      <c r="B302" s="79"/>
      <c r="C302" s="79"/>
      <c r="D302" s="79"/>
      <c r="E302" s="93"/>
    </row>
    <row r="303" spans="1:5" ht="20.100000000000001" customHeight="1">
      <c r="A303" s="94"/>
      <c r="B303" s="95"/>
      <c r="C303" s="79"/>
      <c r="D303" s="79"/>
      <c r="E303" s="93"/>
    </row>
    <row r="304" spans="1:5" ht="20.100000000000001" customHeight="1">
      <c r="A304" s="92"/>
      <c r="B304" s="96"/>
      <c r="C304" s="79"/>
      <c r="D304" s="79"/>
      <c r="E304" s="97"/>
    </row>
    <row r="305" spans="1:5" ht="20.100000000000001" customHeight="1">
      <c r="A305" s="92"/>
      <c r="B305" s="96"/>
      <c r="C305" s="79"/>
      <c r="D305" s="79"/>
      <c r="E305" s="97"/>
    </row>
    <row r="306" spans="1:5" ht="20.100000000000001" customHeight="1">
      <c r="A306" s="92"/>
      <c r="B306" s="96"/>
      <c r="C306" s="79"/>
      <c r="D306" s="79"/>
      <c r="E306" s="97"/>
    </row>
    <row r="307" spans="1:5" ht="20.100000000000001" customHeight="1">
      <c r="A307" s="92"/>
      <c r="B307" s="96"/>
      <c r="C307" s="79"/>
      <c r="D307" s="79"/>
      <c r="E307" s="97"/>
    </row>
    <row r="308" spans="1:5" ht="20.100000000000001" customHeight="1">
      <c r="A308" s="92"/>
      <c r="B308" s="79"/>
      <c r="C308" s="79"/>
      <c r="D308" s="79"/>
      <c r="E308" s="97"/>
    </row>
    <row r="309" spans="1:5" ht="20.100000000000001" customHeight="1">
      <c r="A309" s="92"/>
      <c r="B309" s="96"/>
      <c r="C309" s="79"/>
      <c r="D309" s="79"/>
      <c r="E309" s="97"/>
    </row>
    <row r="310" spans="1:5" ht="20.100000000000001" customHeight="1">
      <c r="A310" s="92"/>
      <c r="B310" s="96"/>
      <c r="C310" s="79"/>
      <c r="D310" s="79"/>
      <c r="E310" s="105"/>
    </row>
    <row r="311" spans="1:5" ht="20.100000000000001" customHeight="1">
      <c r="A311" s="92"/>
      <c r="B311" s="96"/>
      <c r="C311" s="79"/>
      <c r="D311" s="79"/>
      <c r="E311" s="97"/>
    </row>
    <row r="312" spans="1:5" ht="20.100000000000001" customHeight="1">
      <c r="A312" s="92"/>
      <c r="B312" s="96"/>
      <c r="C312" s="79"/>
      <c r="D312" s="79"/>
      <c r="E312" s="105"/>
    </row>
    <row r="313" spans="1:5" ht="20.100000000000001" customHeight="1">
      <c r="A313" s="92"/>
      <c r="B313" s="96"/>
      <c r="C313" s="79"/>
      <c r="D313" s="79"/>
      <c r="E313" s="97"/>
    </row>
    <row r="314" spans="1:5" ht="20.100000000000001" customHeight="1">
      <c r="A314" s="92"/>
      <c r="B314" s="96"/>
      <c r="C314" s="79"/>
      <c r="D314" s="79"/>
      <c r="E314" s="105"/>
    </row>
    <row r="315" spans="1:5" ht="20.100000000000001" customHeight="1">
      <c r="A315" s="92"/>
      <c r="B315" s="96"/>
      <c r="C315" s="79"/>
      <c r="D315" s="79"/>
      <c r="E315" s="97"/>
    </row>
    <row r="316" spans="1:5" ht="20.100000000000001" customHeight="1">
      <c r="A316" s="92"/>
      <c r="B316" s="96"/>
      <c r="C316" s="79"/>
      <c r="D316" s="79"/>
      <c r="E316" s="105"/>
    </row>
    <row r="317" spans="1:5" ht="20.100000000000001" customHeight="1">
      <c r="A317" s="92"/>
      <c r="B317" s="96"/>
      <c r="C317" s="79"/>
      <c r="D317" s="79"/>
      <c r="E317" s="97"/>
    </row>
    <row r="318" spans="1:5" ht="20.100000000000001" customHeight="1">
      <c r="A318" s="92"/>
      <c r="B318" s="96"/>
      <c r="C318" s="79"/>
      <c r="D318" s="79"/>
      <c r="E318" s="105"/>
    </row>
    <row r="319" spans="1:5" ht="20.100000000000001" customHeight="1">
      <c r="A319" s="92" t="s">
        <v>154</v>
      </c>
      <c r="B319" s="114"/>
      <c r="C319" s="79"/>
      <c r="D319" s="79"/>
      <c r="E319" s="97"/>
    </row>
    <row r="320" spans="1:5" ht="20.100000000000001" customHeight="1" thickBot="1">
      <c r="A320" s="92"/>
      <c r="B320" s="115" t="s">
        <v>155</v>
      </c>
      <c r="C320" s="115" t="s">
        <v>153</v>
      </c>
      <c r="D320" s="115" t="s">
        <v>156</v>
      </c>
      <c r="E320" s="105"/>
    </row>
    <row r="321" spans="1:5" ht="20.100000000000001" customHeight="1">
      <c r="A321" s="92"/>
      <c r="B321" s="116" t="e">
        <f>IF(#REF!=1,$U$2,"")</f>
        <v>#REF!</v>
      </c>
      <c r="C321" s="117" t="e">
        <f>IF(#REF!=1,$U$2,"")</f>
        <v>#REF!</v>
      </c>
      <c r="D321" s="117" t="e">
        <f>IF(#REF!=1,$U$2,"")</f>
        <v>#REF!</v>
      </c>
      <c r="E321" s="97"/>
    </row>
    <row r="322" spans="1:5" ht="20.100000000000001" customHeight="1">
      <c r="A322" s="92"/>
      <c r="B322" s="118" t="str">
        <f ca="1">IF((YEAR(TODAY())-MIN('DEFAULT DATA'!B180:CV180))&lt;5,"l","")</f>
        <v/>
      </c>
      <c r="C322" s="119"/>
      <c r="D322" s="119"/>
      <c r="E322" s="97"/>
    </row>
    <row r="323" spans="1:5" ht="20.100000000000001" customHeight="1">
      <c r="A323" s="92"/>
      <c r="B323" s="120"/>
      <c r="C323" s="121" t="e">
        <f>IF(#REF!=2,$U$2,"")</f>
        <v>#REF!</v>
      </c>
      <c r="D323" s="121" t="e">
        <f>IF(#REF!=2,$U$2,"")</f>
        <v>#REF!</v>
      </c>
      <c r="E323" s="97"/>
    </row>
    <row r="324" spans="1:5" ht="20.100000000000001" customHeight="1">
      <c r="A324" s="122"/>
      <c r="B324" s="120" t="str">
        <f ca="1">IF(AND((YEAR(TODAY())-MIN('DEFAULT DATA'!B180:CV180))&gt;5,(YEAR(TODAY())-MIN('DEFAULT DATA'!B180:CV180))&lt;10),"l","")</f>
        <v/>
      </c>
      <c r="C324" s="123"/>
      <c r="D324" s="123"/>
      <c r="E324" s="97"/>
    </row>
    <row r="325" spans="1:5" ht="20.100000000000001" customHeight="1">
      <c r="A325" s="87"/>
      <c r="B325" s="118" t="e">
        <f>IF(#REF!=3,$U$2,"")</f>
        <v>#REF!</v>
      </c>
      <c r="C325" s="124" t="e">
        <f>IF(#REF!=3,$U$2,"")</f>
        <v>#REF!</v>
      </c>
      <c r="D325" s="124" t="e">
        <f>IF(#REF!=3,$U$2,"")</f>
        <v>#REF!</v>
      </c>
      <c r="E325" s="125" t="s">
        <v>188</v>
      </c>
    </row>
    <row r="326" spans="1:5" ht="20.100000000000001" customHeight="1">
      <c r="A326" s="92"/>
      <c r="B326" s="126" t="str">
        <f ca="1">IF((YEAR(TODAY())-MIN('DEFAULT DATA'!B180:CV180))&gt;10,"l","")</f>
        <v>l</v>
      </c>
      <c r="C326" s="127"/>
      <c r="D326" s="127"/>
      <c r="E326" s="125" t="s">
        <v>187</v>
      </c>
    </row>
    <row r="327" spans="1:5" ht="20.100000000000001" customHeight="1" thickBot="1">
      <c r="A327" s="128"/>
      <c r="B327" s="129"/>
      <c r="C327" s="130"/>
      <c r="D327" s="130"/>
      <c r="E327" s="131"/>
    </row>
  </sheetData>
  <mergeCells count="38">
    <mergeCell ref="F2:R2"/>
    <mergeCell ref="A112:E112"/>
    <mergeCell ref="A118:C118"/>
    <mergeCell ref="A2:E2"/>
    <mergeCell ref="A5:B5"/>
    <mergeCell ref="A6:B6"/>
    <mergeCell ref="A7:B7"/>
    <mergeCell ref="A8:B8"/>
    <mergeCell ref="A9:B9"/>
    <mergeCell ref="B74:B75"/>
    <mergeCell ref="F15:G15"/>
    <mergeCell ref="F92:G92"/>
    <mergeCell ref="H25:J25"/>
    <mergeCell ref="H36:I36"/>
    <mergeCell ref="B268:B269"/>
    <mergeCell ref="C268:C269"/>
    <mergeCell ref="F204:G204"/>
    <mergeCell ref="F186:G186"/>
    <mergeCell ref="F161:G161"/>
    <mergeCell ref="B212:B213"/>
    <mergeCell ref="C212:C213"/>
    <mergeCell ref="A179:E179"/>
    <mergeCell ref="B180:B181"/>
    <mergeCell ref="C180:C181"/>
    <mergeCell ref="D213:D214"/>
    <mergeCell ref="B189:B190"/>
    <mergeCell ref="B224:B225"/>
    <mergeCell ref="C224:C225"/>
    <mergeCell ref="D225:D226"/>
    <mergeCell ref="F150:F157"/>
    <mergeCell ref="A126:B126"/>
    <mergeCell ref="A127:B127"/>
    <mergeCell ref="A128:B128"/>
    <mergeCell ref="A129:B129"/>
    <mergeCell ref="A130:B130"/>
    <mergeCell ref="F142:F149"/>
    <mergeCell ref="F134:F141"/>
    <mergeCell ref="F133:G133"/>
  </mergeCells>
  <pageMargins left="0.7" right="0.7" top="0.75" bottom="0.75" header="0.3" footer="0.3"/>
  <pageSetup paperSize="9" scale="98" orientation="portrait" r:id="rId1"/>
  <rowBreaks count="1" manualBreakCount="1">
    <brk id="38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52" r:id="rId4" name="Drop Down 284">
              <controlPr defaultSize="0" autoLine="0" autoPict="0">
                <anchor moveWithCells="1">
                  <from>
                    <xdr:col>1</xdr:col>
                    <xdr:colOff>38100</xdr:colOff>
                    <xdr:row>15</xdr:row>
                    <xdr:rowOff>0</xdr:rowOff>
                  </from>
                  <to>
                    <xdr:col>2</xdr:col>
                    <xdr:colOff>685800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3" r:id="rId5" name="Drop Down 285">
              <controlPr defaultSize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685800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4" r:id="rId6" name="Drop Down 286">
              <controlPr defaultSize="0" autoLine="0" autoPict="0">
                <anchor moveWithCells="1">
                  <from>
                    <xdr:col>1</xdr:col>
                    <xdr:colOff>38100</xdr:colOff>
                    <xdr:row>17</xdr:row>
                    <xdr:rowOff>0</xdr:rowOff>
                  </from>
                  <to>
                    <xdr:col>2</xdr:col>
                    <xdr:colOff>685800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5" r:id="rId7" name="Drop Down 287">
              <controlPr defaultSize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685800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8" r:id="rId8" name="Drop Down 290">
              <controlPr defaultSize="0" autoLine="0" autoPict="0">
                <anchor moveWithCells="1">
                  <from>
                    <xdr:col>0</xdr:col>
                    <xdr:colOff>1847850</xdr:colOff>
                    <xdr:row>116</xdr:row>
                    <xdr:rowOff>9525</xdr:rowOff>
                  </from>
                  <to>
                    <xdr:col>1</xdr:col>
                    <xdr:colOff>704850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9" r:id="rId9" name="Drop Down 291">
              <controlPr defaultSize="0" autoLine="0" autoPict="0">
                <anchor moveWithCells="1">
                  <from>
                    <xdr:col>1</xdr:col>
                    <xdr:colOff>714375</xdr:colOff>
                    <xdr:row>116</xdr:row>
                    <xdr:rowOff>9525</xdr:rowOff>
                  </from>
                  <to>
                    <xdr:col>3</xdr:col>
                    <xdr:colOff>190500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2" r:id="rId10" name="Drop Down 294">
              <controlPr defaultSize="0" autoLine="0" autoPict="0">
                <anchor moveWithCells="1">
                  <from>
                    <xdr:col>0</xdr:col>
                    <xdr:colOff>1847850</xdr:colOff>
                    <xdr:row>183</xdr:row>
                    <xdr:rowOff>9525</xdr:rowOff>
                  </from>
                  <to>
                    <xdr:col>1</xdr:col>
                    <xdr:colOff>704850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3" r:id="rId11" name="Drop Down 295">
              <controlPr defaultSize="0" autoLine="0" autoPict="0">
                <anchor moveWithCells="1">
                  <from>
                    <xdr:col>2</xdr:col>
                    <xdr:colOff>0</xdr:colOff>
                    <xdr:row>183</xdr:row>
                    <xdr:rowOff>9525</xdr:rowOff>
                  </from>
                  <to>
                    <xdr:col>3</xdr:col>
                    <xdr:colOff>190500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" r:id="rId12" name="Drop Down 307">
              <controlPr defaultSize="0" autoLine="0" autoPict="0">
                <anchor moveWithCells="1">
                  <from>
                    <xdr:col>2</xdr:col>
                    <xdr:colOff>0</xdr:colOff>
                    <xdr:row>221</xdr:row>
                    <xdr:rowOff>9525</xdr:rowOff>
                  </from>
                  <to>
                    <xdr:col>3</xdr:col>
                    <xdr:colOff>190500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" r:id="rId13" name="Drop Down 308">
              <controlPr defaultSize="0" autoLine="0" autoPict="0">
                <anchor moveWithCells="1">
                  <from>
                    <xdr:col>0</xdr:col>
                    <xdr:colOff>1866900</xdr:colOff>
                    <xdr:row>221</xdr:row>
                    <xdr:rowOff>19050</xdr:rowOff>
                  </from>
                  <to>
                    <xdr:col>2</xdr:col>
                    <xdr:colOff>0</xdr:colOff>
                    <xdr:row>222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6" r:id="rId14" name="Drop Down 318">
              <controlPr defaultSize="0" autoLine="0" autoPict="0">
                <anchor moveWithCells="1">
                  <from>
                    <xdr:col>0</xdr:col>
                    <xdr:colOff>1847850</xdr:colOff>
                    <xdr:row>192</xdr:row>
                    <xdr:rowOff>9525</xdr:rowOff>
                  </from>
                  <to>
                    <xdr:col>1</xdr:col>
                    <xdr:colOff>704850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7" r:id="rId15" name="Drop Down 319">
              <controlPr defaultSize="0" autoLine="0" autoPict="0">
                <anchor moveWithCells="1">
                  <from>
                    <xdr:col>2</xdr:col>
                    <xdr:colOff>0</xdr:colOff>
                    <xdr:row>192</xdr:row>
                    <xdr:rowOff>9525</xdr:rowOff>
                  </from>
                  <to>
                    <xdr:col>3</xdr:col>
                    <xdr:colOff>190500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2" r:id="rId16" name="Drop Down 354">
              <controlPr defaultSize="0" autoLine="0" autoPict="0">
                <anchor moveWithCells="1">
                  <from>
                    <xdr:col>2</xdr:col>
                    <xdr:colOff>0</xdr:colOff>
                    <xdr:row>231</xdr:row>
                    <xdr:rowOff>9525</xdr:rowOff>
                  </from>
                  <to>
                    <xdr:col>3</xdr:col>
                    <xdr:colOff>190500</xdr:colOff>
                    <xdr:row>231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3" r:id="rId17" name="Drop Down 355">
              <controlPr defaultSize="0" autoLine="0" autoPict="0">
                <anchor moveWithCells="1">
                  <from>
                    <xdr:col>0</xdr:col>
                    <xdr:colOff>1866900</xdr:colOff>
                    <xdr:row>231</xdr:row>
                    <xdr:rowOff>19050</xdr:rowOff>
                  </from>
                  <to>
                    <xdr:col>2</xdr:col>
                    <xdr:colOff>0</xdr:colOff>
                    <xdr:row>232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6" r:id="rId18" name="Drop Down 358">
              <controlPr defaultSize="0" autoLine="0" autoPict="0">
                <anchor moveWithCells="1">
                  <from>
                    <xdr:col>2</xdr:col>
                    <xdr:colOff>9525</xdr:colOff>
                    <xdr:row>242</xdr:row>
                    <xdr:rowOff>19050</xdr:rowOff>
                  </from>
                  <to>
                    <xdr:col>3</xdr:col>
                    <xdr:colOff>190500</xdr:colOff>
                    <xdr:row>243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7" r:id="rId19" name="Drop Down 359">
              <controlPr defaultSize="0" autoLine="0" autoPict="0">
                <anchor moveWithCells="1">
                  <from>
                    <xdr:col>0</xdr:col>
                    <xdr:colOff>1866900</xdr:colOff>
                    <xdr:row>242</xdr:row>
                    <xdr:rowOff>19050</xdr:rowOff>
                  </from>
                  <to>
                    <xdr:col>2</xdr:col>
                    <xdr:colOff>0</xdr:colOff>
                    <xdr:row>243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0" r:id="rId20" name="Drop Down 362">
              <controlPr defaultSize="0" autoLine="0" autoPict="0">
                <anchor moveWithCells="1">
                  <from>
                    <xdr:col>2</xdr:col>
                    <xdr:colOff>9525</xdr:colOff>
                    <xdr:row>264</xdr:row>
                    <xdr:rowOff>19050</xdr:rowOff>
                  </from>
                  <to>
                    <xdr:col>3</xdr:col>
                    <xdr:colOff>190500</xdr:colOff>
                    <xdr:row>265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1" r:id="rId21" name="Drop Down 363">
              <controlPr defaultSize="0" autoLine="0" autoPict="0">
                <anchor moveWithCells="1">
                  <from>
                    <xdr:col>0</xdr:col>
                    <xdr:colOff>1866900</xdr:colOff>
                    <xdr:row>264</xdr:row>
                    <xdr:rowOff>19050</xdr:rowOff>
                  </from>
                  <to>
                    <xdr:col>2</xdr:col>
                    <xdr:colOff>0</xdr:colOff>
                    <xdr:row>265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4" r:id="rId22" name="Drop Down 366">
              <controlPr defaultSize="0" autoLine="0" autoPict="0">
                <anchor moveWithCells="1">
                  <from>
                    <xdr:col>2</xdr:col>
                    <xdr:colOff>19050</xdr:colOff>
                    <xdr:row>272</xdr:row>
                    <xdr:rowOff>19050</xdr:rowOff>
                  </from>
                  <to>
                    <xdr:col>3</xdr:col>
                    <xdr:colOff>219075</xdr:colOff>
                    <xdr:row>273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5" r:id="rId23" name="Drop Down 367">
              <controlPr defaultSize="0" autoLine="0" autoPict="0">
                <anchor moveWithCells="1">
                  <from>
                    <xdr:col>0</xdr:col>
                    <xdr:colOff>1866900</xdr:colOff>
                    <xdr:row>272</xdr:row>
                    <xdr:rowOff>19050</xdr:rowOff>
                  </from>
                  <to>
                    <xdr:col>2</xdr:col>
                    <xdr:colOff>19050</xdr:colOff>
                    <xdr:row>273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GL101"/>
  <sheetViews>
    <sheetView zoomScaleNormal="100" zoomScaleSheetLayoutView="100" workbookViewId="0"/>
  </sheetViews>
  <sheetFormatPr defaultRowHeight="20.100000000000001" customHeight="1"/>
  <cols>
    <col min="1" max="1" width="30.7109375" style="24" customWidth="1"/>
    <col min="2" max="7" width="12.7109375" style="24" customWidth="1"/>
    <col min="8" max="11" width="9.140625" style="24"/>
    <col min="12" max="12" width="12.7109375" style="24" customWidth="1"/>
    <col min="13" max="13" width="50.7109375" style="24" customWidth="1"/>
    <col min="14" max="43" width="10.7109375" style="24" customWidth="1"/>
    <col min="44" max="44" width="9.140625" style="24"/>
    <col min="45" max="45" width="10.7109375" style="24" customWidth="1"/>
    <col min="46" max="16384" width="9.140625" style="24"/>
  </cols>
  <sheetData>
    <row r="1" spans="1:43" s="22" customFormat="1" ht="30" customHeight="1" thickBot="1">
      <c r="A1" s="21" t="s">
        <v>330</v>
      </c>
    </row>
    <row r="2" spans="1:43" ht="20.100000000000001" customHeight="1" thickBot="1">
      <c r="A2" s="617" t="s">
        <v>336</v>
      </c>
      <c r="B2" s="618"/>
      <c r="C2" s="618"/>
      <c r="D2" s="618"/>
      <c r="E2" s="618"/>
      <c r="F2" s="618"/>
      <c r="G2" s="618"/>
      <c r="H2" s="619"/>
    </row>
    <row r="3" spans="1:43" ht="20.100000000000001" customHeight="1">
      <c r="A3" s="389"/>
      <c r="B3" s="388"/>
      <c r="C3" s="388"/>
      <c r="D3" s="388"/>
      <c r="E3" s="388"/>
      <c r="F3" s="388"/>
      <c r="G3" s="388"/>
      <c r="H3" s="37"/>
      <c r="M3" s="319" t="s">
        <v>930</v>
      </c>
    </row>
    <row r="4" spans="1:43" ht="20.100000000000001" customHeight="1">
      <c r="A4" s="318" t="s">
        <v>956</v>
      </c>
      <c r="B4" s="59"/>
      <c r="C4" s="59"/>
      <c r="D4" s="59"/>
      <c r="E4" s="59"/>
      <c r="F4" s="59"/>
      <c r="G4" s="59"/>
      <c r="H4" s="44"/>
      <c r="M4" s="381"/>
      <c r="N4" s="281">
        <v>2021</v>
      </c>
      <c r="O4" s="281">
        <f>N4+1</f>
        <v>2022</v>
      </c>
      <c r="P4" s="281">
        <f t="shared" ref="P4:AQ4" si="0">O4+1</f>
        <v>2023</v>
      </c>
      <c r="Q4" s="281">
        <f t="shared" si="0"/>
        <v>2024</v>
      </c>
      <c r="R4" s="281">
        <f t="shared" si="0"/>
        <v>2025</v>
      </c>
      <c r="S4" s="281">
        <f t="shared" si="0"/>
        <v>2026</v>
      </c>
      <c r="T4" s="281">
        <f t="shared" si="0"/>
        <v>2027</v>
      </c>
      <c r="U4" s="281">
        <f t="shared" si="0"/>
        <v>2028</v>
      </c>
      <c r="V4" s="281">
        <f t="shared" si="0"/>
        <v>2029</v>
      </c>
      <c r="W4" s="281">
        <f t="shared" si="0"/>
        <v>2030</v>
      </c>
      <c r="X4" s="281">
        <f t="shared" si="0"/>
        <v>2031</v>
      </c>
      <c r="Y4" s="281">
        <f t="shared" si="0"/>
        <v>2032</v>
      </c>
      <c r="Z4" s="281">
        <f t="shared" si="0"/>
        <v>2033</v>
      </c>
      <c r="AA4" s="281">
        <f t="shared" si="0"/>
        <v>2034</v>
      </c>
      <c r="AB4" s="281">
        <f t="shared" si="0"/>
        <v>2035</v>
      </c>
      <c r="AC4" s="281">
        <f t="shared" si="0"/>
        <v>2036</v>
      </c>
      <c r="AD4" s="281">
        <f t="shared" si="0"/>
        <v>2037</v>
      </c>
      <c r="AE4" s="281">
        <f t="shared" si="0"/>
        <v>2038</v>
      </c>
      <c r="AF4" s="281">
        <f t="shared" si="0"/>
        <v>2039</v>
      </c>
      <c r="AG4" s="281">
        <f t="shared" si="0"/>
        <v>2040</v>
      </c>
      <c r="AH4" s="281">
        <f t="shared" si="0"/>
        <v>2041</v>
      </c>
      <c r="AI4" s="281">
        <f t="shared" si="0"/>
        <v>2042</v>
      </c>
      <c r="AJ4" s="281">
        <f t="shared" si="0"/>
        <v>2043</v>
      </c>
      <c r="AK4" s="281">
        <f t="shared" si="0"/>
        <v>2044</v>
      </c>
      <c r="AL4" s="281">
        <f t="shared" si="0"/>
        <v>2045</v>
      </c>
      <c r="AM4" s="281">
        <f t="shared" si="0"/>
        <v>2046</v>
      </c>
      <c r="AN4" s="281">
        <f t="shared" si="0"/>
        <v>2047</v>
      </c>
      <c r="AO4" s="281">
        <f t="shared" si="0"/>
        <v>2048</v>
      </c>
      <c r="AP4" s="281">
        <f t="shared" si="0"/>
        <v>2049</v>
      </c>
      <c r="AQ4" s="281">
        <f t="shared" si="0"/>
        <v>2050</v>
      </c>
    </row>
    <row r="5" spans="1:43" ht="20.100000000000001" customHeight="1">
      <c r="A5" s="236"/>
      <c r="B5" s="59"/>
      <c r="C5" s="59"/>
      <c r="D5" s="59"/>
      <c r="E5" s="59"/>
      <c r="F5" s="59"/>
      <c r="G5" s="59"/>
      <c r="H5" s="44"/>
      <c r="M5" s="380" t="s">
        <v>929</v>
      </c>
      <c r="N5" s="390">
        <f>TRANSPORT!K116</f>
        <v>0</v>
      </c>
      <c r="O5" s="392">
        <f>TRANSPORT!L116</f>
        <v>0</v>
      </c>
      <c r="P5" s="392">
        <f>TRANSPORT!M116</f>
        <v>625</v>
      </c>
      <c r="Q5" s="392">
        <f>TRANSPORT!N116</f>
        <v>1250</v>
      </c>
      <c r="R5" s="392">
        <f>TRANSPORT!O116</f>
        <v>22875</v>
      </c>
      <c r="S5" s="392">
        <f>TRANSPORT!P116</f>
        <v>23605</v>
      </c>
      <c r="T5" s="392">
        <f>TRANSPORT!Q116</f>
        <v>24335</v>
      </c>
      <c r="U5" s="392">
        <f>TRANSPORT!R116</f>
        <v>25066</v>
      </c>
      <c r="V5" s="392">
        <f>TRANSPORT!S116</f>
        <v>25797</v>
      </c>
      <c r="W5" s="392">
        <f>TRANSPORT!T116</f>
        <v>26529</v>
      </c>
      <c r="X5" s="392">
        <f>TRANSPORT!U116</f>
        <v>26661</v>
      </c>
      <c r="Y5" s="392">
        <f>TRANSPORT!V116</f>
        <v>26794</v>
      </c>
      <c r="Z5" s="392">
        <f>TRANSPORT!W116</f>
        <v>26927</v>
      </c>
      <c r="AA5" s="392">
        <f>TRANSPORT!X116</f>
        <v>27061</v>
      </c>
      <c r="AB5" s="392">
        <f>TRANSPORT!Y116</f>
        <v>27196</v>
      </c>
      <c r="AC5" s="392">
        <f>TRANSPORT!Z116</f>
        <v>27332</v>
      </c>
      <c r="AD5" s="392">
        <f>TRANSPORT!AA116</f>
        <v>27468</v>
      </c>
      <c r="AE5" s="392">
        <f>TRANSPORT!AB116</f>
        <v>27605</v>
      </c>
      <c r="AF5" s="392">
        <f>TRANSPORT!AC116</f>
        <v>27743</v>
      </c>
      <c r="AG5" s="392">
        <f>TRANSPORT!AD116</f>
        <v>27881</v>
      </c>
      <c r="AH5" s="392">
        <f>TRANSPORT!AE116</f>
        <v>28020</v>
      </c>
      <c r="AI5" s="392">
        <f>TRANSPORT!AF116</f>
        <v>28159</v>
      </c>
      <c r="AJ5" s="392">
        <f>TRANSPORT!AG116</f>
        <v>28300</v>
      </c>
      <c r="AK5" s="392">
        <f>TRANSPORT!AH116</f>
        <v>28441</v>
      </c>
      <c r="AL5" s="392">
        <f>TRANSPORT!AI116</f>
        <v>28583</v>
      </c>
      <c r="AM5" s="392">
        <f>TRANSPORT!AJ116</f>
        <v>28725</v>
      </c>
      <c r="AN5" s="392">
        <f>TRANSPORT!AK116</f>
        <v>28868</v>
      </c>
      <c r="AO5" s="392">
        <f>TRANSPORT!AL116</f>
        <v>29012</v>
      </c>
      <c r="AP5" s="392">
        <f>TRANSPORT!AM116</f>
        <v>29156</v>
      </c>
      <c r="AQ5" s="392">
        <f>TRANSPORT!AN116</f>
        <v>29301</v>
      </c>
    </row>
    <row r="6" spans="1:43" ht="20.100000000000001" customHeight="1">
      <c r="A6" s="236"/>
      <c r="B6" s="59"/>
      <c r="C6" s="59"/>
      <c r="D6" s="59"/>
      <c r="E6" s="59"/>
      <c r="F6" s="59"/>
      <c r="G6" s="59"/>
      <c r="H6" s="44"/>
    </row>
    <row r="7" spans="1:43" ht="20.100000000000001" customHeight="1">
      <c r="A7" s="236"/>
      <c r="B7" s="59"/>
      <c r="C7" s="59"/>
      <c r="D7" s="59"/>
      <c r="E7" s="59"/>
      <c r="F7" s="59"/>
      <c r="G7" s="59"/>
      <c r="H7" s="44"/>
      <c r="M7" s="319" t="s">
        <v>957</v>
      </c>
    </row>
    <row r="8" spans="1:43" ht="20.100000000000001" customHeight="1">
      <c r="A8" s="236"/>
      <c r="B8" s="59"/>
      <c r="C8" s="59"/>
      <c r="D8" s="59"/>
      <c r="E8" s="59"/>
      <c r="F8" s="59"/>
      <c r="G8" s="59"/>
      <c r="H8" s="44"/>
      <c r="M8" s="380" t="s">
        <v>377</v>
      </c>
      <c r="N8" s="379">
        <v>2021</v>
      </c>
      <c r="O8" s="281">
        <f>N8+1</f>
        <v>2022</v>
      </c>
      <c r="P8" s="281">
        <f t="shared" ref="P8:AP8" si="1">O8+1</f>
        <v>2023</v>
      </c>
      <c r="Q8" s="281">
        <f t="shared" si="1"/>
        <v>2024</v>
      </c>
      <c r="R8" s="281">
        <f t="shared" si="1"/>
        <v>2025</v>
      </c>
      <c r="S8" s="281">
        <f t="shared" si="1"/>
        <v>2026</v>
      </c>
      <c r="T8" s="281">
        <f t="shared" si="1"/>
        <v>2027</v>
      </c>
      <c r="U8" s="281">
        <f t="shared" si="1"/>
        <v>2028</v>
      </c>
      <c r="V8" s="281">
        <f t="shared" si="1"/>
        <v>2029</v>
      </c>
      <c r="W8" s="281">
        <f t="shared" si="1"/>
        <v>2030</v>
      </c>
      <c r="X8" s="281">
        <f t="shared" si="1"/>
        <v>2031</v>
      </c>
      <c r="Y8" s="281">
        <f t="shared" si="1"/>
        <v>2032</v>
      </c>
      <c r="Z8" s="281">
        <f t="shared" si="1"/>
        <v>2033</v>
      </c>
      <c r="AA8" s="281">
        <f t="shared" si="1"/>
        <v>2034</v>
      </c>
      <c r="AB8" s="281">
        <f t="shared" si="1"/>
        <v>2035</v>
      </c>
      <c r="AC8" s="281">
        <f t="shared" si="1"/>
        <v>2036</v>
      </c>
      <c r="AD8" s="281">
        <f t="shared" si="1"/>
        <v>2037</v>
      </c>
      <c r="AE8" s="281">
        <f t="shared" si="1"/>
        <v>2038</v>
      </c>
      <c r="AF8" s="281">
        <f t="shared" si="1"/>
        <v>2039</v>
      </c>
      <c r="AG8" s="281">
        <f t="shared" si="1"/>
        <v>2040</v>
      </c>
      <c r="AH8" s="281">
        <f t="shared" si="1"/>
        <v>2041</v>
      </c>
      <c r="AI8" s="281">
        <f t="shared" si="1"/>
        <v>2042</v>
      </c>
      <c r="AJ8" s="281">
        <f t="shared" si="1"/>
        <v>2043</v>
      </c>
      <c r="AK8" s="281">
        <f t="shared" si="1"/>
        <v>2044</v>
      </c>
      <c r="AL8" s="281">
        <f t="shared" si="1"/>
        <v>2045</v>
      </c>
      <c r="AM8" s="281">
        <f t="shared" si="1"/>
        <v>2046</v>
      </c>
      <c r="AN8" s="281">
        <f t="shared" si="1"/>
        <v>2047</v>
      </c>
      <c r="AO8" s="281">
        <f t="shared" si="1"/>
        <v>2048</v>
      </c>
      <c r="AP8" s="281">
        <f t="shared" si="1"/>
        <v>2049</v>
      </c>
      <c r="AQ8" s="281">
        <f>AP8+1</f>
        <v>2050</v>
      </c>
    </row>
    <row r="9" spans="1:43" ht="20.100000000000001" customHeight="1">
      <c r="A9" s="236"/>
      <c r="B9" s="59"/>
      <c r="C9" s="59"/>
      <c r="D9" s="59"/>
      <c r="E9" s="59"/>
      <c r="F9" s="59"/>
      <c r="G9" s="59"/>
      <c r="H9" s="44"/>
      <c r="M9" s="320" t="s">
        <v>888</v>
      </c>
      <c r="N9" s="380"/>
      <c r="O9" s="394">
        <f>INDEX('DEFAULT DATA'!DB9:DB41,START!B3,1)</f>
        <v>0</v>
      </c>
      <c r="P9" s="394">
        <f>O9*(100+INDEX('DEFAULT DATA'!$DC$9:$DE$41,START!$B$3,1))/100</f>
        <v>0</v>
      </c>
      <c r="Q9" s="394">
        <f>P9*(100+INDEX('DEFAULT DATA'!$DC$9:$DE$41,START!$B$3,1))/100</f>
        <v>0</v>
      </c>
      <c r="R9" s="394">
        <f>Q9*(100+INDEX('DEFAULT DATA'!$DC$9:$DE$41,START!$B$3,1))/100</f>
        <v>0</v>
      </c>
      <c r="S9" s="394">
        <f>R9*(100+INDEX('DEFAULT DATA'!$DC$9:$DE$41,START!$B$3,1))/100</f>
        <v>0</v>
      </c>
      <c r="T9" s="394">
        <f>S9*(100+INDEX('DEFAULT DATA'!$DC$9:$DE$41,START!$B$3,1))/100</f>
        <v>0</v>
      </c>
      <c r="U9" s="394">
        <f>T9*(100+INDEX('DEFAULT DATA'!$DC$9:$DE$41,START!$B$3,1))/100</f>
        <v>0</v>
      </c>
      <c r="V9" s="394">
        <f>U9*(100+INDEX('DEFAULT DATA'!$DC$9:$DE$41,START!$B$3,1))/100</f>
        <v>0</v>
      </c>
      <c r="W9" s="394">
        <f>V9*(100+INDEX('DEFAULT DATA'!$DC$9:$DE$41,START!$B$3,1))/100</f>
        <v>0</v>
      </c>
      <c r="X9" s="394">
        <f>W9*(100+INDEX('DEFAULT DATA'!$DC$9:$DE$41,START!$B$3,2))/100</f>
        <v>0</v>
      </c>
      <c r="Y9" s="394">
        <f>X9*(100+INDEX('DEFAULT DATA'!$DC$9:$DE$41,START!$B$3,2))/100</f>
        <v>0</v>
      </c>
      <c r="Z9" s="394">
        <f>Y9*(100+INDEX('DEFAULT DATA'!$DC$9:$DE$41,START!$B$3,2))/100</f>
        <v>0</v>
      </c>
      <c r="AA9" s="394">
        <f>Z9*(100+INDEX('DEFAULT DATA'!$DC$9:$DE$41,START!$B$3,2))/100</f>
        <v>0</v>
      </c>
      <c r="AB9" s="394">
        <f>AA9*(100+INDEX('DEFAULT DATA'!$DC$9:$DE$41,START!$B$3,2))/100</f>
        <v>0</v>
      </c>
      <c r="AC9" s="394">
        <f>AB9*(100+INDEX('DEFAULT DATA'!$DC$9:$DE$41,START!$B$3,2))/100</f>
        <v>0</v>
      </c>
      <c r="AD9" s="394">
        <f>AC9*(100+INDEX('DEFAULT DATA'!$DC$9:$DE$41,START!$B$3,2))/100</f>
        <v>0</v>
      </c>
      <c r="AE9" s="394">
        <f>AD9*(100+INDEX('DEFAULT DATA'!$DC$9:$DE$41,START!$B$3,2))/100</f>
        <v>0</v>
      </c>
      <c r="AF9" s="394">
        <f>AE9*(100+INDEX('DEFAULT DATA'!$DC$9:$DE$41,START!$B$3,2))/100</f>
        <v>0</v>
      </c>
      <c r="AG9" s="394">
        <f>AF9*(100+INDEX('DEFAULT DATA'!$DC$9:$DE$41,START!$B$3,2))/100</f>
        <v>0</v>
      </c>
      <c r="AH9" s="394">
        <f>AG9*(100+INDEX('DEFAULT DATA'!$DC$9:$DE$41,START!$B$3,3))/100</f>
        <v>0</v>
      </c>
      <c r="AI9" s="394">
        <f>AH9*(100+INDEX('DEFAULT DATA'!$DC$9:$DE$41,START!$B$3,3))/100</f>
        <v>0</v>
      </c>
      <c r="AJ9" s="394">
        <f>AI9*(100+INDEX('DEFAULT DATA'!$DC$9:$DE$41,START!$B$3,3))/100</f>
        <v>0</v>
      </c>
      <c r="AK9" s="394">
        <f>AJ9*(100+INDEX('DEFAULT DATA'!$DC$9:$DE$41,START!$B$3,3))/100</f>
        <v>0</v>
      </c>
      <c r="AL9" s="394">
        <f>AK9*(100+INDEX('DEFAULT DATA'!$DC$9:$DE$41,START!$B$3,3))/100</f>
        <v>0</v>
      </c>
      <c r="AM9" s="394">
        <f>AL9*(100+INDEX('DEFAULT DATA'!$DC$9:$DE$41,START!$B$3,3))/100</f>
        <v>0</v>
      </c>
      <c r="AN9" s="394">
        <f>AM9*(100+INDEX('DEFAULT DATA'!$DC$9:$DE$41,START!$B$3,3))/100</f>
        <v>0</v>
      </c>
      <c r="AO9" s="394">
        <f>AN9*(100+INDEX('DEFAULT DATA'!$DC$9:$DE$41,START!$B$3,3))/100</f>
        <v>0</v>
      </c>
      <c r="AP9" s="394">
        <f>AO9*(100+INDEX('DEFAULT DATA'!$DC$9:$DE$41,START!$B$3,3))/100</f>
        <v>0</v>
      </c>
      <c r="AQ9" s="394">
        <f>AP9*(100+INDEX('DEFAULT DATA'!$DC$9:$DE$41,START!$B$3,3))/100</f>
        <v>0</v>
      </c>
    </row>
    <row r="10" spans="1:43" ht="20.100000000000001" customHeight="1">
      <c r="A10" s="26"/>
      <c r="B10" s="59"/>
      <c r="C10" s="59"/>
      <c r="D10" s="59"/>
      <c r="E10" s="59"/>
      <c r="F10" s="59"/>
      <c r="G10" s="59"/>
      <c r="H10" s="44"/>
      <c r="M10" s="320" t="s">
        <v>332</v>
      </c>
      <c r="N10" s="380"/>
      <c r="O10" s="394">
        <f>INDEX('DEFAULT DATA'!DF9:DF41,START!B3,1)</f>
        <v>0</v>
      </c>
      <c r="P10" s="394">
        <f>O10*(100+INDEX('DEFAULT DATA'!$DG$9:$DI$41,START!$B$3,1))/100</f>
        <v>0</v>
      </c>
      <c r="Q10" s="394">
        <f>P10*(100+INDEX('DEFAULT DATA'!$DG$9:$DI$41,START!$B$3,1))/100</f>
        <v>0</v>
      </c>
      <c r="R10" s="394">
        <f>Q10*(100+INDEX('DEFAULT DATA'!$DG$9:$DI$41,START!$B$3,1))/100</f>
        <v>0</v>
      </c>
      <c r="S10" s="394">
        <f>R10*(100+INDEX('DEFAULT DATA'!$DG$9:$DI$41,START!$B$3,1))/100</f>
        <v>0</v>
      </c>
      <c r="T10" s="394">
        <f>S10*(100+INDEX('DEFAULT DATA'!$DG$9:$DI$41,START!$B$3,1))/100</f>
        <v>0</v>
      </c>
      <c r="U10" s="394">
        <f>T10*(100+INDEX('DEFAULT DATA'!$DG$9:$DI$41,START!$B$3,1))/100</f>
        <v>0</v>
      </c>
      <c r="V10" s="394">
        <f>U10*(100+INDEX('DEFAULT DATA'!$DG$9:$DI$41,START!$B$3,1))/100</f>
        <v>0</v>
      </c>
      <c r="W10" s="394">
        <f>V10*(100+INDEX('DEFAULT DATA'!$DG$9:$DI$41,START!$B$3,1))/100</f>
        <v>0</v>
      </c>
      <c r="X10" s="394">
        <f>W10*(100+INDEX('DEFAULT DATA'!$DG$9:$DI$41,START!$B$3,2))/100</f>
        <v>0</v>
      </c>
      <c r="Y10" s="394">
        <f>X10*(100+INDEX('DEFAULT DATA'!$DG$9:$DI$41,START!$B$3,2))/100</f>
        <v>0</v>
      </c>
      <c r="Z10" s="394">
        <f>Y10*(100+INDEX('DEFAULT DATA'!$DG$9:$DI$41,START!$B$3,2))/100</f>
        <v>0</v>
      </c>
      <c r="AA10" s="394">
        <f>Z10*(100+INDEX('DEFAULT DATA'!$DG$9:$DI$41,START!$B$3,2))/100</f>
        <v>0</v>
      </c>
      <c r="AB10" s="394">
        <f>AA10*(100+INDEX('DEFAULT DATA'!$DG$9:$DI$41,START!$B$3,2))/100</f>
        <v>0</v>
      </c>
      <c r="AC10" s="394">
        <f>AB10*(100+INDEX('DEFAULT DATA'!$DG$9:$DI$41,START!$B$3,2))/100</f>
        <v>0</v>
      </c>
      <c r="AD10" s="394">
        <f>AC10*(100+INDEX('DEFAULT DATA'!$DG$9:$DI$41,START!$B$3,2))/100</f>
        <v>0</v>
      </c>
      <c r="AE10" s="394">
        <f>AD10*(100+INDEX('DEFAULT DATA'!$DG$9:$DI$41,START!$B$3,2))/100</f>
        <v>0</v>
      </c>
      <c r="AF10" s="394">
        <f>AE10*(100+INDEX('DEFAULT DATA'!$DG$9:$DI$41,START!$B$3,2))/100</f>
        <v>0</v>
      </c>
      <c r="AG10" s="394">
        <f>AF10*(100+INDEX('DEFAULT DATA'!$DG$9:$DI$41,START!$B$3,2))/100</f>
        <v>0</v>
      </c>
      <c r="AH10" s="394">
        <f>AG10*(100+INDEX('DEFAULT DATA'!$DG$9:$DI$41,START!$B$3,3))/100</f>
        <v>0</v>
      </c>
      <c r="AI10" s="394">
        <f>AH10*(100+INDEX('DEFAULT DATA'!$DG$9:$DI$41,START!$B$3,3))/100</f>
        <v>0</v>
      </c>
      <c r="AJ10" s="394">
        <f>AI10*(100+INDEX('DEFAULT DATA'!$DG$9:$DI$41,START!$B$3,3))/100</f>
        <v>0</v>
      </c>
      <c r="AK10" s="394">
        <f>AJ10*(100+INDEX('DEFAULT DATA'!$DG$9:$DI$41,START!$B$3,3))/100</f>
        <v>0</v>
      </c>
      <c r="AL10" s="394">
        <f>AK10*(100+INDEX('DEFAULT DATA'!$DG$9:$DI$41,START!$B$3,3))/100</f>
        <v>0</v>
      </c>
      <c r="AM10" s="394">
        <f>AL10*(100+INDEX('DEFAULT DATA'!$DG$9:$DI$41,START!$B$3,3))/100</f>
        <v>0</v>
      </c>
      <c r="AN10" s="394">
        <f>AM10*(100+INDEX('DEFAULT DATA'!$DG$9:$DI$41,START!$B$3,3))/100</f>
        <v>0</v>
      </c>
      <c r="AO10" s="394">
        <f>AN10*(100+INDEX('DEFAULT DATA'!$DG$9:$DI$41,START!$B$3,3))/100</f>
        <v>0</v>
      </c>
      <c r="AP10" s="394">
        <f>AO10*(100+INDEX('DEFAULT DATA'!$DG$9:$DI$41,START!$B$3,3))/100</f>
        <v>0</v>
      </c>
      <c r="AQ10" s="394">
        <f>AP10*(100+INDEX('DEFAULT DATA'!$DG$9:$DI$41,START!$B$3,3))/100</f>
        <v>0</v>
      </c>
    </row>
    <row r="11" spans="1:43" ht="20.100000000000001" customHeight="1" thickBot="1">
      <c r="A11" s="74"/>
      <c r="B11" s="75"/>
      <c r="C11" s="75"/>
      <c r="D11" s="75"/>
      <c r="E11" s="75"/>
      <c r="F11" s="75"/>
      <c r="G11" s="75"/>
      <c r="H11" s="76"/>
      <c r="M11" s="320" t="s">
        <v>333</v>
      </c>
      <c r="N11" s="380"/>
      <c r="O11" s="394">
        <f>INDEX('DEFAULT DATA'!DJ9:DJ41,START!B3,1)</f>
        <v>0</v>
      </c>
      <c r="P11" s="394">
        <f>O11*(100+INDEX('DEFAULT DATA'!$DK$9:$DM$41,START!$B$3,1))/100</f>
        <v>0</v>
      </c>
      <c r="Q11" s="394">
        <f>P11*(100+INDEX('DEFAULT DATA'!$DK$9:$DM$41,START!$B$3,1))/100</f>
        <v>0</v>
      </c>
      <c r="R11" s="394">
        <f>Q11*(100+INDEX('DEFAULT DATA'!$DK$9:$DM$41,START!$B$3,1))/100</f>
        <v>0</v>
      </c>
      <c r="S11" s="394">
        <f>R11*(100+INDEX('DEFAULT DATA'!$DK$9:$DM$41,START!$B$3,1))/100</f>
        <v>0</v>
      </c>
      <c r="T11" s="394">
        <f>S11*(100+INDEX('DEFAULT DATA'!$DK$9:$DM$41,START!$B$3,1))/100</f>
        <v>0</v>
      </c>
      <c r="U11" s="394">
        <f>T11*(100+INDEX('DEFAULT DATA'!$DK$9:$DM$41,START!$B$3,1))/100</f>
        <v>0</v>
      </c>
      <c r="V11" s="394">
        <f>U11*(100+INDEX('DEFAULT DATA'!$DK$9:$DM$41,START!$B$3,1))/100</f>
        <v>0</v>
      </c>
      <c r="W11" s="394">
        <f>V11*(100+INDEX('DEFAULT DATA'!$DK$9:$DM$41,START!$B$3,1))/100</f>
        <v>0</v>
      </c>
      <c r="X11" s="394">
        <f>W11*(100+INDEX('DEFAULT DATA'!$DK$9:$DM$41,START!$B$3,2))/100</f>
        <v>0</v>
      </c>
      <c r="Y11" s="394">
        <f>X11*(100+INDEX('DEFAULT DATA'!$DK$9:$DM$41,START!$B$3,2))/100</f>
        <v>0</v>
      </c>
      <c r="Z11" s="394">
        <f>Y11*(100+INDEX('DEFAULT DATA'!$DK$9:$DM$41,START!$B$3,2))/100</f>
        <v>0</v>
      </c>
      <c r="AA11" s="394">
        <f>Z11*(100+INDEX('DEFAULT DATA'!$DK$9:$DM$41,START!$B$3,2))/100</f>
        <v>0</v>
      </c>
      <c r="AB11" s="394">
        <f>AA11*(100+INDEX('DEFAULT DATA'!$DK$9:$DM$41,START!$B$3,2))/100</f>
        <v>0</v>
      </c>
      <c r="AC11" s="394">
        <f>AB11*(100+INDEX('DEFAULT DATA'!$DK$9:$DM$41,START!$B$3,2))/100</f>
        <v>0</v>
      </c>
      <c r="AD11" s="394">
        <f>AC11*(100+INDEX('DEFAULT DATA'!$DK$9:$DM$41,START!$B$3,2))/100</f>
        <v>0</v>
      </c>
      <c r="AE11" s="394">
        <f>AD11*(100+INDEX('DEFAULT DATA'!$DK$9:$DM$41,START!$B$3,2))/100</f>
        <v>0</v>
      </c>
      <c r="AF11" s="394">
        <f>AE11*(100+INDEX('DEFAULT DATA'!$DK$9:$DM$41,START!$B$3,2))/100</f>
        <v>0</v>
      </c>
      <c r="AG11" s="394">
        <f>AF11*(100+INDEX('DEFAULT DATA'!$DK$9:$DM$41,START!$B$3,2))/100</f>
        <v>0</v>
      </c>
      <c r="AH11" s="394">
        <f>AG11*(100+INDEX('DEFAULT DATA'!$DK$9:$DM$41,START!$B$3,3))/100</f>
        <v>0</v>
      </c>
      <c r="AI11" s="394">
        <f>AH11*(100+INDEX('DEFAULT DATA'!$DK$9:$DM$41,START!$B$3,3))/100</f>
        <v>0</v>
      </c>
      <c r="AJ11" s="394">
        <f>AI11*(100+INDEX('DEFAULT DATA'!$DK$9:$DM$41,START!$B$3,3))/100</f>
        <v>0</v>
      </c>
      <c r="AK11" s="394">
        <f>AJ11*(100+INDEX('DEFAULT DATA'!$DK$9:$DM$41,START!$B$3,3))/100</f>
        <v>0</v>
      </c>
      <c r="AL11" s="394">
        <f>AK11*(100+INDEX('DEFAULT DATA'!$DK$9:$DM$41,START!$B$3,3))/100</f>
        <v>0</v>
      </c>
      <c r="AM11" s="394">
        <f>AL11*(100+INDEX('DEFAULT DATA'!$DK$9:$DM$41,START!$B$3,3))/100</f>
        <v>0</v>
      </c>
      <c r="AN11" s="394">
        <f>AM11*(100+INDEX('DEFAULT DATA'!$DK$9:$DM$41,START!$B$3,3))/100</f>
        <v>0</v>
      </c>
      <c r="AO11" s="394">
        <f>AN11*(100+INDEX('DEFAULT DATA'!$DK$9:$DM$41,START!$B$3,3))/100</f>
        <v>0</v>
      </c>
      <c r="AP11" s="394">
        <f>AO11*(100+INDEX('DEFAULT DATA'!$DK$9:$DM$41,START!$B$3,3))/100</f>
        <v>0</v>
      </c>
      <c r="AQ11" s="394">
        <f>AP11*(100+INDEX('DEFAULT DATA'!$DK$9:$DM$41,START!$B$3,3))/100</f>
        <v>0</v>
      </c>
    </row>
    <row r="12" spans="1:43" ht="20.100000000000001" customHeight="1">
      <c r="A12" s="316" t="s">
        <v>277</v>
      </c>
      <c r="B12" s="237"/>
      <c r="C12" s="238"/>
      <c r="D12" s="238"/>
      <c r="E12" s="238"/>
      <c r="F12" s="238"/>
      <c r="G12" s="238"/>
      <c r="H12" s="239"/>
      <c r="M12" s="320" t="s">
        <v>334</v>
      </c>
      <c r="N12" s="380"/>
      <c r="O12" s="394">
        <f>INDEX('DEFAULT DATA'!DN9:DN41,START!B3,1)</f>
        <v>0</v>
      </c>
      <c r="P12" s="394">
        <f>O12*(100+INDEX('DEFAULT DATA'!$DO$9:$DQ$41,START!$B$3,1))/100</f>
        <v>0</v>
      </c>
      <c r="Q12" s="394">
        <f>P12*(100+INDEX('DEFAULT DATA'!$DO$9:$DQ$41,START!$B$3,1))/100</f>
        <v>0</v>
      </c>
      <c r="R12" s="394">
        <f>Q12*(100+INDEX('DEFAULT DATA'!$DO$9:$DQ$41,START!$B$3,1))/100</f>
        <v>0</v>
      </c>
      <c r="S12" s="394">
        <f>R12*(100+INDEX('DEFAULT DATA'!$DO$9:$DQ$41,START!$B$3,1))/100</f>
        <v>0</v>
      </c>
      <c r="T12" s="394">
        <f>S12*(100+INDEX('DEFAULT DATA'!$DO$9:$DQ$41,START!$B$3,1))/100</f>
        <v>0</v>
      </c>
      <c r="U12" s="394">
        <f>T12*(100+INDEX('DEFAULT DATA'!$DO$9:$DQ$41,START!$B$3,1))/100</f>
        <v>0</v>
      </c>
      <c r="V12" s="394">
        <f>U12*(100+INDEX('DEFAULT DATA'!$DO$9:$DQ$41,START!$B$3,1))/100</f>
        <v>0</v>
      </c>
      <c r="W12" s="394">
        <f>V12*(100+INDEX('DEFAULT DATA'!$DO$9:$DQ$41,START!$B$3,1))/100</f>
        <v>0</v>
      </c>
      <c r="X12" s="394">
        <f>W12*(100+INDEX('DEFAULT DATA'!$DO$9:$DQ$41,START!$B$3,2))/100</f>
        <v>0</v>
      </c>
      <c r="Y12" s="394">
        <f>X12*(100+INDEX('DEFAULT DATA'!$DO$9:$DQ$41,START!$B$3,2))/100</f>
        <v>0</v>
      </c>
      <c r="Z12" s="394">
        <f>Y12*(100+INDEX('DEFAULT DATA'!$DO$9:$DQ$41,START!$B$3,2))/100</f>
        <v>0</v>
      </c>
      <c r="AA12" s="394">
        <f>Z12*(100+INDEX('DEFAULT DATA'!$DO$9:$DQ$41,START!$B$3,2))/100</f>
        <v>0</v>
      </c>
      <c r="AB12" s="394">
        <f>AA12*(100+INDEX('DEFAULT DATA'!$DO$9:$DQ$41,START!$B$3,2))/100</f>
        <v>0</v>
      </c>
      <c r="AC12" s="394">
        <f>AB12*(100+INDEX('DEFAULT DATA'!$DO$9:$DQ$41,START!$B$3,2))/100</f>
        <v>0</v>
      </c>
      <c r="AD12" s="394">
        <f>AC12*(100+INDEX('DEFAULT DATA'!$DO$9:$DQ$41,START!$B$3,2))/100</f>
        <v>0</v>
      </c>
      <c r="AE12" s="394">
        <f>AD12*(100+INDEX('DEFAULT DATA'!$DO$9:$DQ$41,START!$B$3,2))/100</f>
        <v>0</v>
      </c>
      <c r="AF12" s="394">
        <f>AE12*(100+INDEX('DEFAULT DATA'!$DO$9:$DQ$41,START!$B$3,2))/100</f>
        <v>0</v>
      </c>
      <c r="AG12" s="394">
        <f>AF12*(100+INDEX('DEFAULT DATA'!$DO$9:$DQ$41,START!$B$3,2))/100</f>
        <v>0</v>
      </c>
      <c r="AH12" s="394">
        <f>AG12*(100+INDEX('DEFAULT DATA'!$DO$9:$DQ$41,START!$B$3,3))/100</f>
        <v>0</v>
      </c>
      <c r="AI12" s="394">
        <f>AH12*(100+INDEX('DEFAULT DATA'!$DO$9:$DQ$41,START!$B$3,3))/100</f>
        <v>0</v>
      </c>
      <c r="AJ12" s="394">
        <f>AI12*(100+INDEX('DEFAULT DATA'!$DO$9:$DQ$41,START!$B$3,3))/100</f>
        <v>0</v>
      </c>
      <c r="AK12" s="394">
        <f>AJ12*(100+INDEX('DEFAULT DATA'!$DO$9:$DQ$41,START!$B$3,3))/100</f>
        <v>0</v>
      </c>
      <c r="AL12" s="394">
        <f>AK12*(100+INDEX('DEFAULT DATA'!$DO$9:$DQ$41,START!$B$3,3))/100</f>
        <v>0</v>
      </c>
      <c r="AM12" s="394">
        <f>AL12*(100+INDEX('DEFAULT DATA'!$DO$9:$DQ$41,START!$B$3,3))/100</f>
        <v>0</v>
      </c>
      <c r="AN12" s="394">
        <f>AM12*(100+INDEX('DEFAULT DATA'!$DO$9:$DQ$41,START!$B$3,3))/100</f>
        <v>0</v>
      </c>
      <c r="AO12" s="394">
        <f>AN12*(100+INDEX('DEFAULT DATA'!$DO$9:$DQ$41,START!$B$3,3))/100</f>
        <v>0</v>
      </c>
      <c r="AP12" s="394">
        <f>AO12*(100+INDEX('DEFAULT DATA'!$DO$9:$DQ$41,START!$B$3,3))/100</f>
        <v>0</v>
      </c>
      <c r="AQ12" s="394">
        <f>AP12*(100+INDEX('DEFAULT DATA'!$DO$9:$DQ$41,START!$B$3,3))/100</f>
        <v>0</v>
      </c>
    </row>
    <row r="13" spans="1:43" ht="20.100000000000001" customHeight="1">
      <c r="A13" s="317">
        <f>INDEX('MENU OPTIONS'!A1:A29,START!B2,1)</f>
        <v>2025</v>
      </c>
      <c r="B13" s="362"/>
      <c r="C13" s="79"/>
      <c r="D13" s="79"/>
      <c r="E13" s="79"/>
      <c r="F13" s="79"/>
      <c r="G13" s="79"/>
      <c r="H13" s="93"/>
      <c r="M13" s="380" t="s">
        <v>331</v>
      </c>
      <c r="N13" s="380"/>
      <c r="O13" s="394">
        <f>INDEX('DEFAULT DATA'!DR9:DR41,START!B3,1)</f>
        <v>0</v>
      </c>
      <c r="P13" s="394">
        <f>O13*(100+INDEX('DEFAULT DATA'!$DS$9:$DU$41,START!$B$3,1))/100</f>
        <v>0</v>
      </c>
      <c r="Q13" s="394">
        <f>P13*(100+INDEX('DEFAULT DATA'!$DS$9:$DU$41,START!$B$3,1))/100</f>
        <v>0</v>
      </c>
      <c r="R13" s="394">
        <f>Q13*(100+INDEX('DEFAULT DATA'!$DS$9:$DU$41,START!$B$3,1))/100</f>
        <v>0</v>
      </c>
      <c r="S13" s="394">
        <f>R13*(100+INDEX('DEFAULT DATA'!$DS$9:$DU$41,START!$B$3,1))/100</f>
        <v>0</v>
      </c>
      <c r="T13" s="394">
        <f>S13*(100+INDEX('DEFAULT DATA'!$DS$9:$DU$41,START!$B$3,1))/100</f>
        <v>0</v>
      </c>
      <c r="U13" s="394">
        <f>T13*(100+INDEX('DEFAULT DATA'!$DS$9:$DU$41,START!$B$3,1))/100</f>
        <v>0</v>
      </c>
      <c r="V13" s="394">
        <f>U13*(100+INDEX('DEFAULT DATA'!$DS$9:$DU$41,START!$B$3,1))/100</f>
        <v>0</v>
      </c>
      <c r="W13" s="394">
        <f>V13*(100+INDEX('DEFAULT DATA'!$DS$9:$DU$41,START!$B$3,1))/100</f>
        <v>0</v>
      </c>
      <c r="X13" s="394">
        <f>W13*(100+INDEX('DEFAULT DATA'!$DS$9:$DU$41,START!$B$3,2))/100</f>
        <v>0</v>
      </c>
      <c r="Y13" s="394">
        <f>X13*(100+INDEX('DEFAULT DATA'!$DS$9:$DU$41,START!$B$3,2))/100</f>
        <v>0</v>
      </c>
      <c r="Z13" s="394">
        <f>Y13*(100+INDEX('DEFAULT DATA'!$DS$9:$DU$41,START!$B$3,2))/100</f>
        <v>0</v>
      </c>
      <c r="AA13" s="394">
        <f>Z13*(100+INDEX('DEFAULT DATA'!$DS$9:$DU$41,START!$B$3,2))/100</f>
        <v>0</v>
      </c>
      <c r="AB13" s="394">
        <f>AA13*(100+INDEX('DEFAULT DATA'!$DS$9:$DU$41,START!$B$3,2))/100</f>
        <v>0</v>
      </c>
      <c r="AC13" s="394">
        <f>AB13*(100+INDEX('DEFAULT DATA'!$DS$9:$DU$41,START!$B$3,2))/100</f>
        <v>0</v>
      </c>
      <c r="AD13" s="394">
        <f>AC13*(100+INDEX('DEFAULT DATA'!$DS$9:$DU$41,START!$B$3,2))/100</f>
        <v>0</v>
      </c>
      <c r="AE13" s="394">
        <f>AD13*(100+INDEX('DEFAULT DATA'!$DS$9:$DU$41,START!$B$3,2))/100</f>
        <v>0</v>
      </c>
      <c r="AF13" s="394">
        <f>AE13*(100+INDEX('DEFAULT DATA'!$DS$9:$DU$41,START!$B$3,2))/100</f>
        <v>0</v>
      </c>
      <c r="AG13" s="394">
        <f>AF13*(100+INDEX('DEFAULT DATA'!$DS$9:$DU$41,START!$B$3,2))/100</f>
        <v>0</v>
      </c>
      <c r="AH13" s="394">
        <f>AG13*(100+INDEX('DEFAULT DATA'!$DS$9:$DU$41,START!$B$3,3))/100</f>
        <v>0</v>
      </c>
      <c r="AI13" s="394">
        <f>AH13*(100+INDEX('DEFAULT DATA'!$DS$9:$DU$41,START!$B$3,3))/100</f>
        <v>0</v>
      </c>
      <c r="AJ13" s="394">
        <f>AI13*(100+INDEX('DEFAULT DATA'!$DS$9:$DU$41,START!$B$3,3))/100</f>
        <v>0</v>
      </c>
      <c r="AK13" s="394">
        <f>AJ13*(100+INDEX('DEFAULT DATA'!$DS$9:$DU$41,START!$B$3,3))/100</f>
        <v>0</v>
      </c>
      <c r="AL13" s="394">
        <f>AK13*(100+INDEX('DEFAULT DATA'!$DS$9:$DU$41,START!$B$3,3))/100</f>
        <v>0</v>
      </c>
      <c r="AM13" s="394">
        <f>AL13*(100+INDEX('DEFAULT DATA'!$DS$9:$DU$41,START!$B$3,3))/100</f>
        <v>0</v>
      </c>
      <c r="AN13" s="394">
        <f>AM13*(100+INDEX('DEFAULT DATA'!$DS$9:$DU$41,START!$B$3,3))/100</f>
        <v>0</v>
      </c>
      <c r="AO13" s="394">
        <f>AN13*(100+INDEX('DEFAULT DATA'!$DS$9:$DU$41,START!$B$3,3))/100</f>
        <v>0</v>
      </c>
      <c r="AP13" s="394">
        <f>AO13*(100+INDEX('DEFAULT DATA'!$DS$9:$DU$41,START!$B$3,3))/100</f>
        <v>0</v>
      </c>
      <c r="AQ13" s="394">
        <f>AP13*(100+INDEX('DEFAULT DATA'!$DS$9:$DU$41,START!$B$3,3))/100</f>
        <v>0</v>
      </c>
    </row>
    <row r="14" spans="1:43" ht="20.100000000000001" customHeight="1">
      <c r="A14" s="317" t="s">
        <v>35</v>
      </c>
      <c r="B14" s="611" t="s">
        <v>448</v>
      </c>
      <c r="C14" s="79"/>
      <c r="D14" s="79"/>
      <c r="E14" s="79"/>
      <c r="F14" s="79"/>
      <c r="G14" s="79"/>
      <c r="H14" s="93"/>
      <c r="M14" s="320" t="s">
        <v>335</v>
      </c>
      <c r="N14" s="380"/>
      <c r="O14" s="394">
        <f>INDEX('DEFAULT DATA'!DV9:DV41,START!B3,1)</f>
        <v>0</v>
      </c>
      <c r="P14" s="394">
        <f>O14*(100+INDEX('DEFAULT DATA'!$DW$9:$DY$41,START!$B$3,1))/100</f>
        <v>0</v>
      </c>
      <c r="Q14" s="394">
        <f>P14*(100+INDEX('DEFAULT DATA'!$DW$9:$DY$41,START!$B$3,1))/100</f>
        <v>0</v>
      </c>
      <c r="R14" s="394">
        <f>Q14*(100+INDEX('DEFAULT DATA'!$DW$9:$DY$41,START!$B$3,1))/100</f>
        <v>0</v>
      </c>
      <c r="S14" s="394">
        <f>R14*(100+INDEX('DEFAULT DATA'!$DW$9:$DY$41,START!$B$3,1))/100</f>
        <v>0</v>
      </c>
      <c r="T14" s="394">
        <f>S14*(100+INDEX('DEFAULT DATA'!$DW$9:$DY$41,START!$B$3,1))/100</f>
        <v>0</v>
      </c>
      <c r="U14" s="394">
        <f>T14*(100+INDEX('DEFAULT DATA'!$DW$9:$DY$41,START!$B$3,1))/100</f>
        <v>0</v>
      </c>
      <c r="V14" s="394">
        <f>U14*(100+INDEX('DEFAULT DATA'!$DW$9:$DY$41,START!$B$3,1))/100</f>
        <v>0</v>
      </c>
      <c r="W14" s="394">
        <f>V14*(100+INDEX('DEFAULT DATA'!$DW$9:$DY$41,START!$B$3,1))/100</f>
        <v>0</v>
      </c>
      <c r="X14" s="394">
        <f>W14*(100+INDEX('DEFAULT DATA'!$DW$9:$DY$41,START!$B$3,2))/100</f>
        <v>0</v>
      </c>
      <c r="Y14" s="394">
        <f>X14*(100+INDEX('DEFAULT DATA'!$DW$9:$DY$41,START!$B$3,2))/100</f>
        <v>0</v>
      </c>
      <c r="Z14" s="394">
        <f>Y14*(100+INDEX('DEFAULT DATA'!$DW$9:$DY$41,START!$B$3,2))/100</f>
        <v>0</v>
      </c>
      <c r="AA14" s="394">
        <f>Z14*(100+INDEX('DEFAULT DATA'!$DW$9:$DY$41,START!$B$3,2))/100</f>
        <v>0</v>
      </c>
      <c r="AB14" s="394">
        <f>AA14*(100+INDEX('DEFAULT DATA'!$DW$9:$DY$41,START!$B$3,2))/100</f>
        <v>0</v>
      </c>
      <c r="AC14" s="394">
        <f>AB14*(100+INDEX('DEFAULT DATA'!$DW$9:$DY$41,START!$B$3,2))/100</f>
        <v>0</v>
      </c>
      <c r="AD14" s="394">
        <f>AC14*(100+INDEX('DEFAULT DATA'!$DW$9:$DY$41,START!$B$3,2))/100</f>
        <v>0</v>
      </c>
      <c r="AE14" s="394">
        <f>AD14*(100+INDEX('DEFAULT DATA'!$DW$9:$DY$41,START!$B$3,2))/100</f>
        <v>0</v>
      </c>
      <c r="AF14" s="394">
        <f>AE14*(100+INDEX('DEFAULT DATA'!$DW$9:$DY$41,START!$B$3,2))/100</f>
        <v>0</v>
      </c>
      <c r="AG14" s="394">
        <f>AF14*(100+INDEX('DEFAULT DATA'!$DW$9:$DY$41,START!$B$3,2))/100</f>
        <v>0</v>
      </c>
      <c r="AH14" s="394">
        <f>AG14*(100+INDEX('DEFAULT DATA'!$DW$9:$DY$41,START!$B$3,3))/100</f>
        <v>0</v>
      </c>
      <c r="AI14" s="394">
        <f>AH14*(100+INDEX('DEFAULT DATA'!$DW$9:$DY$41,START!$B$3,3))/100</f>
        <v>0</v>
      </c>
      <c r="AJ14" s="394">
        <f>AI14*(100+INDEX('DEFAULT DATA'!$DW$9:$DY$41,START!$B$3,3))/100</f>
        <v>0</v>
      </c>
      <c r="AK14" s="394">
        <f>AJ14*(100+INDEX('DEFAULT DATA'!$DW$9:$DY$41,START!$B$3,3))/100</f>
        <v>0</v>
      </c>
      <c r="AL14" s="394">
        <f>AK14*(100+INDEX('DEFAULT DATA'!$DW$9:$DY$41,START!$B$3,3))/100</f>
        <v>0</v>
      </c>
      <c r="AM14" s="394">
        <f>AL14*(100+INDEX('DEFAULT DATA'!$DW$9:$DY$41,START!$B$3,3))/100</f>
        <v>0</v>
      </c>
      <c r="AN14" s="394">
        <f>AM14*(100+INDEX('DEFAULT DATA'!$DW$9:$DY$41,START!$B$3,3))/100</f>
        <v>0</v>
      </c>
      <c r="AO14" s="394">
        <f>AN14*(100+INDEX('DEFAULT DATA'!$DW$9:$DY$41,START!$B$3,3))/100</f>
        <v>0</v>
      </c>
      <c r="AP14" s="394">
        <f>AO14*(100+INDEX('DEFAULT DATA'!$DW$9:$DY$41,START!$B$3,3))/100</f>
        <v>0</v>
      </c>
      <c r="AQ14" s="394">
        <f>AP14*(100+INDEX('DEFAULT DATA'!$DW$9:$DY$41,START!$B$3,3))/100</f>
        <v>0</v>
      </c>
    </row>
    <row r="15" spans="1:43" ht="20.100000000000001" customHeight="1">
      <c r="A15" s="85" t="s">
        <v>337</v>
      </c>
      <c r="B15" s="612"/>
      <c r="C15" s="79"/>
      <c r="D15" s="79"/>
      <c r="E15" s="79"/>
      <c r="F15" s="79"/>
      <c r="G15" s="79"/>
      <c r="H15" s="93"/>
      <c r="M15" s="380" t="s">
        <v>374</v>
      </c>
      <c r="N15" s="380"/>
      <c r="O15" s="394">
        <f>SUM(O9:O14)</f>
        <v>0</v>
      </c>
      <c r="P15" s="394">
        <f t="shared" ref="P15" si="2">SUM(P9:P14)</f>
        <v>0</v>
      </c>
      <c r="Q15" s="394">
        <f t="shared" ref="Q15" si="3">SUM(Q9:Q14)</f>
        <v>0</v>
      </c>
      <c r="R15" s="394">
        <f t="shared" ref="R15" si="4">SUM(R9:R14)</f>
        <v>0</v>
      </c>
      <c r="S15" s="394">
        <f t="shared" ref="S15" si="5">SUM(S9:S14)</f>
        <v>0</v>
      </c>
      <c r="T15" s="394">
        <f t="shared" ref="T15" si="6">SUM(T9:T14)</f>
        <v>0</v>
      </c>
      <c r="U15" s="394">
        <f t="shared" ref="U15" si="7">SUM(U9:U14)</f>
        <v>0</v>
      </c>
      <c r="V15" s="394">
        <f t="shared" ref="V15" si="8">SUM(V9:V14)</f>
        <v>0</v>
      </c>
      <c r="W15" s="394">
        <f t="shared" ref="W15" si="9">SUM(W9:W14)</f>
        <v>0</v>
      </c>
      <c r="X15" s="394">
        <f t="shared" ref="X15" si="10">SUM(X9:X14)</f>
        <v>0</v>
      </c>
      <c r="Y15" s="394">
        <f t="shared" ref="Y15" si="11">SUM(Y9:Y14)</f>
        <v>0</v>
      </c>
      <c r="Z15" s="394">
        <f t="shared" ref="Z15" si="12">SUM(Z9:Z14)</f>
        <v>0</v>
      </c>
      <c r="AA15" s="394">
        <f t="shared" ref="AA15" si="13">SUM(AA9:AA14)</f>
        <v>0</v>
      </c>
      <c r="AB15" s="394">
        <f t="shared" ref="AB15" si="14">SUM(AB9:AB14)</f>
        <v>0</v>
      </c>
      <c r="AC15" s="394">
        <f t="shared" ref="AC15" si="15">SUM(AC9:AC14)</f>
        <v>0</v>
      </c>
      <c r="AD15" s="394">
        <f t="shared" ref="AD15" si="16">SUM(AD9:AD14)</f>
        <v>0</v>
      </c>
      <c r="AE15" s="394">
        <f t="shared" ref="AE15" si="17">SUM(AE9:AE14)</f>
        <v>0</v>
      </c>
      <c r="AF15" s="394">
        <f t="shared" ref="AF15" si="18">SUM(AF9:AF14)</f>
        <v>0</v>
      </c>
      <c r="AG15" s="394">
        <f t="shared" ref="AG15" si="19">SUM(AG9:AG14)</f>
        <v>0</v>
      </c>
      <c r="AH15" s="394">
        <f t="shared" ref="AH15" si="20">SUM(AH9:AH14)</f>
        <v>0</v>
      </c>
      <c r="AI15" s="394">
        <f t="shared" ref="AI15" si="21">SUM(AI9:AI14)</f>
        <v>0</v>
      </c>
      <c r="AJ15" s="394">
        <f t="shared" ref="AJ15" si="22">SUM(AJ9:AJ14)</f>
        <v>0</v>
      </c>
      <c r="AK15" s="394">
        <f t="shared" ref="AK15" si="23">SUM(AK9:AK14)</f>
        <v>0</v>
      </c>
      <c r="AL15" s="394">
        <f t="shared" ref="AL15" si="24">SUM(AL9:AL14)</f>
        <v>0</v>
      </c>
      <c r="AM15" s="394">
        <f t="shared" ref="AM15" si="25">SUM(AM9:AM14)</f>
        <v>0</v>
      </c>
      <c r="AN15" s="394">
        <f t="shared" ref="AN15" si="26">SUM(AN9:AN14)</f>
        <v>0</v>
      </c>
      <c r="AO15" s="394">
        <f t="shared" ref="AO15" si="27">SUM(AO9:AO14)</f>
        <v>0</v>
      </c>
      <c r="AP15" s="394">
        <f t="shared" ref="AP15" si="28">SUM(AP9:AP14)</f>
        <v>0</v>
      </c>
      <c r="AQ15" s="394">
        <f t="shared" ref="AQ15" si="29">SUM(AQ9:AQ14)</f>
        <v>0</v>
      </c>
    </row>
    <row r="16" spans="1:43" ht="20.100000000000001" customHeight="1">
      <c r="A16" s="87" t="str">
        <f>M9</f>
        <v>Forestland</v>
      </c>
      <c r="B16" s="88">
        <f>INDEX($O$19:$AQ$24,1,START!$B$2)</f>
        <v>0</v>
      </c>
      <c r="C16" s="79"/>
      <c r="D16" s="79"/>
      <c r="E16" s="79"/>
      <c r="F16" s="79"/>
      <c r="G16" s="79"/>
      <c r="H16" s="93"/>
    </row>
    <row r="17" spans="1:44" ht="20.100000000000001" customHeight="1">
      <c r="A17" s="87" t="str">
        <f t="shared" ref="A17:A21" si="30">M10</f>
        <v>Cropland</v>
      </c>
      <c r="B17" s="88">
        <f>INDEX($O$19:$AQ$24,2,START!$B$2)</f>
        <v>0</v>
      </c>
      <c r="C17" s="79"/>
      <c r="D17" s="79"/>
      <c r="E17" s="79"/>
      <c r="F17" s="79"/>
      <c r="G17" s="79"/>
      <c r="H17" s="93"/>
      <c r="M17" s="393" t="s">
        <v>958</v>
      </c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</row>
    <row r="18" spans="1:44" ht="20.100000000000001" customHeight="1">
      <c r="A18" s="87" t="str">
        <f t="shared" si="30"/>
        <v>Grassland</v>
      </c>
      <c r="B18" s="88">
        <f>INDEX($O$19:$AQ$24,3,START!$B$2)</f>
        <v>0</v>
      </c>
      <c r="C18" s="79"/>
      <c r="D18" s="79"/>
      <c r="E18" s="79"/>
      <c r="F18" s="79"/>
      <c r="G18" s="79"/>
      <c r="H18" s="93"/>
      <c r="M18" s="396" t="s">
        <v>377</v>
      </c>
      <c r="N18" s="395">
        <v>2021</v>
      </c>
      <c r="O18" s="395">
        <f>N18+1</f>
        <v>2022</v>
      </c>
      <c r="P18" s="395">
        <f t="shared" ref="P18:AP18" si="31">O18+1</f>
        <v>2023</v>
      </c>
      <c r="Q18" s="395">
        <f t="shared" si="31"/>
        <v>2024</v>
      </c>
      <c r="R18" s="395">
        <f t="shared" si="31"/>
        <v>2025</v>
      </c>
      <c r="S18" s="395">
        <f t="shared" si="31"/>
        <v>2026</v>
      </c>
      <c r="T18" s="395">
        <f t="shared" si="31"/>
        <v>2027</v>
      </c>
      <c r="U18" s="395">
        <f t="shared" si="31"/>
        <v>2028</v>
      </c>
      <c r="V18" s="395">
        <f t="shared" si="31"/>
        <v>2029</v>
      </c>
      <c r="W18" s="395">
        <f t="shared" si="31"/>
        <v>2030</v>
      </c>
      <c r="X18" s="395">
        <f t="shared" si="31"/>
        <v>2031</v>
      </c>
      <c r="Y18" s="395">
        <f t="shared" si="31"/>
        <v>2032</v>
      </c>
      <c r="Z18" s="395">
        <f t="shared" si="31"/>
        <v>2033</v>
      </c>
      <c r="AA18" s="395">
        <f t="shared" si="31"/>
        <v>2034</v>
      </c>
      <c r="AB18" s="395">
        <f t="shared" si="31"/>
        <v>2035</v>
      </c>
      <c r="AC18" s="395">
        <f t="shared" si="31"/>
        <v>2036</v>
      </c>
      <c r="AD18" s="395">
        <f t="shared" si="31"/>
        <v>2037</v>
      </c>
      <c r="AE18" s="395">
        <f t="shared" si="31"/>
        <v>2038</v>
      </c>
      <c r="AF18" s="395">
        <f t="shared" si="31"/>
        <v>2039</v>
      </c>
      <c r="AG18" s="395">
        <f t="shared" si="31"/>
        <v>2040</v>
      </c>
      <c r="AH18" s="395">
        <f t="shared" si="31"/>
        <v>2041</v>
      </c>
      <c r="AI18" s="395">
        <f t="shared" si="31"/>
        <v>2042</v>
      </c>
      <c r="AJ18" s="395">
        <f t="shared" si="31"/>
        <v>2043</v>
      </c>
      <c r="AK18" s="395">
        <f t="shared" si="31"/>
        <v>2044</v>
      </c>
      <c r="AL18" s="395">
        <f t="shared" si="31"/>
        <v>2045</v>
      </c>
      <c r="AM18" s="395">
        <f t="shared" si="31"/>
        <v>2046</v>
      </c>
      <c r="AN18" s="395">
        <f t="shared" si="31"/>
        <v>2047</v>
      </c>
      <c r="AO18" s="395">
        <f t="shared" si="31"/>
        <v>2048</v>
      </c>
      <c r="AP18" s="395">
        <f t="shared" si="31"/>
        <v>2049</v>
      </c>
      <c r="AQ18" s="395">
        <f>AP18+1</f>
        <v>2050</v>
      </c>
    </row>
    <row r="19" spans="1:44" ht="20.100000000000001" customHeight="1">
      <c r="A19" s="87" t="str">
        <f t="shared" si="30"/>
        <v>Wetland</v>
      </c>
      <c r="B19" s="88">
        <f>INDEX($O$19:$AQ$24,4,START!$B$2)</f>
        <v>0</v>
      </c>
      <c r="C19" s="79"/>
      <c r="D19" s="79"/>
      <c r="E19" s="79"/>
      <c r="F19" s="79"/>
      <c r="G19" s="79"/>
      <c r="H19" s="93"/>
      <c r="M19" s="380" t="s">
        <v>888</v>
      </c>
      <c r="N19" s="381"/>
      <c r="O19" s="391" t="e">
        <f>O9/O$5</f>
        <v>#DIV/0!</v>
      </c>
      <c r="P19" s="391">
        <f t="shared" ref="P19:AQ24" si="32">P9/P$5</f>
        <v>0</v>
      </c>
      <c r="Q19" s="391">
        <f t="shared" si="32"/>
        <v>0</v>
      </c>
      <c r="R19" s="391">
        <f t="shared" si="32"/>
        <v>0</v>
      </c>
      <c r="S19" s="391">
        <f t="shared" si="32"/>
        <v>0</v>
      </c>
      <c r="T19" s="391">
        <f t="shared" si="32"/>
        <v>0</v>
      </c>
      <c r="U19" s="391">
        <f t="shared" si="32"/>
        <v>0</v>
      </c>
      <c r="V19" s="391">
        <f t="shared" si="32"/>
        <v>0</v>
      </c>
      <c r="W19" s="391">
        <f t="shared" si="32"/>
        <v>0</v>
      </c>
      <c r="X19" s="391">
        <f t="shared" si="32"/>
        <v>0</v>
      </c>
      <c r="Y19" s="391">
        <f t="shared" si="32"/>
        <v>0</v>
      </c>
      <c r="Z19" s="391">
        <f t="shared" si="32"/>
        <v>0</v>
      </c>
      <c r="AA19" s="391">
        <f t="shared" si="32"/>
        <v>0</v>
      </c>
      <c r="AB19" s="391">
        <f t="shared" si="32"/>
        <v>0</v>
      </c>
      <c r="AC19" s="391">
        <f t="shared" si="32"/>
        <v>0</v>
      </c>
      <c r="AD19" s="391">
        <f t="shared" si="32"/>
        <v>0</v>
      </c>
      <c r="AE19" s="391">
        <f t="shared" si="32"/>
        <v>0</v>
      </c>
      <c r="AF19" s="391">
        <f t="shared" si="32"/>
        <v>0</v>
      </c>
      <c r="AG19" s="391">
        <f t="shared" si="32"/>
        <v>0</v>
      </c>
      <c r="AH19" s="391">
        <f t="shared" si="32"/>
        <v>0</v>
      </c>
      <c r="AI19" s="391">
        <f t="shared" si="32"/>
        <v>0</v>
      </c>
      <c r="AJ19" s="391">
        <f t="shared" si="32"/>
        <v>0</v>
      </c>
      <c r="AK19" s="391">
        <f t="shared" si="32"/>
        <v>0</v>
      </c>
      <c r="AL19" s="391">
        <f t="shared" si="32"/>
        <v>0</v>
      </c>
      <c r="AM19" s="391">
        <f t="shared" si="32"/>
        <v>0</v>
      </c>
      <c r="AN19" s="391">
        <f t="shared" si="32"/>
        <v>0</v>
      </c>
      <c r="AO19" s="391">
        <f t="shared" si="32"/>
        <v>0</v>
      </c>
      <c r="AP19" s="391">
        <f t="shared" si="32"/>
        <v>0</v>
      </c>
      <c r="AQ19" s="391">
        <f t="shared" si="32"/>
        <v>0</v>
      </c>
    </row>
    <row r="20" spans="1:44" ht="20.100000000000001" customHeight="1">
      <c r="A20" s="87" t="str">
        <f t="shared" si="30"/>
        <v>Settlements</v>
      </c>
      <c r="B20" s="88">
        <f>INDEX($O$19:$AQ$24,5,START!$B$2)</f>
        <v>0</v>
      </c>
      <c r="C20" s="79"/>
      <c r="D20" s="79"/>
      <c r="E20" s="79"/>
      <c r="F20" s="79"/>
      <c r="G20" s="79"/>
      <c r="H20" s="93"/>
      <c r="M20" s="380" t="s">
        <v>332</v>
      </c>
      <c r="N20" s="381"/>
      <c r="O20" s="391" t="e">
        <f t="shared" ref="O20:AD24" si="33">O10/O$5</f>
        <v>#DIV/0!</v>
      </c>
      <c r="P20" s="391">
        <f t="shared" si="33"/>
        <v>0</v>
      </c>
      <c r="Q20" s="391">
        <f t="shared" si="33"/>
        <v>0</v>
      </c>
      <c r="R20" s="391">
        <f t="shared" si="33"/>
        <v>0</v>
      </c>
      <c r="S20" s="391">
        <f t="shared" si="33"/>
        <v>0</v>
      </c>
      <c r="T20" s="391">
        <f t="shared" si="33"/>
        <v>0</v>
      </c>
      <c r="U20" s="391">
        <f t="shared" si="33"/>
        <v>0</v>
      </c>
      <c r="V20" s="391">
        <f t="shared" si="33"/>
        <v>0</v>
      </c>
      <c r="W20" s="391">
        <f t="shared" si="33"/>
        <v>0</v>
      </c>
      <c r="X20" s="391">
        <f t="shared" si="33"/>
        <v>0</v>
      </c>
      <c r="Y20" s="391">
        <f t="shared" si="33"/>
        <v>0</v>
      </c>
      <c r="Z20" s="391">
        <f t="shared" si="33"/>
        <v>0</v>
      </c>
      <c r="AA20" s="391">
        <f t="shared" si="33"/>
        <v>0</v>
      </c>
      <c r="AB20" s="391">
        <f t="shared" si="33"/>
        <v>0</v>
      </c>
      <c r="AC20" s="391">
        <f t="shared" si="33"/>
        <v>0</v>
      </c>
      <c r="AD20" s="391">
        <f t="shared" si="33"/>
        <v>0</v>
      </c>
      <c r="AE20" s="391">
        <f t="shared" si="32"/>
        <v>0</v>
      </c>
      <c r="AF20" s="391">
        <f t="shared" si="32"/>
        <v>0</v>
      </c>
      <c r="AG20" s="391">
        <f t="shared" si="32"/>
        <v>0</v>
      </c>
      <c r="AH20" s="391">
        <f t="shared" si="32"/>
        <v>0</v>
      </c>
      <c r="AI20" s="391">
        <f t="shared" si="32"/>
        <v>0</v>
      </c>
      <c r="AJ20" s="391">
        <f t="shared" si="32"/>
        <v>0</v>
      </c>
      <c r="AK20" s="391">
        <f t="shared" si="32"/>
        <v>0</v>
      </c>
      <c r="AL20" s="391">
        <f t="shared" si="32"/>
        <v>0</v>
      </c>
      <c r="AM20" s="391">
        <f t="shared" si="32"/>
        <v>0</v>
      </c>
      <c r="AN20" s="391">
        <f t="shared" si="32"/>
        <v>0</v>
      </c>
      <c r="AO20" s="391">
        <f t="shared" si="32"/>
        <v>0</v>
      </c>
      <c r="AP20" s="391">
        <f t="shared" si="32"/>
        <v>0</v>
      </c>
      <c r="AQ20" s="391">
        <f t="shared" si="32"/>
        <v>0</v>
      </c>
    </row>
    <row r="21" spans="1:44" ht="20.100000000000001" customHeight="1">
      <c r="A21" s="85" t="str">
        <f t="shared" si="30"/>
        <v>Other land</v>
      </c>
      <c r="B21" s="90">
        <f>INDEX($O$19:$AQ$24,6,START!$B$2)</f>
        <v>0</v>
      </c>
      <c r="C21" s="79"/>
      <c r="D21" s="79"/>
      <c r="E21" s="79"/>
      <c r="F21" s="79"/>
      <c r="G21" s="79"/>
      <c r="H21" s="93"/>
      <c r="M21" s="380" t="s">
        <v>333</v>
      </c>
      <c r="N21" s="381"/>
      <c r="O21" s="391" t="e">
        <f t="shared" si="33"/>
        <v>#DIV/0!</v>
      </c>
      <c r="P21" s="391">
        <f t="shared" si="32"/>
        <v>0</v>
      </c>
      <c r="Q21" s="391">
        <f t="shared" si="32"/>
        <v>0</v>
      </c>
      <c r="R21" s="391">
        <f t="shared" si="32"/>
        <v>0</v>
      </c>
      <c r="S21" s="391">
        <f t="shared" si="32"/>
        <v>0</v>
      </c>
      <c r="T21" s="391">
        <f t="shared" si="32"/>
        <v>0</v>
      </c>
      <c r="U21" s="391">
        <f t="shared" si="32"/>
        <v>0</v>
      </c>
      <c r="V21" s="391">
        <f t="shared" si="32"/>
        <v>0</v>
      </c>
      <c r="W21" s="391">
        <f t="shared" si="32"/>
        <v>0</v>
      </c>
      <c r="X21" s="391">
        <f t="shared" si="32"/>
        <v>0</v>
      </c>
      <c r="Y21" s="391">
        <f t="shared" si="32"/>
        <v>0</v>
      </c>
      <c r="Z21" s="391">
        <f t="shared" si="32"/>
        <v>0</v>
      </c>
      <c r="AA21" s="391">
        <f t="shared" si="32"/>
        <v>0</v>
      </c>
      <c r="AB21" s="391">
        <f t="shared" si="32"/>
        <v>0</v>
      </c>
      <c r="AC21" s="391">
        <f t="shared" si="32"/>
        <v>0</v>
      </c>
      <c r="AD21" s="391">
        <f t="shared" si="32"/>
        <v>0</v>
      </c>
      <c r="AE21" s="391">
        <f t="shared" si="32"/>
        <v>0</v>
      </c>
      <c r="AF21" s="391">
        <f t="shared" si="32"/>
        <v>0</v>
      </c>
      <c r="AG21" s="391">
        <f t="shared" si="32"/>
        <v>0</v>
      </c>
      <c r="AH21" s="391">
        <f t="shared" si="32"/>
        <v>0</v>
      </c>
      <c r="AI21" s="391">
        <f t="shared" si="32"/>
        <v>0</v>
      </c>
      <c r="AJ21" s="391">
        <f t="shared" si="32"/>
        <v>0</v>
      </c>
      <c r="AK21" s="391">
        <f t="shared" si="32"/>
        <v>0</v>
      </c>
      <c r="AL21" s="391">
        <f t="shared" si="32"/>
        <v>0</v>
      </c>
      <c r="AM21" s="391">
        <f t="shared" si="32"/>
        <v>0</v>
      </c>
      <c r="AN21" s="391">
        <f t="shared" si="32"/>
        <v>0</v>
      </c>
      <c r="AO21" s="391">
        <f t="shared" si="32"/>
        <v>0</v>
      </c>
      <c r="AP21" s="391">
        <f t="shared" si="32"/>
        <v>0</v>
      </c>
      <c r="AQ21" s="391">
        <f t="shared" si="32"/>
        <v>0</v>
      </c>
    </row>
    <row r="22" spans="1:44" ht="20.100000000000001" customHeight="1">
      <c r="A22" s="87" t="s">
        <v>447</v>
      </c>
      <c r="B22" s="91">
        <f>SUM(B16:B21)</f>
        <v>0</v>
      </c>
      <c r="C22" s="79"/>
      <c r="D22" s="79"/>
      <c r="E22" s="79"/>
      <c r="F22" s="79"/>
      <c r="G22" s="79"/>
      <c r="H22" s="93"/>
      <c r="M22" s="380" t="s">
        <v>334</v>
      </c>
      <c r="N22" s="381"/>
      <c r="O22" s="391" t="e">
        <f t="shared" si="33"/>
        <v>#DIV/0!</v>
      </c>
      <c r="P22" s="391">
        <f t="shared" si="32"/>
        <v>0</v>
      </c>
      <c r="Q22" s="391">
        <f t="shared" si="32"/>
        <v>0</v>
      </c>
      <c r="R22" s="391">
        <f t="shared" si="32"/>
        <v>0</v>
      </c>
      <c r="S22" s="391">
        <f t="shared" si="32"/>
        <v>0</v>
      </c>
      <c r="T22" s="391">
        <f t="shared" si="32"/>
        <v>0</v>
      </c>
      <c r="U22" s="391">
        <f t="shared" si="32"/>
        <v>0</v>
      </c>
      <c r="V22" s="391">
        <f t="shared" si="32"/>
        <v>0</v>
      </c>
      <c r="W22" s="391">
        <f t="shared" si="32"/>
        <v>0</v>
      </c>
      <c r="X22" s="391">
        <f t="shared" si="32"/>
        <v>0</v>
      </c>
      <c r="Y22" s="391">
        <f t="shared" si="32"/>
        <v>0</v>
      </c>
      <c r="Z22" s="391">
        <f t="shared" si="32"/>
        <v>0</v>
      </c>
      <c r="AA22" s="391">
        <f t="shared" si="32"/>
        <v>0</v>
      </c>
      <c r="AB22" s="391">
        <f t="shared" si="32"/>
        <v>0</v>
      </c>
      <c r="AC22" s="391">
        <f t="shared" si="32"/>
        <v>0</v>
      </c>
      <c r="AD22" s="391">
        <f t="shared" si="32"/>
        <v>0</v>
      </c>
      <c r="AE22" s="391">
        <f t="shared" si="32"/>
        <v>0</v>
      </c>
      <c r="AF22" s="391">
        <f t="shared" si="32"/>
        <v>0</v>
      </c>
      <c r="AG22" s="391">
        <f t="shared" si="32"/>
        <v>0</v>
      </c>
      <c r="AH22" s="391">
        <f t="shared" si="32"/>
        <v>0</v>
      </c>
      <c r="AI22" s="391">
        <f t="shared" si="32"/>
        <v>0</v>
      </c>
      <c r="AJ22" s="391">
        <f t="shared" si="32"/>
        <v>0</v>
      </c>
      <c r="AK22" s="391">
        <f t="shared" si="32"/>
        <v>0</v>
      </c>
      <c r="AL22" s="391">
        <f t="shared" si="32"/>
        <v>0</v>
      </c>
      <c r="AM22" s="391">
        <f t="shared" si="32"/>
        <v>0</v>
      </c>
      <c r="AN22" s="391">
        <f t="shared" si="32"/>
        <v>0</v>
      </c>
      <c r="AO22" s="391">
        <f t="shared" si="32"/>
        <v>0</v>
      </c>
      <c r="AP22" s="391">
        <f t="shared" si="32"/>
        <v>0</v>
      </c>
      <c r="AQ22" s="391">
        <f t="shared" si="32"/>
        <v>0</v>
      </c>
    </row>
    <row r="23" spans="1:44" ht="20.100000000000001" customHeight="1">
      <c r="A23" s="92"/>
      <c r="B23" s="79"/>
      <c r="C23" s="79"/>
      <c r="D23" s="79"/>
      <c r="E23" s="79"/>
      <c r="F23" s="79"/>
      <c r="G23" s="79"/>
      <c r="H23" s="93"/>
      <c r="M23" s="380" t="s">
        <v>331</v>
      </c>
      <c r="N23" s="381"/>
      <c r="O23" s="391" t="e">
        <f t="shared" si="33"/>
        <v>#DIV/0!</v>
      </c>
      <c r="P23" s="391">
        <f t="shared" si="32"/>
        <v>0</v>
      </c>
      <c r="Q23" s="391">
        <f t="shared" si="32"/>
        <v>0</v>
      </c>
      <c r="R23" s="391">
        <f t="shared" si="32"/>
        <v>0</v>
      </c>
      <c r="S23" s="391">
        <f t="shared" si="32"/>
        <v>0</v>
      </c>
      <c r="T23" s="391">
        <f t="shared" si="32"/>
        <v>0</v>
      </c>
      <c r="U23" s="391">
        <f t="shared" si="32"/>
        <v>0</v>
      </c>
      <c r="V23" s="391">
        <f t="shared" si="32"/>
        <v>0</v>
      </c>
      <c r="W23" s="391">
        <f t="shared" si="32"/>
        <v>0</v>
      </c>
      <c r="X23" s="391">
        <f t="shared" si="32"/>
        <v>0</v>
      </c>
      <c r="Y23" s="391">
        <f t="shared" si="32"/>
        <v>0</v>
      </c>
      <c r="Z23" s="391">
        <f t="shared" si="32"/>
        <v>0</v>
      </c>
      <c r="AA23" s="391">
        <f t="shared" si="32"/>
        <v>0</v>
      </c>
      <c r="AB23" s="391">
        <f t="shared" si="32"/>
        <v>0</v>
      </c>
      <c r="AC23" s="391">
        <f t="shared" si="32"/>
        <v>0</v>
      </c>
      <c r="AD23" s="391">
        <f t="shared" si="32"/>
        <v>0</v>
      </c>
      <c r="AE23" s="391">
        <f t="shared" si="32"/>
        <v>0</v>
      </c>
      <c r="AF23" s="391">
        <f t="shared" si="32"/>
        <v>0</v>
      </c>
      <c r="AG23" s="391">
        <f t="shared" si="32"/>
        <v>0</v>
      </c>
      <c r="AH23" s="391">
        <f t="shared" si="32"/>
        <v>0</v>
      </c>
      <c r="AI23" s="391">
        <f t="shared" si="32"/>
        <v>0</v>
      </c>
      <c r="AJ23" s="391">
        <f t="shared" si="32"/>
        <v>0</v>
      </c>
      <c r="AK23" s="391">
        <f t="shared" si="32"/>
        <v>0</v>
      </c>
      <c r="AL23" s="391">
        <f t="shared" si="32"/>
        <v>0</v>
      </c>
      <c r="AM23" s="391">
        <f t="shared" si="32"/>
        <v>0</v>
      </c>
      <c r="AN23" s="391">
        <f t="shared" si="32"/>
        <v>0</v>
      </c>
      <c r="AO23" s="391">
        <f t="shared" si="32"/>
        <v>0</v>
      </c>
      <c r="AP23" s="391">
        <f t="shared" si="32"/>
        <v>0</v>
      </c>
      <c r="AQ23" s="391">
        <f t="shared" si="32"/>
        <v>0</v>
      </c>
    </row>
    <row r="24" spans="1:44" ht="20.100000000000001" customHeight="1">
      <c r="A24" s="92"/>
      <c r="B24" s="79"/>
      <c r="C24" s="79"/>
      <c r="D24" s="79"/>
      <c r="E24" s="79"/>
      <c r="F24" s="79"/>
      <c r="G24" s="79"/>
      <c r="H24" s="93"/>
      <c r="M24" s="380" t="s">
        <v>335</v>
      </c>
      <c r="N24" s="381"/>
      <c r="O24" s="391" t="e">
        <f t="shared" si="33"/>
        <v>#DIV/0!</v>
      </c>
      <c r="P24" s="391">
        <f t="shared" si="32"/>
        <v>0</v>
      </c>
      <c r="Q24" s="391">
        <f t="shared" si="32"/>
        <v>0</v>
      </c>
      <c r="R24" s="391">
        <f t="shared" si="32"/>
        <v>0</v>
      </c>
      <c r="S24" s="391">
        <f t="shared" si="32"/>
        <v>0</v>
      </c>
      <c r="T24" s="391">
        <f t="shared" si="32"/>
        <v>0</v>
      </c>
      <c r="U24" s="391">
        <f t="shared" si="32"/>
        <v>0</v>
      </c>
      <c r="V24" s="391">
        <f t="shared" si="32"/>
        <v>0</v>
      </c>
      <c r="W24" s="391">
        <f t="shared" si="32"/>
        <v>0</v>
      </c>
      <c r="X24" s="391">
        <f t="shared" si="32"/>
        <v>0</v>
      </c>
      <c r="Y24" s="391">
        <f t="shared" si="32"/>
        <v>0</v>
      </c>
      <c r="Z24" s="391">
        <f t="shared" si="32"/>
        <v>0</v>
      </c>
      <c r="AA24" s="391">
        <f t="shared" si="32"/>
        <v>0</v>
      </c>
      <c r="AB24" s="391">
        <f t="shared" si="32"/>
        <v>0</v>
      </c>
      <c r="AC24" s="391">
        <f t="shared" si="32"/>
        <v>0</v>
      </c>
      <c r="AD24" s="391">
        <f t="shared" si="32"/>
        <v>0</v>
      </c>
      <c r="AE24" s="391">
        <f t="shared" si="32"/>
        <v>0</v>
      </c>
      <c r="AF24" s="391">
        <f t="shared" si="32"/>
        <v>0</v>
      </c>
      <c r="AG24" s="391">
        <f t="shared" si="32"/>
        <v>0</v>
      </c>
      <c r="AH24" s="391">
        <f t="shared" si="32"/>
        <v>0</v>
      </c>
      <c r="AI24" s="391">
        <f t="shared" si="32"/>
        <v>0</v>
      </c>
      <c r="AJ24" s="391">
        <f t="shared" si="32"/>
        <v>0</v>
      </c>
      <c r="AK24" s="391">
        <f t="shared" si="32"/>
        <v>0</v>
      </c>
      <c r="AL24" s="391">
        <f t="shared" si="32"/>
        <v>0</v>
      </c>
      <c r="AM24" s="391">
        <f t="shared" si="32"/>
        <v>0</v>
      </c>
      <c r="AN24" s="391">
        <f t="shared" si="32"/>
        <v>0</v>
      </c>
      <c r="AO24" s="391">
        <f t="shared" si="32"/>
        <v>0</v>
      </c>
      <c r="AP24" s="391">
        <f t="shared" si="32"/>
        <v>0</v>
      </c>
      <c r="AQ24" s="391">
        <f t="shared" si="32"/>
        <v>0</v>
      </c>
    </row>
    <row r="25" spans="1:44" ht="20.100000000000001" customHeight="1">
      <c r="A25" s="92"/>
      <c r="B25" s="79"/>
      <c r="C25" s="79"/>
      <c r="D25" s="79"/>
      <c r="E25" s="79"/>
      <c r="F25" s="79"/>
      <c r="G25" s="79"/>
      <c r="H25" s="93"/>
      <c r="M25" s="380" t="s">
        <v>374</v>
      </c>
      <c r="N25" s="381"/>
      <c r="O25" s="391" t="e">
        <f>SUM(O19:O24)</f>
        <v>#DIV/0!</v>
      </c>
      <c r="P25" s="391">
        <f t="shared" ref="P25:AQ25" si="34">SUM(P19:P24)</f>
        <v>0</v>
      </c>
      <c r="Q25" s="391">
        <f t="shared" si="34"/>
        <v>0</v>
      </c>
      <c r="R25" s="391">
        <f t="shared" si="34"/>
        <v>0</v>
      </c>
      <c r="S25" s="391">
        <f t="shared" si="34"/>
        <v>0</v>
      </c>
      <c r="T25" s="391">
        <f t="shared" si="34"/>
        <v>0</v>
      </c>
      <c r="U25" s="391">
        <f t="shared" si="34"/>
        <v>0</v>
      </c>
      <c r="V25" s="391">
        <f t="shared" si="34"/>
        <v>0</v>
      </c>
      <c r="W25" s="391">
        <f t="shared" si="34"/>
        <v>0</v>
      </c>
      <c r="X25" s="391">
        <f t="shared" si="34"/>
        <v>0</v>
      </c>
      <c r="Y25" s="391">
        <f t="shared" si="34"/>
        <v>0</v>
      </c>
      <c r="Z25" s="391">
        <f t="shared" si="34"/>
        <v>0</v>
      </c>
      <c r="AA25" s="391">
        <f t="shared" si="34"/>
        <v>0</v>
      </c>
      <c r="AB25" s="391">
        <f t="shared" si="34"/>
        <v>0</v>
      </c>
      <c r="AC25" s="391">
        <f t="shared" si="34"/>
        <v>0</v>
      </c>
      <c r="AD25" s="391">
        <f t="shared" si="34"/>
        <v>0</v>
      </c>
      <c r="AE25" s="391">
        <f t="shared" si="34"/>
        <v>0</v>
      </c>
      <c r="AF25" s="391">
        <f t="shared" si="34"/>
        <v>0</v>
      </c>
      <c r="AG25" s="391">
        <f t="shared" si="34"/>
        <v>0</v>
      </c>
      <c r="AH25" s="391">
        <f t="shared" si="34"/>
        <v>0</v>
      </c>
      <c r="AI25" s="391">
        <f t="shared" si="34"/>
        <v>0</v>
      </c>
      <c r="AJ25" s="391">
        <f t="shared" si="34"/>
        <v>0</v>
      </c>
      <c r="AK25" s="391">
        <f t="shared" si="34"/>
        <v>0</v>
      </c>
      <c r="AL25" s="391">
        <f t="shared" si="34"/>
        <v>0</v>
      </c>
      <c r="AM25" s="391">
        <f t="shared" si="34"/>
        <v>0</v>
      </c>
      <c r="AN25" s="391">
        <f t="shared" si="34"/>
        <v>0</v>
      </c>
      <c r="AO25" s="391">
        <f t="shared" si="34"/>
        <v>0</v>
      </c>
      <c r="AP25" s="391">
        <f t="shared" si="34"/>
        <v>0</v>
      </c>
      <c r="AQ25" s="391">
        <f t="shared" si="34"/>
        <v>0</v>
      </c>
    </row>
    <row r="26" spans="1:44" ht="20.100000000000001" customHeight="1">
      <c r="A26" s="92"/>
      <c r="B26" s="79"/>
      <c r="C26" s="79"/>
      <c r="D26" s="79"/>
      <c r="E26" s="79"/>
      <c r="F26" s="79"/>
      <c r="G26" s="79"/>
      <c r="H26" s="93"/>
    </row>
    <row r="27" spans="1:44" ht="20.100000000000001" customHeight="1">
      <c r="A27" s="92"/>
      <c r="B27" s="79"/>
      <c r="C27" s="79"/>
      <c r="D27" s="79"/>
      <c r="E27" s="79"/>
      <c r="F27" s="79"/>
      <c r="G27" s="79"/>
      <c r="H27" s="93"/>
    </row>
    <row r="28" spans="1:44" ht="20.100000000000001" customHeight="1">
      <c r="A28" s="92"/>
      <c r="B28" s="79"/>
      <c r="C28" s="79"/>
      <c r="D28" s="79"/>
      <c r="E28" s="79"/>
      <c r="F28" s="79"/>
      <c r="G28" s="79"/>
      <c r="H28" s="93"/>
    </row>
    <row r="29" spans="1:44" ht="20.100000000000001" customHeight="1">
      <c r="A29" s="92"/>
      <c r="B29" s="79"/>
      <c r="C29" s="79"/>
      <c r="D29" s="79"/>
      <c r="E29" s="79"/>
      <c r="F29" s="79"/>
      <c r="G29" s="79"/>
      <c r="H29" s="93"/>
    </row>
    <row r="30" spans="1:44" ht="20.100000000000001" customHeight="1">
      <c r="A30" s="92"/>
      <c r="B30" s="79"/>
      <c r="C30" s="79"/>
      <c r="D30" s="79"/>
      <c r="E30" s="79"/>
      <c r="F30" s="79"/>
      <c r="G30" s="79"/>
      <c r="H30" s="93"/>
    </row>
    <row r="31" spans="1:44" ht="20.100000000000001" customHeight="1" thickBot="1">
      <c r="A31" s="92"/>
      <c r="B31" s="79"/>
      <c r="C31" s="79"/>
      <c r="D31" s="79"/>
      <c r="E31" s="79"/>
      <c r="F31" s="79"/>
      <c r="G31" s="79"/>
      <c r="H31" s="93"/>
      <c r="I31" s="319" t="s">
        <v>453</v>
      </c>
    </row>
    <row r="32" spans="1:44" ht="20.100000000000001" customHeight="1" thickBot="1">
      <c r="A32" s="92"/>
      <c r="B32" s="79"/>
      <c r="C32" s="79"/>
      <c r="D32" s="79"/>
      <c r="E32" s="79"/>
      <c r="F32" s="79"/>
      <c r="G32" s="79"/>
      <c r="H32" s="79"/>
      <c r="I32" s="627" t="s">
        <v>1095</v>
      </c>
      <c r="J32" s="625" t="s">
        <v>1096</v>
      </c>
      <c r="K32" s="626"/>
      <c r="L32" s="629" t="s">
        <v>1100</v>
      </c>
      <c r="M32" s="631" t="s">
        <v>452</v>
      </c>
      <c r="N32" s="622" t="s">
        <v>1097</v>
      </c>
      <c r="O32" s="134"/>
      <c r="P32" s="134"/>
      <c r="Q32" s="134"/>
      <c r="R32" s="134"/>
      <c r="S32" s="134"/>
      <c r="T32" s="134"/>
      <c r="U32" s="134"/>
      <c r="V32" s="134"/>
      <c r="W32" s="134"/>
      <c r="X32" s="134"/>
      <c r="Y32" s="134"/>
      <c r="Z32" s="134"/>
      <c r="AA32" s="134"/>
      <c r="AB32" s="134"/>
      <c r="AC32" s="134"/>
      <c r="AD32" s="134"/>
      <c r="AE32" s="134"/>
      <c r="AF32" s="134"/>
      <c r="AG32" s="134"/>
      <c r="AH32" s="134"/>
      <c r="AI32" s="134"/>
      <c r="AJ32" s="134"/>
      <c r="AK32" s="134"/>
      <c r="AL32" s="134"/>
      <c r="AM32" s="134"/>
      <c r="AN32" s="134"/>
      <c r="AO32" s="134"/>
      <c r="AP32" s="134"/>
      <c r="AQ32" s="134"/>
      <c r="AR32" s="37"/>
    </row>
    <row r="33" spans="1:44" ht="20.100000000000001" customHeight="1" thickBot="1">
      <c r="A33" s="92"/>
      <c r="B33" s="79"/>
      <c r="C33" s="79"/>
      <c r="D33" s="79"/>
      <c r="E33" s="79"/>
      <c r="F33" s="79"/>
      <c r="G33" s="79"/>
      <c r="H33" s="79"/>
      <c r="I33" s="628"/>
      <c r="J33" s="558" t="s">
        <v>1004</v>
      </c>
      <c r="K33" s="558" t="s">
        <v>1005</v>
      </c>
      <c r="L33" s="630"/>
      <c r="M33" s="632"/>
      <c r="N33" s="623"/>
      <c r="O33" s="562">
        <v>1</v>
      </c>
      <c r="P33" s="559">
        <f t="shared" ref="P33:AR33" si="35">O33+1</f>
        <v>2</v>
      </c>
      <c r="Q33" s="559">
        <f t="shared" si="35"/>
        <v>3</v>
      </c>
      <c r="R33" s="559">
        <f t="shared" si="35"/>
        <v>4</v>
      </c>
      <c r="S33" s="559">
        <f t="shared" si="35"/>
        <v>5</v>
      </c>
      <c r="T33" s="559">
        <f t="shared" si="35"/>
        <v>6</v>
      </c>
      <c r="U33" s="559">
        <f t="shared" si="35"/>
        <v>7</v>
      </c>
      <c r="V33" s="559">
        <f t="shared" si="35"/>
        <v>8</v>
      </c>
      <c r="W33" s="559">
        <f t="shared" si="35"/>
        <v>9</v>
      </c>
      <c r="X33" s="559">
        <f t="shared" si="35"/>
        <v>10</v>
      </c>
      <c r="Y33" s="559">
        <f t="shared" si="35"/>
        <v>11</v>
      </c>
      <c r="Z33" s="559">
        <f t="shared" si="35"/>
        <v>12</v>
      </c>
      <c r="AA33" s="559">
        <f t="shared" si="35"/>
        <v>13</v>
      </c>
      <c r="AB33" s="559">
        <f t="shared" si="35"/>
        <v>14</v>
      </c>
      <c r="AC33" s="559">
        <f t="shared" si="35"/>
        <v>15</v>
      </c>
      <c r="AD33" s="559">
        <f t="shared" si="35"/>
        <v>16</v>
      </c>
      <c r="AE33" s="559">
        <f t="shared" si="35"/>
        <v>17</v>
      </c>
      <c r="AF33" s="559">
        <f t="shared" si="35"/>
        <v>18</v>
      </c>
      <c r="AG33" s="559">
        <f t="shared" si="35"/>
        <v>19</v>
      </c>
      <c r="AH33" s="559">
        <f t="shared" si="35"/>
        <v>20</v>
      </c>
      <c r="AI33" s="559">
        <f t="shared" si="35"/>
        <v>21</v>
      </c>
      <c r="AJ33" s="559">
        <f t="shared" si="35"/>
        <v>22</v>
      </c>
      <c r="AK33" s="559">
        <f t="shared" si="35"/>
        <v>23</v>
      </c>
      <c r="AL33" s="559">
        <f t="shared" si="35"/>
        <v>24</v>
      </c>
      <c r="AM33" s="559">
        <f t="shared" si="35"/>
        <v>25</v>
      </c>
      <c r="AN33" s="559">
        <f t="shared" si="35"/>
        <v>26</v>
      </c>
      <c r="AO33" s="559">
        <f t="shared" si="35"/>
        <v>27</v>
      </c>
      <c r="AP33" s="560">
        <f t="shared" si="35"/>
        <v>28</v>
      </c>
      <c r="AQ33" s="559">
        <f t="shared" si="35"/>
        <v>29</v>
      </c>
      <c r="AR33" s="561">
        <f t="shared" si="35"/>
        <v>30</v>
      </c>
    </row>
    <row r="34" spans="1:44" ht="20.100000000000001" customHeight="1">
      <c r="A34" s="92"/>
      <c r="B34" s="79"/>
      <c r="C34" s="79"/>
      <c r="D34" s="79"/>
      <c r="E34" s="79"/>
      <c r="F34" s="79"/>
      <c r="G34" s="79"/>
      <c r="H34" s="93"/>
      <c r="I34" s="382">
        <f t="shared" ref="I34:I63" si="36">D46</f>
        <v>2</v>
      </c>
      <c r="J34" s="555">
        <f t="shared" ref="J34:J63" si="37">E46</f>
        <v>1</v>
      </c>
      <c r="K34" s="555">
        <f t="shared" ref="K34:K63" si="38">F46</f>
        <v>1</v>
      </c>
      <c r="L34" s="383">
        <v>1</v>
      </c>
      <c r="M34" s="537" t="s">
        <v>931</v>
      </c>
      <c r="N34" s="538">
        <f t="shared" ref="N34:N63" si="39">2021+G46</f>
        <v>2022</v>
      </c>
      <c r="O34" s="550">
        <f>($I34*INDEX('DEFAULT DATA'!$DZ$9:$MG$41,START!$B$3,($L34))*-44/12)+($I34*INDEX('DEFAULT DATA'!$DZ$9:$MG$41,START!$B$3,($L34+1))*-44/12)+($I34*INDEX('DEFAULT DATA'!$DZ$9:$MG$41,START!$B$3,($L34+2))*-44/12)+($I34*INDEX('DEFAULT DATA'!$DZ$9:$MG$41,START!$B$3,($L34+3))*-44/12)+($J34*INDEX('DEFAULT DATA'!$DZ$9:$MG$41,START!$B$3,($L34+4))*-44/12)+($K34*INDEX('DEFAULT DATA'!$DZ$9:$MG$41,START!$B$3,($L34+5))*-44/12)</f>
        <v>0</v>
      </c>
      <c r="P34" s="550">
        <f>($I34*INDEX('DEFAULT DATA'!$DZ$9:$MG$41,START!$B$3,($L34))*-44/12)+($I34*INDEX('DEFAULT DATA'!$DZ$9:$MG$41,START!$B$3,($L34+1))*-44/12)+($I34*INDEX('DEFAULT DATA'!$DZ$9:$MG$41,START!$B$3,($L34+2))*-44/12)+($I34*INDEX('DEFAULT DATA'!$DZ$9:$MG$41,START!$B$3,($L34+3))*-44/12)+($J34*INDEX('DEFAULT DATA'!$DZ$9:$MG$41,START!$B$3,($L34+4))*-44/12)+($K34*INDEX('DEFAULT DATA'!$DZ$9:$MG$41,START!$B$3,($L34+5))*-44/12)</f>
        <v>0</v>
      </c>
      <c r="Q34" s="550">
        <f>($I34*INDEX('DEFAULT DATA'!$DZ$9:$MG$41,START!$B$3,($L34))*-44/12)+($I34*INDEX('DEFAULT DATA'!$DZ$9:$MG$41,START!$B$3,($L34+1))*-44/12)+($I34*INDEX('DEFAULT DATA'!$DZ$9:$MG$41,START!$B$3,($L34+2))*-44/12)+($I34*INDEX('DEFAULT DATA'!$DZ$9:$MG$41,START!$B$3,($L34+3))*-44/12)+($J34*INDEX('DEFAULT DATA'!$DZ$9:$MG$41,START!$B$3,($L34+4))*-44/12)+($K34*INDEX('DEFAULT DATA'!$DZ$9:$MG$41,START!$B$3,($L34+5))*-44/12)</f>
        <v>0</v>
      </c>
      <c r="R34" s="550">
        <f>($I34*INDEX('DEFAULT DATA'!$DZ$9:$MG$41,START!$B$3,($L34))*-44/12)+($I34*INDEX('DEFAULT DATA'!$DZ$9:$MG$41,START!$B$3,($L34+1))*-44/12)+($I34*INDEX('DEFAULT DATA'!$DZ$9:$MG$41,START!$B$3,($L34+2))*-44/12)+($I34*INDEX('DEFAULT DATA'!$DZ$9:$MG$41,START!$B$3,($L34+3))*-44/12)+($J34*INDEX('DEFAULT DATA'!$DZ$9:$MG$41,START!$B$3,($L34+4))*-44/12)+($K34*INDEX('DEFAULT DATA'!$DZ$9:$MG$41,START!$B$3,($L34+5))*-44/12)</f>
        <v>0</v>
      </c>
      <c r="S34" s="550">
        <f>($I34*INDEX('DEFAULT DATA'!$DZ$9:$MG$41,START!$B$3,($L34))*-44/12)+($I34*INDEX('DEFAULT DATA'!$DZ$9:$MG$41,START!$B$3,($L34+1))*-44/12)+($I34*INDEX('DEFAULT DATA'!$DZ$9:$MG$41,START!$B$3,($L34+2))*-44/12)+($I34*INDEX('DEFAULT DATA'!$DZ$9:$MG$41,START!$B$3,($L34+3))*-44/12)+($J34*INDEX('DEFAULT DATA'!$DZ$9:$MG$41,START!$B$3,($L34+4))*-44/12)+($K34*INDEX('DEFAULT DATA'!$DZ$9:$MG$41,START!$B$3,($L34+5))*-44/12)</f>
        <v>0</v>
      </c>
      <c r="T34" s="550">
        <f>($I34*INDEX('DEFAULT DATA'!$DZ$9:$MG$41,START!$B$3,($L34))*-44/12)+($I34*INDEX('DEFAULT DATA'!$DZ$9:$MG$41,START!$B$3,($L34+1))*-44/12)+($I34*INDEX('DEFAULT DATA'!$DZ$9:$MG$41,START!$B$3,($L34+2))*-44/12)+($I34*INDEX('DEFAULT DATA'!$DZ$9:$MG$41,START!$B$3,($L34+3))*-44/12)+($J34*INDEX('DEFAULT DATA'!$DZ$9:$MG$41,START!$B$3,($L34+4))*-44/12)+($K34*INDEX('DEFAULT DATA'!$DZ$9:$MG$41,START!$B$3,($L34+5))*-44/12)</f>
        <v>0</v>
      </c>
      <c r="U34" s="550">
        <f>($I34*INDEX('DEFAULT DATA'!$DZ$9:$MG$41,START!$B$3,($L34))*-44/12)+($I34*INDEX('DEFAULT DATA'!$DZ$9:$MG$41,START!$B$3,($L34+1))*-44/12)+($I34*INDEX('DEFAULT DATA'!$DZ$9:$MG$41,START!$B$3,($L34+2))*-44/12)+($I34*INDEX('DEFAULT DATA'!$DZ$9:$MG$41,START!$B$3,($L34+3))*-44/12)+($J34*INDEX('DEFAULT DATA'!$DZ$9:$MG$41,START!$B$3,($L34+4))*-44/12)+($K34*INDEX('DEFAULT DATA'!$DZ$9:$MG$41,START!$B$3,($L34+5))*-44/12)</f>
        <v>0</v>
      </c>
      <c r="V34" s="550">
        <f>($I34*INDEX('DEFAULT DATA'!$DZ$9:$MG$41,START!$B$3,($L34))*-44/12)+($I34*INDEX('DEFAULT DATA'!$DZ$9:$MG$41,START!$B$3,($L34+1))*-44/12)+($I34*INDEX('DEFAULT DATA'!$DZ$9:$MG$41,START!$B$3,($L34+2))*-44/12)+($I34*INDEX('DEFAULT DATA'!$DZ$9:$MG$41,START!$B$3,($L34+3))*-44/12)+($J34*INDEX('DEFAULT DATA'!$DZ$9:$MG$41,START!$B$3,($L34+4))*-44/12)+($K34*INDEX('DEFAULT DATA'!$DZ$9:$MG$41,START!$B$3,($L34+5))*-44/12)</f>
        <v>0</v>
      </c>
      <c r="W34" s="550">
        <f>($I34*INDEX('DEFAULT DATA'!$DZ$9:$MG$41,START!$B$3,($L34))*-44/12)+($I34*INDEX('DEFAULT DATA'!$DZ$9:$MG$41,START!$B$3,($L34+1))*-44/12)+($I34*INDEX('DEFAULT DATA'!$DZ$9:$MG$41,START!$B$3,($L34+2))*-44/12)+($I34*INDEX('DEFAULT DATA'!$DZ$9:$MG$41,START!$B$3,($L34+3))*-44/12)+($J34*INDEX('DEFAULT DATA'!$DZ$9:$MG$41,START!$B$3,($L34+4))*-44/12)+($K34*INDEX('DEFAULT DATA'!$DZ$9:$MG$41,START!$B$3,($L34+5))*-44/12)</f>
        <v>0</v>
      </c>
      <c r="X34" s="550">
        <f>($I34*INDEX('DEFAULT DATA'!$DZ$9:$MG$41,START!$B$3,($L34))*-44/12)+($I34*INDEX('DEFAULT DATA'!$DZ$9:$MG$41,START!$B$3,($L34+1))*-44/12)+($I34*INDEX('DEFAULT DATA'!$DZ$9:$MG$41,START!$B$3,($L34+2))*-44/12)+($I34*INDEX('DEFAULT DATA'!$DZ$9:$MG$41,START!$B$3,($L34+3))*-44/12)+($J34*INDEX('DEFAULT DATA'!$DZ$9:$MG$41,START!$B$3,($L34+4))*-44/12)+($K34*INDEX('DEFAULT DATA'!$DZ$9:$MG$41,START!$B$3,($L34+5))*-44/12)</f>
        <v>0</v>
      </c>
      <c r="Y34" s="550">
        <f>($I34*INDEX('DEFAULT DATA'!$DZ$9:$MG$41,START!$B$3,($L34))*-44/12)+($I34*INDEX('DEFAULT DATA'!$DZ$9:$MG$41,START!$B$3,($L34+1))*-44/12)+($I34*INDEX('DEFAULT DATA'!$DZ$9:$MG$41,START!$B$3,($L34+2))*-44/12)+($I34*INDEX('DEFAULT DATA'!$DZ$9:$MG$41,START!$B$3,($L34+3))*-44/12)+($J34*INDEX('DEFAULT DATA'!$DZ$9:$MG$41,START!$B$3,($L34+4))*-44/12)+($K34*INDEX('DEFAULT DATA'!$DZ$9:$MG$41,START!$B$3,($L34+5))*-44/12)</f>
        <v>0</v>
      </c>
      <c r="Z34" s="550">
        <f>($I34*INDEX('DEFAULT DATA'!$DZ$9:$MG$41,START!$B$3,($L34))*-44/12)+($I34*INDEX('DEFAULT DATA'!$DZ$9:$MG$41,START!$B$3,($L34+1))*-44/12)+($I34*INDEX('DEFAULT DATA'!$DZ$9:$MG$41,START!$B$3,($L34+2))*-44/12)+($I34*INDEX('DEFAULT DATA'!$DZ$9:$MG$41,START!$B$3,($L34+3))*-44/12)+($J34*INDEX('DEFAULT DATA'!$DZ$9:$MG$41,START!$B$3,($L34+4))*-44/12)+($K34*INDEX('DEFAULT DATA'!$DZ$9:$MG$41,START!$B$3,($L34+5))*-44/12)</f>
        <v>0</v>
      </c>
      <c r="AA34" s="550">
        <f>($I34*INDEX('DEFAULT DATA'!$DZ$9:$MG$41,START!$B$3,($L34))*-44/12)+($I34*INDEX('DEFAULT DATA'!$DZ$9:$MG$41,START!$B$3,($L34+1))*-44/12)+($I34*INDEX('DEFAULT DATA'!$DZ$9:$MG$41,START!$B$3,($L34+2))*-44/12)+($I34*INDEX('DEFAULT DATA'!$DZ$9:$MG$41,START!$B$3,($L34+3))*-44/12)+($J34*INDEX('DEFAULT DATA'!$DZ$9:$MG$41,START!$B$3,($L34+4))*-44/12)+($K34*INDEX('DEFAULT DATA'!$DZ$9:$MG$41,START!$B$3,($L34+5))*-44/12)</f>
        <v>0</v>
      </c>
      <c r="AB34" s="550">
        <f>($I34*INDEX('DEFAULT DATA'!$DZ$9:$MG$41,START!$B$3,($L34))*-44/12)+($I34*INDEX('DEFAULT DATA'!$DZ$9:$MG$41,START!$B$3,($L34+1))*-44/12)+($I34*INDEX('DEFAULT DATA'!$DZ$9:$MG$41,START!$B$3,($L34+2))*-44/12)+($I34*INDEX('DEFAULT DATA'!$DZ$9:$MG$41,START!$B$3,($L34+3))*-44/12)+($J34*INDEX('DEFAULT DATA'!$DZ$9:$MG$41,START!$B$3,($L34+4))*-44/12)+($K34*INDEX('DEFAULT DATA'!$DZ$9:$MG$41,START!$B$3,($L34+5))*-44/12)</f>
        <v>0</v>
      </c>
      <c r="AC34" s="550">
        <f>($I34*INDEX('DEFAULT DATA'!$DZ$9:$MG$41,START!$B$3,($L34))*-44/12)+($I34*INDEX('DEFAULT DATA'!$DZ$9:$MG$41,START!$B$3,($L34+1))*-44/12)+($I34*INDEX('DEFAULT DATA'!$DZ$9:$MG$41,START!$B$3,($L34+2))*-44/12)+($I34*INDEX('DEFAULT DATA'!$DZ$9:$MG$41,START!$B$3,($L34+3))*-44/12)+($J34*INDEX('DEFAULT DATA'!$DZ$9:$MG$41,START!$B$3,($L34+4))*-44/12)+($K34*INDEX('DEFAULT DATA'!$DZ$9:$MG$41,START!$B$3,($L34+5))*-44/12)</f>
        <v>0</v>
      </c>
      <c r="AD34" s="550">
        <f>($I34*INDEX('DEFAULT DATA'!$DZ$9:$MG$41,START!$B$3,($L34))*-44/12)+($I34*INDEX('DEFAULT DATA'!$DZ$9:$MG$41,START!$B$3,($L34+1))*-44/12)+($I34*INDEX('DEFAULT DATA'!$DZ$9:$MG$41,START!$B$3,($L34+2))*-44/12)+($I34*INDEX('DEFAULT DATA'!$DZ$9:$MG$41,START!$B$3,($L34+3))*-44/12)+($J34*INDEX('DEFAULT DATA'!$DZ$9:$MG$41,START!$B$3,($L34+4))*-44/12)+($K34*INDEX('DEFAULT DATA'!$DZ$9:$MG$41,START!$B$3,($L34+5))*-44/12)</f>
        <v>0</v>
      </c>
      <c r="AE34" s="550">
        <f>($I34*INDEX('DEFAULT DATA'!$DZ$9:$MG$41,START!$B$3,($L34))*-44/12)+($I34*INDEX('DEFAULT DATA'!$DZ$9:$MG$41,START!$B$3,($L34+1))*-44/12)+($I34*INDEX('DEFAULT DATA'!$DZ$9:$MG$41,START!$B$3,($L34+2))*-44/12)+($I34*INDEX('DEFAULT DATA'!$DZ$9:$MG$41,START!$B$3,($L34+3))*-44/12)+($J34*INDEX('DEFAULT DATA'!$DZ$9:$MG$41,START!$B$3,($L34+4))*-44/12)+($K34*INDEX('DEFAULT DATA'!$DZ$9:$MG$41,START!$B$3,($L34+5))*-44/12)</f>
        <v>0</v>
      </c>
      <c r="AF34" s="550">
        <f>($I34*INDEX('DEFAULT DATA'!$DZ$9:$MG$41,START!$B$3,($L34))*-44/12)+($I34*INDEX('DEFAULT DATA'!$DZ$9:$MG$41,START!$B$3,($L34+1))*-44/12)+($I34*INDEX('DEFAULT DATA'!$DZ$9:$MG$41,START!$B$3,($L34+2))*-44/12)+($I34*INDEX('DEFAULT DATA'!$DZ$9:$MG$41,START!$B$3,($L34+3))*-44/12)+($J34*INDEX('DEFAULT DATA'!$DZ$9:$MG$41,START!$B$3,($L34+4))*-44/12)+($K34*INDEX('DEFAULT DATA'!$DZ$9:$MG$41,START!$B$3,($L34+5))*-44/12)</f>
        <v>0</v>
      </c>
      <c r="AG34" s="550">
        <f>($I34*INDEX('DEFAULT DATA'!$DZ$9:$MG$41,START!$B$3,($L34))*-44/12)+($I34*INDEX('DEFAULT DATA'!$DZ$9:$MG$41,START!$B$3,($L34+1))*-44/12)+($I34*INDEX('DEFAULT DATA'!$DZ$9:$MG$41,START!$B$3,($L34+2))*-44/12)+($I34*INDEX('DEFAULT DATA'!$DZ$9:$MG$41,START!$B$3,($L34+3))*-44/12)+($J34*INDEX('DEFAULT DATA'!$DZ$9:$MG$41,START!$B$3,($L34+4))*-44/12)+($K34*INDEX('DEFAULT DATA'!$DZ$9:$MG$41,START!$B$3,($L34+5))*-44/12)</f>
        <v>0</v>
      </c>
      <c r="AH34" s="550">
        <f>($I34*INDEX('DEFAULT DATA'!$DZ$9:$MG$41,START!$B$3,($L34))*-44/12)+($I34*INDEX('DEFAULT DATA'!$DZ$9:$MG$41,START!$B$3,($L34+1))*-44/12)+($I34*INDEX('DEFAULT DATA'!$DZ$9:$MG$41,START!$B$3,($L34+2))*-44/12)+($I34*INDEX('DEFAULT DATA'!$DZ$9:$MG$41,START!$B$3,($L34+3))*-44/12)+($J34*INDEX('DEFAULT DATA'!$DZ$9:$MG$41,START!$B$3,($L34+4))*-44/12)+($K34*INDEX('DEFAULT DATA'!$DZ$9:$MG$41,START!$B$3,($L34+5))*-44/12)</f>
        <v>0</v>
      </c>
      <c r="AI34" s="550">
        <f>(($I34*INDEX('DEFAULT DATA'!$KX$9:$LC$41,START!$B$3,1)*-44/12)+($I34*INDEX('DEFAULT DATA'!$KX$9:$LC$41,START!$B$3,2)*-44/12)+($I34*INDEX('DEFAULT DATA'!$KX$9:$LC$41,START!$B$3,3)*-44/12)+($I34*INDEX('DEFAULT DATA'!$KX$9:$LC$41,START!$B$3,4)*-44/12)+($J34*INDEX('DEFAULT DATA'!$KX$9:$LC$41,START!$B$3,5)*-44/12)+($K34*INDEX('DEFAULT DATA'!$KX$9:$LC$41,START!$B$3,6)*-44/12))</f>
        <v>-5.3534150114908847</v>
      </c>
      <c r="AJ34" s="550">
        <f>(($I34*INDEX('DEFAULT DATA'!$KX$9:$LC$41,START!$B$3,1)*-44/12)+($I34*INDEX('DEFAULT DATA'!$KX$9:$LC$41,START!$B$3,2)*-44/12)+($I34*INDEX('DEFAULT DATA'!$KX$9:$LC$41,START!$B$3,3)*-44/12)+($I34*INDEX('DEFAULT DATA'!$KX$9:$LC$41,START!$B$3,4)*-44/12)+($J34*INDEX('DEFAULT DATA'!$KX$9:$LC$41,START!$B$3,5)*-44/12)+($K34*INDEX('DEFAULT DATA'!$KX$9:$LC$41,START!$B$3,6)*-44/12))</f>
        <v>-5.3534150114908847</v>
      </c>
      <c r="AK34" s="550">
        <f>(($I34*INDEX('DEFAULT DATA'!$KX$9:$LC$41,START!$B$3,1)*-44/12)+($I34*INDEX('DEFAULT DATA'!$KX$9:$LC$41,START!$B$3,2)*-44/12)+($I34*INDEX('DEFAULT DATA'!$KX$9:$LC$41,START!$B$3,3)*-44/12)+($I34*INDEX('DEFAULT DATA'!$KX$9:$LC$41,START!$B$3,4)*-44/12)+($J34*INDEX('DEFAULT DATA'!$KX$9:$LC$41,START!$B$3,5)*-44/12)+($K34*INDEX('DEFAULT DATA'!$KX$9:$LC$41,START!$B$3,6)*-44/12))</f>
        <v>-5.3534150114908847</v>
      </c>
      <c r="AL34" s="550">
        <f>(($I34*INDEX('DEFAULT DATA'!$KX$9:$LC$41,START!$B$3,1)*-44/12)+($I34*INDEX('DEFAULT DATA'!$KX$9:$LC$41,START!$B$3,2)*-44/12)+($I34*INDEX('DEFAULT DATA'!$KX$9:$LC$41,START!$B$3,3)*-44/12)+($I34*INDEX('DEFAULT DATA'!$KX$9:$LC$41,START!$B$3,4)*-44/12)+($J34*INDEX('DEFAULT DATA'!$KX$9:$LC$41,START!$B$3,5)*-44/12)+($K34*INDEX('DEFAULT DATA'!$KX$9:$LC$41,START!$B$3,6)*-44/12))</f>
        <v>-5.3534150114908847</v>
      </c>
      <c r="AM34" s="550">
        <f>(($I34*INDEX('DEFAULT DATA'!$KX$9:$LC$41,START!$B$3,1)*-44/12)+($I34*INDEX('DEFAULT DATA'!$KX$9:$LC$41,START!$B$3,2)*-44/12)+($I34*INDEX('DEFAULT DATA'!$KX$9:$LC$41,START!$B$3,3)*-44/12)+($I34*INDEX('DEFAULT DATA'!$KX$9:$LC$41,START!$B$3,4)*-44/12)+($J34*INDEX('DEFAULT DATA'!$KX$9:$LC$41,START!$B$3,5)*-44/12)+($K34*INDEX('DEFAULT DATA'!$KX$9:$LC$41,START!$B$3,6)*-44/12))</f>
        <v>-5.3534150114908847</v>
      </c>
      <c r="AN34" s="550">
        <f>(($I34*INDEX('DEFAULT DATA'!$KX$9:$LC$41,START!$B$3,1)*-44/12)+($I34*INDEX('DEFAULT DATA'!$KX$9:$LC$41,START!$B$3,2)*-44/12)+($I34*INDEX('DEFAULT DATA'!$KX$9:$LC$41,START!$B$3,3)*-44/12)+($I34*INDEX('DEFAULT DATA'!$KX$9:$LC$41,START!$B$3,4)*-44/12)+($J34*INDEX('DEFAULT DATA'!$KX$9:$LC$41,START!$B$3,5)*-44/12)+($K34*INDEX('DEFAULT DATA'!$KX$9:$LC$41,START!$B$3,6)*-44/12))</f>
        <v>-5.3534150114908847</v>
      </c>
      <c r="AO34" s="550">
        <f>(($I34*INDEX('DEFAULT DATA'!$KX$9:$LC$41,START!$B$3,1)*-44/12)+($I34*INDEX('DEFAULT DATA'!$KX$9:$LC$41,START!$B$3,2)*-44/12)+($I34*INDEX('DEFAULT DATA'!$KX$9:$LC$41,START!$B$3,3)*-44/12)+($I34*INDEX('DEFAULT DATA'!$KX$9:$LC$41,START!$B$3,4)*-44/12)+($J34*INDEX('DEFAULT DATA'!$KX$9:$LC$41,START!$B$3,5)*-44/12)+($K34*INDEX('DEFAULT DATA'!$KX$9:$LC$41,START!$B$3,6)*-44/12))</f>
        <v>-5.3534150114908847</v>
      </c>
      <c r="AP34" s="550">
        <f>(($I34*INDEX('DEFAULT DATA'!$KX$9:$LC$41,START!$B$3,1)*-44/12)+($I34*INDEX('DEFAULT DATA'!$KX$9:$LC$41,START!$B$3,2)*-44/12)+($I34*INDEX('DEFAULT DATA'!$KX$9:$LC$41,START!$B$3,3)*-44/12)+($I34*INDEX('DEFAULT DATA'!$KX$9:$LC$41,START!$B$3,4)*-44/12)+($J34*INDEX('DEFAULT DATA'!$KX$9:$LC$41,START!$B$3,5)*-44/12)+($K34*INDEX('DEFAULT DATA'!$KX$9:$LC$41,START!$B$3,6)*-44/12))</f>
        <v>-5.3534150114908847</v>
      </c>
      <c r="AQ34" s="550">
        <f>(($I34*INDEX('DEFAULT DATA'!$KX$9:$LC$41,START!$B$3,1)*-44/12)+($I34*INDEX('DEFAULT DATA'!$KX$9:$LC$41,START!$B$3,2)*-44/12)+($I34*INDEX('DEFAULT DATA'!$KX$9:$LC$41,START!$B$3,3)*-44/12)+($I34*INDEX('DEFAULT DATA'!$KX$9:$LC$41,START!$B$3,4)*-44/12)+($J34*INDEX('DEFAULT DATA'!$KX$9:$LC$41,START!$B$3,5)*-44/12)+($K34*INDEX('DEFAULT DATA'!$KX$9:$LC$41,START!$B$3,6)*-44/12))</f>
        <v>-5.3534150114908847</v>
      </c>
      <c r="AR34" s="551">
        <f>(($I34*INDEX('DEFAULT DATA'!$KX$9:$LC$41,START!$B$3,1)*-44/12)+($I34*INDEX('DEFAULT DATA'!$KX$9:$LC$41,START!$B$3,2)*-44/12)+($I34*INDEX('DEFAULT DATA'!$KX$9:$LC$41,START!$B$3,3)*-44/12)+($I34*INDEX('DEFAULT DATA'!$KX$9:$LC$41,START!$B$3,4)*-44/12)+($J34*INDEX('DEFAULT DATA'!$KX$9:$LC$41,START!$B$3,5)*-44/12)+($K34*INDEX('DEFAULT DATA'!$KX$9:$LC$41,START!$B$3,6)*-44/12))</f>
        <v>-5.3534150114908847</v>
      </c>
    </row>
    <row r="35" spans="1:44" ht="20.100000000000001" customHeight="1">
      <c r="A35" s="92"/>
      <c r="B35" s="79"/>
      <c r="C35" s="79"/>
      <c r="D35" s="79"/>
      <c r="E35" s="79"/>
      <c r="F35" s="79"/>
      <c r="G35" s="79"/>
      <c r="H35" s="93"/>
      <c r="I35" s="514">
        <f t="shared" si="36"/>
        <v>50</v>
      </c>
      <c r="J35" s="511">
        <f t="shared" si="37"/>
        <v>1</v>
      </c>
      <c r="K35" s="511">
        <f t="shared" si="38"/>
        <v>1</v>
      </c>
      <c r="L35" s="384">
        <f>L34+6</f>
        <v>7</v>
      </c>
      <c r="M35" s="535" t="s">
        <v>932</v>
      </c>
      <c r="N35" s="539">
        <f t="shared" si="39"/>
        <v>2022</v>
      </c>
      <c r="O35" s="221">
        <f>($I35*INDEX('DEFAULT DATA'!$DZ$9:$MG$41,START!$B$3,($L35))*-44/12)+($I35*INDEX('DEFAULT DATA'!$DZ$9:$MG$41,START!$B$3,($L35+1))*-44/12)+($I35*INDEX('DEFAULT DATA'!$DZ$9:$MG$41,START!$B$3,($L35+2))*-44/12)+($I35*INDEX('DEFAULT DATA'!$DZ$9:$MG$41,START!$B$3,($L35+3))*-44/12)+($J35*INDEX('DEFAULT DATA'!$DZ$9:$MG$41,START!$B$3,($L35+4))*-44/12)+($K35*INDEX('DEFAULT DATA'!$DZ$9:$MG$41,START!$B$3,($L35+5))*-44/12)</f>
        <v>-606.13841810998508</v>
      </c>
      <c r="P35" s="221">
        <f>($I35*INDEX('DEFAULT DATA'!$DZ$9:$MG$41,START!$B$3,($L35))*-44/12)+($I35*INDEX('DEFAULT DATA'!$DZ$9:$MG$41,START!$B$3,($L35+1))*-44/12)+($I35*INDEX('DEFAULT DATA'!$DZ$9:$MG$41,START!$B$3,($L35+2))*-44/12)+($I35*INDEX('DEFAULT DATA'!$DZ$9:$MG$41,START!$B$3,($L35+3))*-44/12)+($J35*INDEX('DEFAULT DATA'!$DZ$9:$MG$41,START!$B$3,($L35+4))*-44/12)+($K35*INDEX('DEFAULT DATA'!$DZ$9:$MG$41,START!$B$3,($L35+5))*-44/12)</f>
        <v>-606.13841810998508</v>
      </c>
      <c r="Q35" s="221">
        <f>($I35*INDEX('DEFAULT DATA'!$DZ$9:$MG$41,START!$B$3,($L35))*-44/12)+($I35*INDEX('DEFAULT DATA'!$DZ$9:$MG$41,START!$B$3,($L35+1))*-44/12)+($I35*INDEX('DEFAULT DATA'!$DZ$9:$MG$41,START!$B$3,($L35+2))*-44/12)+($I35*INDEX('DEFAULT DATA'!$DZ$9:$MG$41,START!$B$3,($L35+3))*-44/12)+($J35*INDEX('DEFAULT DATA'!$DZ$9:$MG$41,START!$B$3,($L35+4))*-44/12)+($K35*INDEX('DEFAULT DATA'!$DZ$9:$MG$41,START!$B$3,($L35+5))*-44/12)</f>
        <v>-606.13841810998508</v>
      </c>
      <c r="R35" s="221">
        <f>($I35*INDEX('DEFAULT DATA'!$DZ$9:$MG$41,START!$B$3,($L35))*-44/12)+($I35*INDEX('DEFAULT DATA'!$DZ$9:$MG$41,START!$B$3,($L35+1))*-44/12)+($I35*INDEX('DEFAULT DATA'!$DZ$9:$MG$41,START!$B$3,($L35+2))*-44/12)+($I35*INDEX('DEFAULT DATA'!$DZ$9:$MG$41,START!$B$3,($L35+3))*-44/12)+($J35*INDEX('DEFAULT DATA'!$DZ$9:$MG$41,START!$B$3,($L35+4))*-44/12)+($K35*INDEX('DEFAULT DATA'!$DZ$9:$MG$41,START!$B$3,($L35+5))*-44/12)</f>
        <v>-606.13841810998508</v>
      </c>
      <c r="S35" s="221">
        <f>($I35*INDEX('DEFAULT DATA'!$DZ$9:$MG$41,START!$B$3,($L35))*-44/12)+($I35*INDEX('DEFAULT DATA'!$DZ$9:$MG$41,START!$B$3,($L35+1))*-44/12)+($I35*INDEX('DEFAULT DATA'!$DZ$9:$MG$41,START!$B$3,($L35+2))*-44/12)+($I35*INDEX('DEFAULT DATA'!$DZ$9:$MG$41,START!$B$3,($L35+3))*-44/12)+($J35*INDEX('DEFAULT DATA'!$DZ$9:$MG$41,START!$B$3,($L35+4))*-44/12)+($K35*INDEX('DEFAULT DATA'!$DZ$9:$MG$41,START!$B$3,($L35+5))*-44/12)</f>
        <v>-606.13841810998508</v>
      </c>
      <c r="T35" s="221">
        <f>($I35*INDEX('DEFAULT DATA'!$DZ$9:$MG$41,START!$B$3,($L35))*-44/12)+($I35*INDEX('DEFAULT DATA'!$DZ$9:$MG$41,START!$B$3,($L35+1))*-44/12)+($I35*INDEX('DEFAULT DATA'!$DZ$9:$MG$41,START!$B$3,($L35+2))*-44/12)+($I35*INDEX('DEFAULT DATA'!$DZ$9:$MG$41,START!$B$3,($L35+3))*-44/12)+($J35*INDEX('DEFAULT DATA'!$DZ$9:$MG$41,START!$B$3,($L35+4))*-44/12)+($K35*INDEX('DEFAULT DATA'!$DZ$9:$MG$41,START!$B$3,($L35+5))*-44/12)</f>
        <v>-606.13841810998508</v>
      </c>
      <c r="U35" s="221">
        <f>($I35*INDEX('DEFAULT DATA'!$DZ$9:$MG$41,START!$B$3,($L35))*-44/12)+($I35*INDEX('DEFAULT DATA'!$DZ$9:$MG$41,START!$B$3,($L35+1))*-44/12)+($I35*INDEX('DEFAULT DATA'!$DZ$9:$MG$41,START!$B$3,($L35+2))*-44/12)+($I35*INDEX('DEFAULT DATA'!$DZ$9:$MG$41,START!$B$3,($L35+3))*-44/12)+($J35*INDEX('DEFAULT DATA'!$DZ$9:$MG$41,START!$B$3,($L35+4))*-44/12)+($K35*INDEX('DEFAULT DATA'!$DZ$9:$MG$41,START!$B$3,($L35+5))*-44/12)</f>
        <v>-606.13841810998508</v>
      </c>
      <c r="V35" s="221">
        <f>($I35*INDEX('DEFAULT DATA'!$DZ$9:$MG$41,START!$B$3,($L35))*-44/12)+($I35*INDEX('DEFAULT DATA'!$DZ$9:$MG$41,START!$B$3,($L35+1))*-44/12)+($I35*INDEX('DEFAULT DATA'!$DZ$9:$MG$41,START!$B$3,($L35+2))*-44/12)+($I35*INDEX('DEFAULT DATA'!$DZ$9:$MG$41,START!$B$3,($L35+3))*-44/12)+($J35*INDEX('DEFAULT DATA'!$DZ$9:$MG$41,START!$B$3,($L35+4))*-44/12)+($K35*INDEX('DEFAULT DATA'!$DZ$9:$MG$41,START!$B$3,($L35+5))*-44/12)</f>
        <v>-606.13841810998508</v>
      </c>
      <c r="W35" s="221">
        <f>($I35*INDEX('DEFAULT DATA'!$DZ$9:$MG$41,START!$B$3,($L35))*-44/12)+($I35*INDEX('DEFAULT DATA'!$DZ$9:$MG$41,START!$B$3,($L35+1))*-44/12)+($I35*INDEX('DEFAULT DATA'!$DZ$9:$MG$41,START!$B$3,($L35+2))*-44/12)+($I35*INDEX('DEFAULT DATA'!$DZ$9:$MG$41,START!$B$3,($L35+3))*-44/12)+($J35*INDEX('DEFAULT DATA'!$DZ$9:$MG$41,START!$B$3,($L35+4))*-44/12)+($K35*INDEX('DEFAULT DATA'!$DZ$9:$MG$41,START!$B$3,($L35+5))*-44/12)</f>
        <v>-606.13841810998508</v>
      </c>
      <c r="X35" s="221">
        <f>($I35*INDEX('DEFAULT DATA'!$DZ$9:$MG$41,START!$B$3,($L35))*-44/12)+($I35*INDEX('DEFAULT DATA'!$DZ$9:$MG$41,START!$B$3,($L35+1))*-44/12)+($I35*INDEX('DEFAULT DATA'!$DZ$9:$MG$41,START!$B$3,($L35+2))*-44/12)+($I35*INDEX('DEFAULT DATA'!$DZ$9:$MG$41,START!$B$3,($L35+3))*-44/12)+($J35*INDEX('DEFAULT DATA'!$DZ$9:$MG$41,START!$B$3,($L35+4))*-44/12)+($K35*INDEX('DEFAULT DATA'!$DZ$9:$MG$41,START!$B$3,($L35+5))*-44/12)</f>
        <v>-606.13841810998508</v>
      </c>
      <c r="Y35" s="221">
        <f>($I35*INDEX('DEFAULT DATA'!$DZ$9:$MG$41,START!$B$3,($L35))*-44/12)+($I35*INDEX('DEFAULT DATA'!$DZ$9:$MG$41,START!$B$3,($L35+1))*-44/12)+($I35*INDEX('DEFAULT DATA'!$DZ$9:$MG$41,START!$B$3,($L35+2))*-44/12)+($I35*INDEX('DEFAULT DATA'!$DZ$9:$MG$41,START!$B$3,($L35+3))*-44/12)+($J35*INDEX('DEFAULT DATA'!$DZ$9:$MG$41,START!$B$3,($L35+4))*-44/12)+($K35*INDEX('DEFAULT DATA'!$DZ$9:$MG$41,START!$B$3,($L35+5))*-44/12)</f>
        <v>-606.13841810998508</v>
      </c>
      <c r="Z35" s="221">
        <f>($I35*INDEX('DEFAULT DATA'!$DZ$9:$MG$41,START!$B$3,($L35))*-44/12)+($I35*INDEX('DEFAULT DATA'!$DZ$9:$MG$41,START!$B$3,($L35+1))*-44/12)+($I35*INDEX('DEFAULT DATA'!$DZ$9:$MG$41,START!$B$3,($L35+2))*-44/12)+($I35*INDEX('DEFAULT DATA'!$DZ$9:$MG$41,START!$B$3,($L35+3))*-44/12)+($J35*INDEX('DEFAULT DATA'!$DZ$9:$MG$41,START!$B$3,($L35+4))*-44/12)+($K35*INDEX('DEFAULT DATA'!$DZ$9:$MG$41,START!$B$3,($L35+5))*-44/12)</f>
        <v>-606.13841810998508</v>
      </c>
      <c r="AA35" s="221">
        <f>($I35*INDEX('DEFAULT DATA'!$DZ$9:$MG$41,START!$B$3,($L35))*-44/12)+($I35*INDEX('DEFAULT DATA'!$DZ$9:$MG$41,START!$B$3,($L35+1))*-44/12)+($I35*INDEX('DEFAULT DATA'!$DZ$9:$MG$41,START!$B$3,($L35+2))*-44/12)+($I35*INDEX('DEFAULT DATA'!$DZ$9:$MG$41,START!$B$3,($L35+3))*-44/12)+($J35*INDEX('DEFAULT DATA'!$DZ$9:$MG$41,START!$B$3,($L35+4))*-44/12)+($K35*INDEX('DEFAULT DATA'!$DZ$9:$MG$41,START!$B$3,($L35+5))*-44/12)</f>
        <v>-606.13841810998508</v>
      </c>
      <c r="AB35" s="221">
        <f>($I35*INDEX('DEFAULT DATA'!$DZ$9:$MG$41,START!$B$3,($L35))*-44/12)+($I35*INDEX('DEFAULT DATA'!$DZ$9:$MG$41,START!$B$3,($L35+1))*-44/12)+($I35*INDEX('DEFAULT DATA'!$DZ$9:$MG$41,START!$B$3,($L35+2))*-44/12)+($I35*INDEX('DEFAULT DATA'!$DZ$9:$MG$41,START!$B$3,($L35+3))*-44/12)+($J35*INDEX('DEFAULT DATA'!$DZ$9:$MG$41,START!$B$3,($L35+4))*-44/12)+($K35*INDEX('DEFAULT DATA'!$DZ$9:$MG$41,START!$B$3,($L35+5))*-44/12)</f>
        <v>-606.13841810998508</v>
      </c>
      <c r="AC35" s="221">
        <f>($I35*INDEX('DEFAULT DATA'!$DZ$9:$MG$41,START!$B$3,($L35))*-44/12)+($I35*INDEX('DEFAULT DATA'!$DZ$9:$MG$41,START!$B$3,($L35+1))*-44/12)+($I35*INDEX('DEFAULT DATA'!$DZ$9:$MG$41,START!$B$3,($L35+2))*-44/12)+($I35*INDEX('DEFAULT DATA'!$DZ$9:$MG$41,START!$B$3,($L35+3))*-44/12)+($J35*INDEX('DEFAULT DATA'!$DZ$9:$MG$41,START!$B$3,($L35+4))*-44/12)+($K35*INDEX('DEFAULT DATA'!$DZ$9:$MG$41,START!$B$3,($L35+5))*-44/12)</f>
        <v>-606.13841810998508</v>
      </c>
      <c r="AD35" s="221">
        <f>($I35*INDEX('DEFAULT DATA'!$DZ$9:$MG$41,START!$B$3,($L35))*-44/12)+($I35*INDEX('DEFAULT DATA'!$DZ$9:$MG$41,START!$B$3,($L35+1))*-44/12)+($I35*INDEX('DEFAULT DATA'!$DZ$9:$MG$41,START!$B$3,($L35+2))*-44/12)+($I35*INDEX('DEFAULT DATA'!$DZ$9:$MG$41,START!$B$3,($L35+3))*-44/12)+($J35*INDEX('DEFAULT DATA'!$DZ$9:$MG$41,START!$B$3,($L35+4))*-44/12)+($K35*INDEX('DEFAULT DATA'!$DZ$9:$MG$41,START!$B$3,($L35+5))*-44/12)</f>
        <v>-606.13841810998508</v>
      </c>
      <c r="AE35" s="221">
        <f>($I35*INDEX('DEFAULT DATA'!$DZ$9:$MG$41,START!$B$3,($L35))*-44/12)+($I35*INDEX('DEFAULT DATA'!$DZ$9:$MG$41,START!$B$3,($L35+1))*-44/12)+($I35*INDEX('DEFAULT DATA'!$DZ$9:$MG$41,START!$B$3,($L35+2))*-44/12)+($I35*INDEX('DEFAULT DATA'!$DZ$9:$MG$41,START!$B$3,($L35+3))*-44/12)+($J35*INDEX('DEFAULT DATA'!$DZ$9:$MG$41,START!$B$3,($L35+4))*-44/12)+($K35*INDEX('DEFAULT DATA'!$DZ$9:$MG$41,START!$B$3,($L35+5))*-44/12)</f>
        <v>-606.13841810998508</v>
      </c>
      <c r="AF35" s="221">
        <f>($I35*INDEX('DEFAULT DATA'!$DZ$9:$MG$41,START!$B$3,($L35))*-44/12)+($I35*INDEX('DEFAULT DATA'!$DZ$9:$MG$41,START!$B$3,($L35+1))*-44/12)+($I35*INDEX('DEFAULT DATA'!$DZ$9:$MG$41,START!$B$3,($L35+2))*-44/12)+($I35*INDEX('DEFAULT DATA'!$DZ$9:$MG$41,START!$B$3,($L35+3))*-44/12)+($J35*INDEX('DEFAULT DATA'!$DZ$9:$MG$41,START!$B$3,($L35+4))*-44/12)+($K35*INDEX('DEFAULT DATA'!$DZ$9:$MG$41,START!$B$3,($L35+5))*-44/12)</f>
        <v>-606.13841810998508</v>
      </c>
      <c r="AG35" s="221">
        <f>($I35*INDEX('DEFAULT DATA'!$DZ$9:$MG$41,START!$B$3,($L35))*-44/12)+($I35*INDEX('DEFAULT DATA'!$DZ$9:$MG$41,START!$B$3,($L35+1))*-44/12)+($I35*INDEX('DEFAULT DATA'!$DZ$9:$MG$41,START!$B$3,($L35+2))*-44/12)+($I35*INDEX('DEFAULT DATA'!$DZ$9:$MG$41,START!$B$3,($L35+3))*-44/12)+($J35*INDEX('DEFAULT DATA'!$DZ$9:$MG$41,START!$B$3,($L35+4))*-44/12)+($K35*INDEX('DEFAULT DATA'!$DZ$9:$MG$41,START!$B$3,($L35+5))*-44/12)</f>
        <v>-606.13841810998508</v>
      </c>
      <c r="AH35" s="221">
        <f>($I35*INDEX('DEFAULT DATA'!$DZ$9:$MG$41,START!$B$3,($L35))*-44/12)+($I35*INDEX('DEFAULT DATA'!$DZ$9:$MG$41,START!$B$3,($L35+1))*-44/12)+($I35*INDEX('DEFAULT DATA'!$DZ$9:$MG$41,START!$B$3,($L35+2))*-44/12)+($I35*INDEX('DEFAULT DATA'!$DZ$9:$MG$41,START!$B$3,($L35+3))*-44/12)+($J35*INDEX('DEFAULT DATA'!$DZ$9:$MG$41,START!$B$3,($L35+4))*-44/12)+($K35*INDEX('DEFAULT DATA'!$DZ$9:$MG$41,START!$B$3,($L35+5))*-44/12)</f>
        <v>-606.13841810998508</v>
      </c>
      <c r="AI35" s="307">
        <f>(($I35*INDEX('DEFAULT DATA'!$KX$9:$LC$41,START!$B$3,1)*-44/12)+($I35*INDEX('DEFAULT DATA'!$KX$9:$LC$41,START!$B$3,2)*-44/12)+($I35*INDEX('DEFAULT DATA'!$KX$9:$LC$41,START!$B$3,3)*-44/12)+($I35*INDEX('DEFAULT DATA'!$KX$9:$LC$41,START!$B$3,4)*-44/12)+($J35*INDEX('DEFAULT DATA'!$KX$9:$LC$41,START!$B$3,5)*-44/12)+($K35*INDEX('DEFAULT DATA'!$KX$9:$LC$41,START!$B$3,6)*-44/12))</f>
        <v>-178.08465641879221</v>
      </c>
      <c r="AJ35" s="307">
        <f>(($I35*INDEX('DEFAULT DATA'!$KX$9:$LC$41,START!$B$3,1)*-44/12)+($I35*INDEX('DEFAULT DATA'!$KX$9:$LC$41,START!$B$3,2)*-44/12)+($I35*INDEX('DEFAULT DATA'!$KX$9:$LC$41,START!$B$3,3)*-44/12)+($I35*INDEX('DEFAULT DATA'!$KX$9:$LC$41,START!$B$3,4)*-44/12)+($J35*INDEX('DEFAULT DATA'!$KX$9:$LC$41,START!$B$3,5)*-44/12)+($K35*INDEX('DEFAULT DATA'!$KX$9:$LC$41,START!$B$3,6)*-44/12))</f>
        <v>-178.08465641879221</v>
      </c>
      <c r="AK35" s="307">
        <f>(($I35*INDEX('DEFAULT DATA'!$KX$9:$LC$41,START!$B$3,1)*-44/12)+($I35*INDEX('DEFAULT DATA'!$KX$9:$LC$41,START!$B$3,2)*-44/12)+($I35*INDEX('DEFAULT DATA'!$KX$9:$LC$41,START!$B$3,3)*-44/12)+($I35*INDEX('DEFAULT DATA'!$KX$9:$LC$41,START!$B$3,4)*-44/12)+($J35*INDEX('DEFAULT DATA'!$KX$9:$LC$41,START!$B$3,5)*-44/12)+($K35*INDEX('DEFAULT DATA'!$KX$9:$LC$41,START!$B$3,6)*-44/12))</f>
        <v>-178.08465641879221</v>
      </c>
      <c r="AL35" s="307">
        <f>(($I35*INDEX('DEFAULT DATA'!$KX$9:$LC$41,START!$B$3,1)*-44/12)+($I35*INDEX('DEFAULT DATA'!$KX$9:$LC$41,START!$B$3,2)*-44/12)+($I35*INDEX('DEFAULT DATA'!$KX$9:$LC$41,START!$B$3,3)*-44/12)+($I35*INDEX('DEFAULT DATA'!$KX$9:$LC$41,START!$B$3,4)*-44/12)+($J35*INDEX('DEFAULT DATA'!$KX$9:$LC$41,START!$B$3,5)*-44/12)+($K35*INDEX('DEFAULT DATA'!$KX$9:$LC$41,START!$B$3,6)*-44/12))</f>
        <v>-178.08465641879221</v>
      </c>
      <c r="AM35" s="307">
        <f>(($I35*INDEX('DEFAULT DATA'!$KX$9:$LC$41,START!$B$3,1)*-44/12)+($I35*INDEX('DEFAULT DATA'!$KX$9:$LC$41,START!$B$3,2)*-44/12)+($I35*INDEX('DEFAULT DATA'!$KX$9:$LC$41,START!$B$3,3)*-44/12)+($I35*INDEX('DEFAULT DATA'!$KX$9:$LC$41,START!$B$3,4)*-44/12)+($J35*INDEX('DEFAULT DATA'!$KX$9:$LC$41,START!$B$3,5)*-44/12)+($K35*INDEX('DEFAULT DATA'!$KX$9:$LC$41,START!$B$3,6)*-44/12))</f>
        <v>-178.08465641879221</v>
      </c>
      <c r="AN35" s="307">
        <f>(($I35*INDEX('DEFAULT DATA'!$KX$9:$LC$41,START!$B$3,1)*-44/12)+($I35*INDEX('DEFAULT DATA'!$KX$9:$LC$41,START!$B$3,2)*-44/12)+($I35*INDEX('DEFAULT DATA'!$KX$9:$LC$41,START!$B$3,3)*-44/12)+($I35*INDEX('DEFAULT DATA'!$KX$9:$LC$41,START!$B$3,4)*-44/12)+($J35*INDEX('DEFAULT DATA'!$KX$9:$LC$41,START!$B$3,5)*-44/12)+($K35*INDEX('DEFAULT DATA'!$KX$9:$LC$41,START!$B$3,6)*-44/12))</f>
        <v>-178.08465641879221</v>
      </c>
      <c r="AO35" s="307">
        <f>(($I35*INDEX('DEFAULT DATA'!$KX$9:$LC$41,START!$B$3,1)*-44/12)+($I35*INDEX('DEFAULT DATA'!$KX$9:$LC$41,START!$B$3,2)*-44/12)+($I35*INDEX('DEFAULT DATA'!$KX$9:$LC$41,START!$B$3,3)*-44/12)+($I35*INDEX('DEFAULT DATA'!$KX$9:$LC$41,START!$B$3,4)*-44/12)+($J35*INDEX('DEFAULT DATA'!$KX$9:$LC$41,START!$B$3,5)*-44/12)+($K35*INDEX('DEFAULT DATA'!$KX$9:$LC$41,START!$B$3,6)*-44/12))</f>
        <v>-178.08465641879221</v>
      </c>
      <c r="AP35" s="307">
        <f>(($I35*INDEX('DEFAULT DATA'!$KX$9:$LC$41,START!$B$3,1)*-44/12)+($I35*INDEX('DEFAULT DATA'!$KX$9:$LC$41,START!$B$3,2)*-44/12)+($I35*INDEX('DEFAULT DATA'!$KX$9:$LC$41,START!$B$3,3)*-44/12)+($I35*INDEX('DEFAULT DATA'!$KX$9:$LC$41,START!$B$3,4)*-44/12)+($J35*INDEX('DEFAULT DATA'!$KX$9:$LC$41,START!$B$3,5)*-44/12)+($K35*INDEX('DEFAULT DATA'!$KX$9:$LC$41,START!$B$3,6)*-44/12))</f>
        <v>-178.08465641879221</v>
      </c>
      <c r="AQ35" s="307">
        <f>(($I35*INDEX('DEFAULT DATA'!$KX$9:$LC$41,START!$B$3,1)*-44/12)+($I35*INDEX('DEFAULT DATA'!$KX$9:$LC$41,START!$B$3,2)*-44/12)+($I35*INDEX('DEFAULT DATA'!$KX$9:$LC$41,START!$B$3,3)*-44/12)+($I35*INDEX('DEFAULT DATA'!$KX$9:$LC$41,START!$B$3,4)*-44/12)+($J35*INDEX('DEFAULT DATA'!$KX$9:$LC$41,START!$B$3,5)*-44/12)+($K35*INDEX('DEFAULT DATA'!$KX$9:$LC$41,START!$B$3,6)*-44/12))</f>
        <v>-178.08465641879221</v>
      </c>
      <c r="AR35" s="557">
        <f>(($I35*INDEX('DEFAULT DATA'!$KX$9:$LC$41,START!$B$3,1)*-44/12)+($I35*INDEX('DEFAULT DATA'!$KX$9:$LC$41,START!$B$3,2)*-44/12)+($I35*INDEX('DEFAULT DATA'!$KX$9:$LC$41,START!$B$3,3)*-44/12)+($I35*INDEX('DEFAULT DATA'!$KX$9:$LC$41,START!$B$3,4)*-44/12)+($J35*INDEX('DEFAULT DATA'!$KX$9:$LC$41,START!$B$3,5)*-44/12)+($K35*INDEX('DEFAULT DATA'!$KX$9:$LC$41,START!$B$3,6)*-44/12))</f>
        <v>-178.08465641879221</v>
      </c>
    </row>
    <row r="36" spans="1:44" ht="20.100000000000001" customHeight="1">
      <c r="A36" s="92"/>
      <c r="B36" s="79"/>
      <c r="C36" s="79"/>
      <c r="D36" s="79"/>
      <c r="E36" s="79"/>
      <c r="F36" s="79"/>
      <c r="G36" s="79"/>
      <c r="H36" s="93"/>
      <c r="I36" s="514">
        <f t="shared" si="36"/>
        <v>50</v>
      </c>
      <c r="J36" s="511">
        <f t="shared" si="37"/>
        <v>1</v>
      </c>
      <c r="K36" s="511">
        <f t="shared" si="38"/>
        <v>1</v>
      </c>
      <c r="L36" s="384">
        <f t="shared" ref="L36:L63" si="40">L35+6</f>
        <v>13</v>
      </c>
      <c r="M36" s="535" t="s">
        <v>933</v>
      </c>
      <c r="N36" s="539">
        <f t="shared" si="39"/>
        <v>2022</v>
      </c>
      <c r="O36" s="221">
        <f>($I36*INDEX('DEFAULT DATA'!$DZ$9:$MG$41,START!$B$3,($L36))*-44/12)+($I36*INDEX('DEFAULT DATA'!$DZ$9:$MG$41,START!$B$3,($L36+1))*-44/12)+($I36*INDEX('DEFAULT DATA'!$DZ$9:$MG$41,START!$B$3,($L36+2))*-44/12)+($I36*INDEX('DEFAULT DATA'!$DZ$9:$MG$41,START!$B$3,($L36+3))*-44/12)+($J36*INDEX('DEFAULT DATA'!$DZ$9:$MG$41,START!$B$3,($L36+4))*-44/12)+($K36*INDEX('DEFAULT DATA'!$DZ$9:$MG$41,START!$B$3,($L36+5))*-44/12)</f>
        <v>-605.7827522835421</v>
      </c>
      <c r="P36" s="221">
        <f>($I36*INDEX('DEFAULT DATA'!$DZ$9:$MG$41,START!$B$3,($L36))*-44/12)+($I36*INDEX('DEFAULT DATA'!$DZ$9:$MG$41,START!$B$3,($L36+1))*-44/12)+($I36*INDEX('DEFAULT DATA'!$DZ$9:$MG$41,START!$B$3,($L36+2))*-44/12)+($I36*INDEX('DEFAULT DATA'!$DZ$9:$MG$41,START!$B$3,($L36+3))*-44/12)+($J36*INDEX('DEFAULT DATA'!$DZ$9:$MG$41,START!$B$3,($L36+4))*-44/12)+($K36*INDEX('DEFAULT DATA'!$DZ$9:$MG$41,START!$B$3,($L36+5))*-44/12)</f>
        <v>-605.7827522835421</v>
      </c>
      <c r="Q36" s="221">
        <f>($I36*INDEX('DEFAULT DATA'!$DZ$9:$MG$41,START!$B$3,($L36))*-44/12)+($I36*INDEX('DEFAULT DATA'!$DZ$9:$MG$41,START!$B$3,($L36+1))*-44/12)+($I36*INDEX('DEFAULT DATA'!$DZ$9:$MG$41,START!$B$3,($L36+2))*-44/12)+($I36*INDEX('DEFAULT DATA'!$DZ$9:$MG$41,START!$B$3,($L36+3))*-44/12)+($J36*INDEX('DEFAULT DATA'!$DZ$9:$MG$41,START!$B$3,($L36+4))*-44/12)+($K36*INDEX('DEFAULT DATA'!$DZ$9:$MG$41,START!$B$3,($L36+5))*-44/12)</f>
        <v>-605.7827522835421</v>
      </c>
      <c r="R36" s="221">
        <f>($I36*INDEX('DEFAULT DATA'!$DZ$9:$MG$41,START!$B$3,($L36))*-44/12)+($I36*INDEX('DEFAULT DATA'!$DZ$9:$MG$41,START!$B$3,($L36+1))*-44/12)+($I36*INDEX('DEFAULT DATA'!$DZ$9:$MG$41,START!$B$3,($L36+2))*-44/12)+($I36*INDEX('DEFAULT DATA'!$DZ$9:$MG$41,START!$B$3,($L36+3))*-44/12)+($J36*INDEX('DEFAULT DATA'!$DZ$9:$MG$41,START!$B$3,($L36+4))*-44/12)+($K36*INDEX('DEFAULT DATA'!$DZ$9:$MG$41,START!$B$3,($L36+5))*-44/12)</f>
        <v>-605.7827522835421</v>
      </c>
      <c r="S36" s="221">
        <f>($I36*INDEX('DEFAULT DATA'!$DZ$9:$MG$41,START!$B$3,($L36))*-44/12)+($I36*INDEX('DEFAULT DATA'!$DZ$9:$MG$41,START!$B$3,($L36+1))*-44/12)+($I36*INDEX('DEFAULT DATA'!$DZ$9:$MG$41,START!$B$3,($L36+2))*-44/12)+($I36*INDEX('DEFAULT DATA'!$DZ$9:$MG$41,START!$B$3,($L36+3))*-44/12)+($J36*INDEX('DEFAULT DATA'!$DZ$9:$MG$41,START!$B$3,($L36+4))*-44/12)+($K36*INDEX('DEFAULT DATA'!$DZ$9:$MG$41,START!$B$3,($L36+5))*-44/12)</f>
        <v>-605.7827522835421</v>
      </c>
      <c r="T36" s="221">
        <f>($I36*INDEX('DEFAULT DATA'!$DZ$9:$MG$41,START!$B$3,($L36))*-44/12)+($I36*INDEX('DEFAULT DATA'!$DZ$9:$MG$41,START!$B$3,($L36+1))*-44/12)+($I36*INDEX('DEFAULT DATA'!$DZ$9:$MG$41,START!$B$3,($L36+2))*-44/12)+($I36*INDEX('DEFAULT DATA'!$DZ$9:$MG$41,START!$B$3,($L36+3))*-44/12)+($J36*INDEX('DEFAULT DATA'!$DZ$9:$MG$41,START!$B$3,($L36+4))*-44/12)+($K36*INDEX('DEFAULT DATA'!$DZ$9:$MG$41,START!$B$3,($L36+5))*-44/12)</f>
        <v>-605.7827522835421</v>
      </c>
      <c r="U36" s="221">
        <f>($I36*INDEX('DEFAULT DATA'!$DZ$9:$MG$41,START!$B$3,($L36))*-44/12)+($I36*INDEX('DEFAULT DATA'!$DZ$9:$MG$41,START!$B$3,($L36+1))*-44/12)+($I36*INDEX('DEFAULT DATA'!$DZ$9:$MG$41,START!$B$3,($L36+2))*-44/12)+($I36*INDEX('DEFAULT DATA'!$DZ$9:$MG$41,START!$B$3,($L36+3))*-44/12)+($J36*INDEX('DEFAULT DATA'!$DZ$9:$MG$41,START!$B$3,($L36+4))*-44/12)+($K36*INDEX('DEFAULT DATA'!$DZ$9:$MG$41,START!$B$3,($L36+5))*-44/12)</f>
        <v>-605.7827522835421</v>
      </c>
      <c r="V36" s="221">
        <f>($I36*INDEX('DEFAULT DATA'!$DZ$9:$MG$41,START!$B$3,($L36))*-44/12)+($I36*INDEX('DEFAULT DATA'!$DZ$9:$MG$41,START!$B$3,($L36+1))*-44/12)+($I36*INDEX('DEFAULT DATA'!$DZ$9:$MG$41,START!$B$3,($L36+2))*-44/12)+($I36*INDEX('DEFAULT DATA'!$DZ$9:$MG$41,START!$B$3,($L36+3))*-44/12)+($J36*INDEX('DEFAULT DATA'!$DZ$9:$MG$41,START!$B$3,($L36+4))*-44/12)+($K36*INDEX('DEFAULT DATA'!$DZ$9:$MG$41,START!$B$3,($L36+5))*-44/12)</f>
        <v>-605.7827522835421</v>
      </c>
      <c r="W36" s="221">
        <f>($I36*INDEX('DEFAULT DATA'!$DZ$9:$MG$41,START!$B$3,($L36))*-44/12)+($I36*INDEX('DEFAULT DATA'!$DZ$9:$MG$41,START!$B$3,($L36+1))*-44/12)+($I36*INDEX('DEFAULT DATA'!$DZ$9:$MG$41,START!$B$3,($L36+2))*-44/12)+($I36*INDEX('DEFAULT DATA'!$DZ$9:$MG$41,START!$B$3,($L36+3))*-44/12)+($J36*INDEX('DEFAULT DATA'!$DZ$9:$MG$41,START!$B$3,($L36+4))*-44/12)+($K36*INDEX('DEFAULT DATA'!$DZ$9:$MG$41,START!$B$3,($L36+5))*-44/12)</f>
        <v>-605.7827522835421</v>
      </c>
      <c r="X36" s="221">
        <f>($I36*INDEX('DEFAULT DATA'!$DZ$9:$MG$41,START!$B$3,($L36))*-44/12)+($I36*INDEX('DEFAULT DATA'!$DZ$9:$MG$41,START!$B$3,($L36+1))*-44/12)+($I36*INDEX('DEFAULT DATA'!$DZ$9:$MG$41,START!$B$3,($L36+2))*-44/12)+($I36*INDEX('DEFAULT DATA'!$DZ$9:$MG$41,START!$B$3,($L36+3))*-44/12)+($J36*INDEX('DEFAULT DATA'!$DZ$9:$MG$41,START!$B$3,($L36+4))*-44/12)+($K36*INDEX('DEFAULT DATA'!$DZ$9:$MG$41,START!$B$3,($L36+5))*-44/12)</f>
        <v>-605.7827522835421</v>
      </c>
      <c r="Y36" s="221">
        <f>($I36*INDEX('DEFAULT DATA'!$DZ$9:$MG$41,START!$B$3,($L36))*-44/12)+($I36*INDEX('DEFAULT DATA'!$DZ$9:$MG$41,START!$B$3,($L36+1))*-44/12)+($I36*INDEX('DEFAULT DATA'!$DZ$9:$MG$41,START!$B$3,($L36+2))*-44/12)+($I36*INDEX('DEFAULT DATA'!$DZ$9:$MG$41,START!$B$3,($L36+3))*-44/12)+($J36*INDEX('DEFAULT DATA'!$DZ$9:$MG$41,START!$B$3,($L36+4))*-44/12)+($K36*INDEX('DEFAULT DATA'!$DZ$9:$MG$41,START!$B$3,($L36+5))*-44/12)</f>
        <v>-605.7827522835421</v>
      </c>
      <c r="Z36" s="221">
        <f>($I36*INDEX('DEFAULT DATA'!$DZ$9:$MG$41,START!$B$3,($L36))*-44/12)+($I36*INDEX('DEFAULT DATA'!$DZ$9:$MG$41,START!$B$3,($L36+1))*-44/12)+($I36*INDEX('DEFAULT DATA'!$DZ$9:$MG$41,START!$B$3,($L36+2))*-44/12)+($I36*INDEX('DEFAULT DATA'!$DZ$9:$MG$41,START!$B$3,($L36+3))*-44/12)+($J36*INDEX('DEFAULT DATA'!$DZ$9:$MG$41,START!$B$3,($L36+4))*-44/12)+($K36*INDEX('DEFAULT DATA'!$DZ$9:$MG$41,START!$B$3,($L36+5))*-44/12)</f>
        <v>-605.7827522835421</v>
      </c>
      <c r="AA36" s="221">
        <f>($I36*INDEX('DEFAULT DATA'!$DZ$9:$MG$41,START!$B$3,($L36))*-44/12)+($I36*INDEX('DEFAULT DATA'!$DZ$9:$MG$41,START!$B$3,($L36+1))*-44/12)+($I36*INDEX('DEFAULT DATA'!$DZ$9:$MG$41,START!$B$3,($L36+2))*-44/12)+($I36*INDEX('DEFAULT DATA'!$DZ$9:$MG$41,START!$B$3,($L36+3))*-44/12)+($J36*INDEX('DEFAULT DATA'!$DZ$9:$MG$41,START!$B$3,($L36+4))*-44/12)+($K36*INDEX('DEFAULT DATA'!$DZ$9:$MG$41,START!$B$3,($L36+5))*-44/12)</f>
        <v>-605.7827522835421</v>
      </c>
      <c r="AB36" s="221">
        <f>($I36*INDEX('DEFAULT DATA'!$DZ$9:$MG$41,START!$B$3,($L36))*-44/12)+($I36*INDEX('DEFAULT DATA'!$DZ$9:$MG$41,START!$B$3,($L36+1))*-44/12)+($I36*INDEX('DEFAULT DATA'!$DZ$9:$MG$41,START!$B$3,($L36+2))*-44/12)+($I36*INDEX('DEFAULT DATA'!$DZ$9:$MG$41,START!$B$3,($L36+3))*-44/12)+($J36*INDEX('DEFAULT DATA'!$DZ$9:$MG$41,START!$B$3,($L36+4))*-44/12)+($K36*INDEX('DEFAULT DATA'!$DZ$9:$MG$41,START!$B$3,($L36+5))*-44/12)</f>
        <v>-605.7827522835421</v>
      </c>
      <c r="AC36" s="221">
        <f>($I36*INDEX('DEFAULT DATA'!$DZ$9:$MG$41,START!$B$3,($L36))*-44/12)+($I36*INDEX('DEFAULT DATA'!$DZ$9:$MG$41,START!$B$3,($L36+1))*-44/12)+($I36*INDEX('DEFAULT DATA'!$DZ$9:$MG$41,START!$B$3,($L36+2))*-44/12)+($I36*INDEX('DEFAULT DATA'!$DZ$9:$MG$41,START!$B$3,($L36+3))*-44/12)+($J36*INDEX('DEFAULT DATA'!$DZ$9:$MG$41,START!$B$3,($L36+4))*-44/12)+($K36*INDEX('DEFAULT DATA'!$DZ$9:$MG$41,START!$B$3,($L36+5))*-44/12)</f>
        <v>-605.7827522835421</v>
      </c>
      <c r="AD36" s="221">
        <f>($I36*INDEX('DEFAULT DATA'!$DZ$9:$MG$41,START!$B$3,($L36))*-44/12)+($I36*INDEX('DEFAULT DATA'!$DZ$9:$MG$41,START!$B$3,($L36+1))*-44/12)+($I36*INDEX('DEFAULT DATA'!$DZ$9:$MG$41,START!$B$3,($L36+2))*-44/12)+($I36*INDEX('DEFAULT DATA'!$DZ$9:$MG$41,START!$B$3,($L36+3))*-44/12)+($J36*INDEX('DEFAULT DATA'!$DZ$9:$MG$41,START!$B$3,($L36+4))*-44/12)+($K36*INDEX('DEFAULT DATA'!$DZ$9:$MG$41,START!$B$3,($L36+5))*-44/12)</f>
        <v>-605.7827522835421</v>
      </c>
      <c r="AE36" s="221">
        <f>($I36*INDEX('DEFAULT DATA'!$DZ$9:$MG$41,START!$B$3,($L36))*-44/12)+($I36*INDEX('DEFAULT DATA'!$DZ$9:$MG$41,START!$B$3,($L36+1))*-44/12)+($I36*INDEX('DEFAULT DATA'!$DZ$9:$MG$41,START!$B$3,($L36+2))*-44/12)+($I36*INDEX('DEFAULT DATA'!$DZ$9:$MG$41,START!$B$3,($L36+3))*-44/12)+($J36*INDEX('DEFAULT DATA'!$DZ$9:$MG$41,START!$B$3,($L36+4))*-44/12)+($K36*INDEX('DEFAULT DATA'!$DZ$9:$MG$41,START!$B$3,($L36+5))*-44/12)</f>
        <v>-605.7827522835421</v>
      </c>
      <c r="AF36" s="221">
        <f>($I36*INDEX('DEFAULT DATA'!$DZ$9:$MG$41,START!$B$3,($L36))*-44/12)+($I36*INDEX('DEFAULT DATA'!$DZ$9:$MG$41,START!$B$3,($L36+1))*-44/12)+($I36*INDEX('DEFAULT DATA'!$DZ$9:$MG$41,START!$B$3,($L36+2))*-44/12)+($I36*INDEX('DEFAULT DATA'!$DZ$9:$MG$41,START!$B$3,($L36+3))*-44/12)+($J36*INDEX('DEFAULT DATA'!$DZ$9:$MG$41,START!$B$3,($L36+4))*-44/12)+($K36*INDEX('DEFAULT DATA'!$DZ$9:$MG$41,START!$B$3,($L36+5))*-44/12)</f>
        <v>-605.7827522835421</v>
      </c>
      <c r="AG36" s="221">
        <f>($I36*INDEX('DEFAULT DATA'!$DZ$9:$MG$41,START!$B$3,($L36))*-44/12)+($I36*INDEX('DEFAULT DATA'!$DZ$9:$MG$41,START!$B$3,($L36+1))*-44/12)+($I36*INDEX('DEFAULT DATA'!$DZ$9:$MG$41,START!$B$3,($L36+2))*-44/12)+($I36*INDEX('DEFAULT DATA'!$DZ$9:$MG$41,START!$B$3,($L36+3))*-44/12)+($J36*INDEX('DEFAULT DATA'!$DZ$9:$MG$41,START!$B$3,($L36+4))*-44/12)+($K36*INDEX('DEFAULT DATA'!$DZ$9:$MG$41,START!$B$3,($L36+5))*-44/12)</f>
        <v>-605.7827522835421</v>
      </c>
      <c r="AH36" s="221">
        <f>($I36*INDEX('DEFAULT DATA'!$DZ$9:$MG$41,START!$B$3,($L36))*-44/12)+($I36*INDEX('DEFAULT DATA'!$DZ$9:$MG$41,START!$B$3,($L36+1))*-44/12)+($I36*INDEX('DEFAULT DATA'!$DZ$9:$MG$41,START!$B$3,($L36+2))*-44/12)+($I36*INDEX('DEFAULT DATA'!$DZ$9:$MG$41,START!$B$3,($L36+3))*-44/12)+($J36*INDEX('DEFAULT DATA'!$DZ$9:$MG$41,START!$B$3,($L36+4))*-44/12)+($K36*INDEX('DEFAULT DATA'!$DZ$9:$MG$41,START!$B$3,($L36+5))*-44/12)</f>
        <v>-605.7827522835421</v>
      </c>
      <c r="AI36" s="307">
        <f>(($I36*INDEX('DEFAULT DATA'!$KX$9:$LC$41,START!$B$3,1)*-44/12)+($I36*INDEX('DEFAULT DATA'!$KX$9:$LC$41,START!$B$3,2)*-44/12)+($I36*INDEX('DEFAULT DATA'!$KX$9:$LC$41,START!$B$3,3)*-44/12)+($I36*INDEX('DEFAULT DATA'!$KX$9:$LC$41,START!$B$3,4)*-44/12)+($J36*INDEX('DEFAULT DATA'!$KX$9:$LC$41,START!$B$3,5)*-44/12)+($K36*INDEX('DEFAULT DATA'!$KX$9:$LC$41,START!$B$3,6)*-44/12))</f>
        <v>-178.08465641879221</v>
      </c>
      <c r="AJ36" s="307">
        <f>(($I36*INDEX('DEFAULT DATA'!$KX$9:$LC$41,START!$B$3,1)*-44/12)+($I36*INDEX('DEFAULT DATA'!$KX$9:$LC$41,START!$B$3,2)*-44/12)+($I36*INDEX('DEFAULT DATA'!$KX$9:$LC$41,START!$B$3,3)*-44/12)+($I36*INDEX('DEFAULT DATA'!$KX$9:$LC$41,START!$B$3,4)*-44/12)+($J36*INDEX('DEFAULT DATA'!$KX$9:$LC$41,START!$B$3,5)*-44/12)+($K36*INDEX('DEFAULT DATA'!$KX$9:$LC$41,START!$B$3,6)*-44/12))</f>
        <v>-178.08465641879221</v>
      </c>
      <c r="AK36" s="307">
        <f>(($I36*INDEX('DEFAULT DATA'!$KX$9:$LC$41,START!$B$3,1)*-44/12)+($I36*INDEX('DEFAULT DATA'!$KX$9:$LC$41,START!$B$3,2)*-44/12)+($I36*INDEX('DEFAULT DATA'!$KX$9:$LC$41,START!$B$3,3)*-44/12)+($I36*INDEX('DEFAULT DATA'!$KX$9:$LC$41,START!$B$3,4)*-44/12)+($J36*INDEX('DEFAULT DATA'!$KX$9:$LC$41,START!$B$3,5)*-44/12)+($K36*INDEX('DEFAULT DATA'!$KX$9:$LC$41,START!$B$3,6)*-44/12))</f>
        <v>-178.08465641879221</v>
      </c>
      <c r="AL36" s="307">
        <f>(($I36*INDEX('DEFAULT DATA'!$KX$9:$LC$41,START!$B$3,1)*-44/12)+($I36*INDEX('DEFAULT DATA'!$KX$9:$LC$41,START!$B$3,2)*-44/12)+($I36*INDEX('DEFAULT DATA'!$KX$9:$LC$41,START!$B$3,3)*-44/12)+($I36*INDEX('DEFAULT DATA'!$KX$9:$LC$41,START!$B$3,4)*-44/12)+($J36*INDEX('DEFAULT DATA'!$KX$9:$LC$41,START!$B$3,5)*-44/12)+($K36*INDEX('DEFAULT DATA'!$KX$9:$LC$41,START!$B$3,6)*-44/12))</f>
        <v>-178.08465641879221</v>
      </c>
      <c r="AM36" s="307">
        <f>(($I36*INDEX('DEFAULT DATA'!$KX$9:$LC$41,START!$B$3,1)*-44/12)+($I36*INDEX('DEFAULT DATA'!$KX$9:$LC$41,START!$B$3,2)*-44/12)+($I36*INDEX('DEFAULT DATA'!$KX$9:$LC$41,START!$B$3,3)*-44/12)+($I36*INDEX('DEFAULT DATA'!$KX$9:$LC$41,START!$B$3,4)*-44/12)+($J36*INDEX('DEFAULT DATA'!$KX$9:$LC$41,START!$B$3,5)*-44/12)+($K36*INDEX('DEFAULT DATA'!$KX$9:$LC$41,START!$B$3,6)*-44/12))</f>
        <v>-178.08465641879221</v>
      </c>
      <c r="AN36" s="307">
        <f>(($I36*INDEX('DEFAULT DATA'!$KX$9:$LC$41,START!$B$3,1)*-44/12)+($I36*INDEX('DEFAULT DATA'!$KX$9:$LC$41,START!$B$3,2)*-44/12)+($I36*INDEX('DEFAULT DATA'!$KX$9:$LC$41,START!$B$3,3)*-44/12)+($I36*INDEX('DEFAULT DATA'!$KX$9:$LC$41,START!$B$3,4)*-44/12)+($J36*INDEX('DEFAULT DATA'!$KX$9:$LC$41,START!$B$3,5)*-44/12)+($K36*INDEX('DEFAULT DATA'!$KX$9:$LC$41,START!$B$3,6)*-44/12))</f>
        <v>-178.08465641879221</v>
      </c>
      <c r="AO36" s="307">
        <f>(($I36*INDEX('DEFAULT DATA'!$KX$9:$LC$41,START!$B$3,1)*-44/12)+($I36*INDEX('DEFAULT DATA'!$KX$9:$LC$41,START!$B$3,2)*-44/12)+($I36*INDEX('DEFAULT DATA'!$KX$9:$LC$41,START!$B$3,3)*-44/12)+($I36*INDEX('DEFAULT DATA'!$KX$9:$LC$41,START!$B$3,4)*-44/12)+($J36*INDEX('DEFAULT DATA'!$KX$9:$LC$41,START!$B$3,5)*-44/12)+($K36*INDEX('DEFAULT DATA'!$KX$9:$LC$41,START!$B$3,6)*-44/12))</f>
        <v>-178.08465641879221</v>
      </c>
      <c r="AP36" s="307">
        <f>(($I36*INDEX('DEFAULT DATA'!$KX$9:$LC$41,START!$B$3,1)*-44/12)+($I36*INDEX('DEFAULT DATA'!$KX$9:$LC$41,START!$B$3,2)*-44/12)+($I36*INDEX('DEFAULT DATA'!$KX$9:$LC$41,START!$B$3,3)*-44/12)+($I36*INDEX('DEFAULT DATA'!$KX$9:$LC$41,START!$B$3,4)*-44/12)+($J36*INDEX('DEFAULT DATA'!$KX$9:$LC$41,START!$B$3,5)*-44/12)+($K36*INDEX('DEFAULT DATA'!$KX$9:$LC$41,START!$B$3,6)*-44/12))</f>
        <v>-178.08465641879221</v>
      </c>
      <c r="AQ36" s="307">
        <f>(($I36*INDEX('DEFAULT DATA'!$KX$9:$LC$41,START!$B$3,1)*-44/12)+($I36*INDEX('DEFAULT DATA'!$KX$9:$LC$41,START!$B$3,2)*-44/12)+($I36*INDEX('DEFAULT DATA'!$KX$9:$LC$41,START!$B$3,3)*-44/12)+($I36*INDEX('DEFAULT DATA'!$KX$9:$LC$41,START!$B$3,4)*-44/12)+($J36*INDEX('DEFAULT DATA'!$KX$9:$LC$41,START!$B$3,5)*-44/12)+($K36*INDEX('DEFAULT DATA'!$KX$9:$LC$41,START!$B$3,6)*-44/12))</f>
        <v>-178.08465641879221</v>
      </c>
      <c r="AR36" s="557">
        <f>(($I36*INDEX('DEFAULT DATA'!$KX$9:$LC$41,START!$B$3,1)*-44/12)+($I36*INDEX('DEFAULT DATA'!$KX$9:$LC$41,START!$B$3,2)*-44/12)+($I36*INDEX('DEFAULT DATA'!$KX$9:$LC$41,START!$B$3,3)*-44/12)+($I36*INDEX('DEFAULT DATA'!$KX$9:$LC$41,START!$B$3,4)*-44/12)+($J36*INDEX('DEFAULT DATA'!$KX$9:$LC$41,START!$B$3,5)*-44/12)+($K36*INDEX('DEFAULT DATA'!$KX$9:$LC$41,START!$B$3,6)*-44/12))</f>
        <v>-178.08465641879221</v>
      </c>
    </row>
    <row r="37" spans="1:44" ht="20.100000000000001" customHeight="1">
      <c r="A37" s="92"/>
      <c r="B37" s="79"/>
      <c r="C37" s="79"/>
      <c r="D37" s="79"/>
      <c r="E37" s="79"/>
      <c r="F37" s="79"/>
      <c r="G37" s="79"/>
      <c r="H37" s="93"/>
      <c r="I37" s="514">
        <f t="shared" si="36"/>
        <v>2</v>
      </c>
      <c r="J37" s="511">
        <f t="shared" si="37"/>
        <v>1</v>
      </c>
      <c r="K37" s="511">
        <f t="shared" si="38"/>
        <v>1</v>
      </c>
      <c r="L37" s="384">
        <f t="shared" si="40"/>
        <v>19</v>
      </c>
      <c r="M37" s="535" t="s">
        <v>934</v>
      </c>
      <c r="N37" s="539">
        <f t="shared" si="39"/>
        <v>2022</v>
      </c>
      <c r="O37" s="221">
        <f>($I37*INDEX('DEFAULT DATA'!$DZ$9:$MG$41,START!$B$3,($L37))*-44/12)+($I37*INDEX('DEFAULT DATA'!$DZ$9:$MG$41,START!$B$3,($L37+1))*-44/12)+($I37*INDEX('DEFAULT DATA'!$DZ$9:$MG$41,START!$B$3,($L37+2))*-44/12)+($I37*INDEX('DEFAULT DATA'!$DZ$9:$MG$41,START!$B$3,($L37+3))*-44/12)+($J37*INDEX('DEFAULT DATA'!$DZ$9:$MG$41,START!$B$3,($L37+4))*-44/12)+($K37*INDEX('DEFAULT DATA'!$DZ$9:$MG$41,START!$B$3,($L37+5))*-44/12)</f>
        <v>0</v>
      </c>
      <c r="P37" s="221">
        <f>($I37*INDEX('DEFAULT DATA'!$DZ$9:$MG$41,START!$B$3,($L37))*-44/12)+($I37*INDEX('DEFAULT DATA'!$DZ$9:$MG$41,START!$B$3,($L37+1))*-44/12)+($I37*INDEX('DEFAULT DATA'!$DZ$9:$MG$41,START!$B$3,($L37+2))*-44/12)+($I37*INDEX('DEFAULT DATA'!$DZ$9:$MG$41,START!$B$3,($L37+3))*-44/12)+($J37*INDEX('DEFAULT DATA'!$DZ$9:$MG$41,START!$B$3,($L37+4))*-44/12)+($K37*INDEX('DEFAULT DATA'!$DZ$9:$MG$41,START!$B$3,($L37+5))*-44/12)</f>
        <v>0</v>
      </c>
      <c r="Q37" s="221">
        <f>($I37*INDEX('DEFAULT DATA'!$DZ$9:$MG$41,START!$B$3,($L37))*-44/12)+($I37*INDEX('DEFAULT DATA'!$DZ$9:$MG$41,START!$B$3,($L37+1))*-44/12)+($I37*INDEX('DEFAULT DATA'!$DZ$9:$MG$41,START!$B$3,($L37+2))*-44/12)+($I37*INDEX('DEFAULT DATA'!$DZ$9:$MG$41,START!$B$3,($L37+3))*-44/12)+($J37*INDEX('DEFAULT DATA'!$DZ$9:$MG$41,START!$B$3,($L37+4))*-44/12)+($K37*INDEX('DEFAULT DATA'!$DZ$9:$MG$41,START!$B$3,($L37+5))*-44/12)</f>
        <v>0</v>
      </c>
      <c r="R37" s="221">
        <f>($I37*INDEX('DEFAULT DATA'!$DZ$9:$MG$41,START!$B$3,($L37))*-44/12)+($I37*INDEX('DEFAULT DATA'!$DZ$9:$MG$41,START!$B$3,($L37+1))*-44/12)+($I37*INDEX('DEFAULT DATA'!$DZ$9:$MG$41,START!$B$3,($L37+2))*-44/12)+($I37*INDEX('DEFAULT DATA'!$DZ$9:$MG$41,START!$B$3,($L37+3))*-44/12)+($J37*INDEX('DEFAULT DATA'!$DZ$9:$MG$41,START!$B$3,($L37+4))*-44/12)+($K37*INDEX('DEFAULT DATA'!$DZ$9:$MG$41,START!$B$3,($L37+5))*-44/12)</f>
        <v>0</v>
      </c>
      <c r="S37" s="221">
        <f>($I37*INDEX('DEFAULT DATA'!$DZ$9:$MG$41,START!$B$3,($L37))*-44/12)+($I37*INDEX('DEFAULT DATA'!$DZ$9:$MG$41,START!$B$3,($L37+1))*-44/12)+($I37*INDEX('DEFAULT DATA'!$DZ$9:$MG$41,START!$B$3,($L37+2))*-44/12)+($I37*INDEX('DEFAULT DATA'!$DZ$9:$MG$41,START!$B$3,($L37+3))*-44/12)+($J37*INDEX('DEFAULT DATA'!$DZ$9:$MG$41,START!$B$3,($L37+4))*-44/12)+($K37*INDEX('DEFAULT DATA'!$DZ$9:$MG$41,START!$B$3,($L37+5))*-44/12)</f>
        <v>0</v>
      </c>
      <c r="T37" s="221">
        <f>($I37*INDEX('DEFAULT DATA'!$DZ$9:$MG$41,START!$B$3,($L37))*-44/12)+($I37*INDEX('DEFAULT DATA'!$DZ$9:$MG$41,START!$B$3,($L37+1))*-44/12)+($I37*INDEX('DEFAULT DATA'!$DZ$9:$MG$41,START!$B$3,($L37+2))*-44/12)+($I37*INDEX('DEFAULT DATA'!$DZ$9:$MG$41,START!$B$3,($L37+3))*-44/12)+($J37*INDEX('DEFAULT DATA'!$DZ$9:$MG$41,START!$B$3,($L37+4))*-44/12)+($K37*INDEX('DEFAULT DATA'!$DZ$9:$MG$41,START!$B$3,($L37+5))*-44/12)</f>
        <v>0</v>
      </c>
      <c r="U37" s="221">
        <f>($I37*INDEX('DEFAULT DATA'!$DZ$9:$MG$41,START!$B$3,($L37))*-44/12)+($I37*INDEX('DEFAULT DATA'!$DZ$9:$MG$41,START!$B$3,($L37+1))*-44/12)+($I37*INDEX('DEFAULT DATA'!$DZ$9:$MG$41,START!$B$3,($L37+2))*-44/12)+($I37*INDEX('DEFAULT DATA'!$DZ$9:$MG$41,START!$B$3,($L37+3))*-44/12)+($J37*INDEX('DEFAULT DATA'!$DZ$9:$MG$41,START!$B$3,($L37+4))*-44/12)+($K37*INDEX('DEFAULT DATA'!$DZ$9:$MG$41,START!$B$3,($L37+5))*-44/12)</f>
        <v>0</v>
      </c>
      <c r="V37" s="221">
        <f>($I37*INDEX('DEFAULT DATA'!$DZ$9:$MG$41,START!$B$3,($L37))*-44/12)+($I37*INDEX('DEFAULT DATA'!$DZ$9:$MG$41,START!$B$3,($L37+1))*-44/12)+($I37*INDEX('DEFAULT DATA'!$DZ$9:$MG$41,START!$B$3,($L37+2))*-44/12)+($I37*INDEX('DEFAULT DATA'!$DZ$9:$MG$41,START!$B$3,($L37+3))*-44/12)+($J37*INDEX('DEFAULT DATA'!$DZ$9:$MG$41,START!$B$3,($L37+4))*-44/12)+($K37*INDEX('DEFAULT DATA'!$DZ$9:$MG$41,START!$B$3,($L37+5))*-44/12)</f>
        <v>0</v>
      </c>
      <c r="W37" s="221">
        <f>($I37*INDEX('DEFAULT DATA'!$DZ$9:$MG$41,START!$B$3,($L37))*-44/12)+($I37*INDEX('DEFAULT DATA'!$DZ$9:$MG$41,START!$B$3,($L37+1))*-44/12)+($I37*INDEX('DEFAULT DATA'!$DZ$9:$MG$41,START!$B$3,($L37+2))*-44/12)+($I37*INDEX('DEFAULT DATA'!$DZ$9:$MG$41,START!$B$3,($L37+3))*-44/12)+($J37*INDEX('DEFAULT DATA'!$DZ$9:$MG$41,START!$B$3,($L37+4))*-44/12)+($K37*INDEX('DEFAULT DATA'!$DZ$9:$MG$41,START!$B$3,($L37+5))*-44/12)</f>
        <v>0</v>
      </c>
      <c r="X37" s="221">
        <f>($I37*INDEX('DEFAULT DATA'!$DZ$9:$MG$41,START!$B$3,($L37))*-44/12)+($I37*INDEX('DEFAULT DATA'!$DZ$9:$MG$41,START!$B$3,($L37+1))*-44/12)+($I37*INDEX('DEFAULT DATA'!$DZ$9:$MG$41,START!$B$3,($L37+2))*-44/12)+($I37*INDEX('DEFAULT DATA'!$DZ$9:$MG$41,START!$B$3,($L37+3))*-44/12)+($J37*INDEX('DEFAULT DATA'!$DZ$9:$MG$41,START!$B$3,($L37+4))*-44/12)+($K37*INDEX('DEFAULT DATA'!$DZ$9:$MG$41,START!$B$3,($L37+5))*-44/12)</f>
        <v>0</v>
      </c>
      <c r="Y37" s="221">
        <f>($I37*INDEX('DEFAULT DATA'!$DZ$9:$MG$41,START!$B$3,($L37))*-44/12)+($I37*INDEX('DEFAULT DATA'!$DZ$9:$MG$41,START!$B$3,($L37+1))*-44/12)+($I37*INDEX('DEFAULT DATA'!$DZ$9:$MG$41,START!$B$3,($L37+2))*-44/12)+($I37*INDEX('DEFAULT DATA'!$DZ$9:$MG$41,START!$B$3,($L37+3))*-44/12)+($J37*INDEX('DEFAULT DATA'!$DZ$9:$MG$41,START!$B$3,($L37+4))*-44/12)+($K37*INDEX('DEFAULT DATA'!$DZ$9:$MG$41,START!$B$3,($L37+5))*-44/12)</f>
        <v>0</v>
      </c>
      <c r="Z37" s="221">
        <f>($I37*INDEX('DEFAULT DATA'!$DZ$9:$MG$41,START!$B$3,($L37))*-44/12)+($I37*INDEX('DEFAULT DATA'!$DZ$9:$MG$41,START!$B$3,($L37+1))*-44/12)+($I37*INDEX('DEFAULT DATA'!$DZ$9:$MG$41,START!$B$3,($L37+2))*-44/12)+($I37*INDEX('DEFAULT DATA'!$DZ$9:$MG$41,START!$B$3,($L37+3))*-44/12)+($J37*INDEX('DEFAULT DATA'!$DZ$9:$MG$41,START!$B$3,($L37+4))*-44/12)+($K37*INDEX('DEFAULT DATA'!$DZ$9:$MG$41,START!$B$3,($L37+5))*-44/12)</f>
        <v>0</v>
      </c>
      <c r="AA37" s="221">
        <f>($I37*INDEX('DEFAULT DATA'!$DZ$9:$MG$41,START!$B$3,($L37))*-44/12)+($I37*INDEX('DEFAULT DATA'!$DZ$9:$MG$41,START!$B$3,($L37+1))*-44/12)+($I37*INDEX('DEFAULT DATA'!$DZ$9:$MG$41,START!$B$3,($L37+2))*-44/12)+($I37*INDEX('DEFAULT DATA'!$DZ$9:$MG$41,START!$B$3,($L37+3))*-44/12)+($J37*INDEX('DEFAULT DATA'!$DZ$9:$MG$41,START!$B$3,($L37+4))*-44/12)+($K37*INDEX('DEFAULT DATA'!$DZ$9:$MG$41,START!$B$3,($L37+5))*-44/12)</f>
        <v>0</v>
      </c>
      <c r="AB37" s="221">
        <f>($I37*INDEX('DEFAULT DATA'!$DZ$9:$MG$41,START!$B$3,($L37))*-44/12)+($I37*INDEX('DEFAULT DATA'!$DZ$9:$MG$41,START!$B$3,($L37+1))*-44/12)+($I37*INDEX('DEFAULT DATA'!$DZ$9:$MG$41,START!$B$3,($L37+2))*-44/12)+($I37*INDEX('DEFAULT DATA'!$DZ$9:$MG$41,START!$B$3,($L37+3))*-44/12)+($J37*INDEX('DEFAULT DATA'!$DZ$9:$MG$41,START!$B$3,($L37+4))*-44/12)+($K37*INDEX('DEFAULT DATA'!$DZ$9:$MG$41,START!$B$3,($L37+5))*-44/12)</f>
        <v>0</v>
      </c>
      <c r="AC37" s="221">
        <f>($I37*INDEX('DEFAULT DATA'!$DZ$9:$MG$41,START!$B$3,($L37))*-44/12)+($I37*INDEX('DEFAULT DATA'!$DZ$9:$MG$41,START!$B$3,($L37+1))*-44/12)+($I37*INDEX('DEFAULT DATA'!$DZ$9:$MG$41,START!$B$3,($L37+2))*-44/12)+($I37*INDEX('DEFAULT DATA'!$DZ$9:$MG$41,START!$B$3,($L37+3))*-44/12)+($J37*INDEX('DEFAULT DATA'!$DZ$9:$MG$41,START!$B$3,($L37+4))*-44/12)+($K37*INDEX('DEFAULT DATA'!$DZ$9:$MG$41,START!$B$3,($L37+5))*-44/12)</f>
        <v>0</v>
      </c>
      <c r="AD37" s="221">
        <f>($I37*INDEX('DEFAULT DATA'!$DZ$9:$MG$41,START!$B$3,($L37))*-44/12)+($I37*INDEX('DEFAULT DATA'!$DZ$9:$MG$41,START!$B$3,($L37+1))*-44/12)+($I37*INDEX('DEFAULT DATA'!$DZ$9:$MG$41,START!$B$3,($L37+2))*-44/12)+($I37*INDEX('DEFAULT DATA'!$DZ$9:$MG$41,START!$B$3,($L37+3))*-44/12)+($J37*INDEX('DEFAULT DATA'!$DZ$9:$MG$41,START!$B$3,($L37+4))*-44/12)+($K37*INDEX('DEFAULT DATA'!$DZ$9:$MG$41,START!$B$3,($L37+5))*-44/12)</f>
        <v>0</v>
      </c>
      <c r="AE37" s="221">
        <f>($I37*INDEX('DEFAULT DATA'!$DZ$9:$MG$41,START!$B$3,($L37))*-44/12)+($I37*INDEX('DEFAULT DATA'!$DZ$9:$MG$41,START!$B$3,($L37+1))*-44/12)+($I37*INDEX('DEFAULT DATA'!$DZ$9:$MG$41,START!$B$3,($L37+2))*-44/12)+($I37*INDEX('DEFAULT DATA'!$DZ$9:$MG$41,START!$B$3,($L37+3))*-44/12)+($J37*INDEX('DEFAULT DATA'!$DZ$9:$MG$41,START!$B$3,($L37+4))*-44/12)+($K37*INDEX('DEFAULT DATA'!$DZ$9:$MG$41,START!$B$3,($L37+5))*-44/12)</f>
        <v>0</v>
      </c>
      <c r="AF37" s="221">
        <f>($I37*INDEX('DEFAULT DATA'!$DZ$9:$MG$41,START!$B$3,($L37))*-44/12)+($I37*INDEX('DEFAULT DATA'!$DZ$9:$MG$41,START!$B$3,($L37+1))*-44/12)+($I37*INDEX('DEFAULT DATA'!$DZ$9:$MG$41,START!$B$3,($L37+2))*-44/12)+($I37*INDEX('DEFAULT DATA'!$DZ$9:$MG$41,START!$B$3,($L37+3))*-44/12)+($J37*INDEX('DEFAULT DATA'!$DZ$9:$MG$41,START!$B$3,($L37+4))*-44/12)+($K37*INDEX('DEFAULT DATA'!$DZ$9:$MG$41,START!$B$3,($L37+5))*-44/12)</f>
        <v>0</v>
      </c>
      <c r="AG37" s="221">
        <f>($I37*INDEX('DEFAULT DATA'!$DZ$9:$MG$41,START!$B$3,($L37))*-44/12)+($I37*INDEX('DEFAULT DATA'!$DZ$9:$MG$41,START!$B$3,($L37+1))*-44/12)+($I37*INDEX('DEFAULT DATA'!$DZ$9:$MG$41,START!$B$3,($L37+2))*-44/12)+($I37*INDEX('DEFAULT DATA'!$DZ$9:$MG$41,START!$B$3,($L37+3))*-44/12)+($J37*INDEX('DEFAULT DATA'!$DZ$9:$MG$41,START!$B$3,($L37+4))*-44/12)+($K37*INDEX('DEFAULT DATA'!$DZ$9:$MG$41,START!$B$3,($L37+5))*-44/12)</f>
        <v>0</v>
      </c>
      <c r="AH37" s="221">
        <f>($I37*INDEX('DEFAULT DATA'!$DZ$9:$MG$41,START!$B$3,($L37))*-44/12)+($I37*INDEX('DEFAULT DATA'!$DZ$9:$MG$41,START!$B$3,($L37+1))*-44/12)+($I37*INDEX('DEFAULT DATA'!$DZ$9:$MG$41,START!$B$3,($L37+2))*-44/12)+($I37*INDEX('DEFAULT DATA'!$DZ$9:$MG$41,START!$B$3,($L37+3))*-44/12)+($J37*INDEX('DEFAULT DATA'!$DZ$9:$MG$41,START!$B$3,($L37+4))*-44/12)+($K37*INDEX('DEFAULT DATA'!$DZ$9:$MG$41,START!$B$3,($L37+5))*-44/12)</f>
        <v>0</v>
      </c>
      <c r="AI37" s="307">
        <f>(($I37*INDEX('DEFAULT DATA'!$KX$9:$LC$41,START!$B$3,1)*-44/12)+($I37*INDEX('DEFAULT DATA'!$KX$9:$LC$41,START!$B$3,2)*-44/12)+($I37*INDEX('DEFAULT DATA'!$KX$9:$LC$41,START!$B$3,3)*-44/12)+($I37*INDEX('DEFAULT DATA'!$KX$9:$LC$41,START!$B$3,4)*-44/12)+($J37*INDEX('DEFAULT DATA'!$KX$9:$LC$41,START!$B$3,5)*-44/12)+($K37*INDEX('DEFAULT DATA'!$KX$9:$LC$41,START!$B$3,6)*-44/12))</f>
        <v>-5.3534150114908847</v>
      </c>
      <c r="AJ37" s="307">
        <f>(($I37*INDEX('DEFAULT DATA'!$KX$9:$LC$41,START!$B$3,1)*-44/12)+($I37*INDEX('DEFAULT DATA'!$KX$9:$LC$41,START!$B$3,2)*-44/12)+($I37*INDEX('DEFAULT DATA'!$KX$9:$LC$41,START!$B$3,3)*-44/12)+($I37*INDEX('DEFAULT DATA'!$KX$9:$LC$41,START!$B$3,4)*-44/12)+($J37*INDEX('DEFAULT DATA'!$KX$9:$LC$41,START!$B$3,5)*-44/12)+($K37*INDEX('DEFAULT DATA'!$KX$9:$LC$41,START!$B$3,6)*-44/12))</f>
        <v>-5.3534150114908847</v>
      </c>
      <c r="AK37" s="307">
        <f>(($I37*INDEX('DEFAULT DATA'!$KX$9:$LC$41,START!$B$3,1)*-44/12)+($I37*INDEX('DEFAULT DATA'!$KX$9:$LC$41,START!$B$3,2)*-44/12)+($I37*INDEX('DEFAULT DATA'!$KX$9:$LC$41,START!$B$3,3)*-44/12)+($I37*INDEX('DEFAULT DATA'!$KX$9:$LC$41,START!$B$3,4)*-44/12)+($J37*INDEX('DEFAULT DATA'!$KX$9:$LC$41,START!$B$3,5)*-44/12)+($K37*INDEX('DEFAULT DATA'!$KX$9:$LC$41,START!$B$3,6)*-44/12))</f>
        <v>-5.3534150114908847</v>
      </c>
      <c r="AL37" s="307">
        <f>(($I37*INDEX('DEFAULT DATA'!$KX$9:$LC$41,START!$B$3,1)*-44/12)+($I37*INDEX('DEFAULT DATA'!$KX$9:$LC$41,START!$B$3,2)*-44/12)+($I37*INDEX('DEFAULT DATA'!$KX$9:$LC$41,START!$B$3,3)*-44/12)+($I37*INDEX('DEFAULT DATA'!$KX$9:$LC$41,START!$B$3,4)*-44/12)+($J37*INDEX('DEFAULT DATA'!$KX$9:$LC$41,START!$B$3,5)*-44/12)+($K37*INDEX('DEFAULT DATA'!$KX$9:$LC$41,START!$B$3,6)*-44/12))</f>
        <v>-5.3534150114908847</v>
      </c>
      <c r="AM37" s="307">
        <f>(($I37*INDEX('DEFAULT DATA'!$KX$9:$LC$41,START!$B$3,1)*-44/12)+($I37*INDEX('DEFAULT DATA'!$KX$9:$LC$41,START!$B$3,2)*-44/12)+($I37*INDEX('DEFAULT DATA'!$KX$9:$LC$41,START!$B$3,3)*-44/12)+($I37*INDEX('DEFAULT DATA'!$KX$9:$LC$41,START!$B$3,4)*-44/12)+($J37*INDEX('DEFAULT DATA'!$KX$9:$LC$41,START!$B$3,5)*-44/12)+($K37*INDEX('DEFAULT DATA'!$KX$9:$LC$41,START!$B$3,6)*-44/12))</f>
        <v>-5.3534150114908847</v>
      </c>
      <c r="AN37" s="307">
        <f>(($I37*INDEX('DEFAULT DATA'!$KX$9:$LC$41,START!$B$3,1)*-44/12)+($I37*INDEX('DEFAULT DATA'!$KX$9:$LC$41,START!$B$3,2)*-44/12)+($I37*INDEX('DEFAULT DATA'!$KX$9:$LC$41,START!$B$3,3)*-44/12)+($I37*INDEX('DEFAULT DATA'!$KX$9:$LC$41,START!$B$3,4)*-44/12)+($J37*INDEX('DEFAULT DATA'!$KX$9:$LC$41,START!$B$3,5)*-44/12)+($K37*INDEX('DEFAULT DATA'!$KX$9:$LC$41,START!$B$3,6)*-44/12))</f>
        <v>-5.3534150114908847</v>
      </c>
      <c r="AO37" s="307">
        <f>(($I37*INDEX('DEFAULT DATA'!$KX$9:$LC$41,START!$B$3,1)*-44/12)+($I37*INDEX('DEFAULT DATA'!$KX$9:$LC$41,START!$B$3,2)*-44/12)+($I37*INDEX('DEFAULT DATA'!$KX$9:$LC$41,START!$B$3,3)*-44/12)+($I37*INDEX('DEFAULT DATA'!$KX$9:$LC$41,START!$B$3,4)*-44/12)+($J37*INDEX('DEFAULT DATA'!$KX$9:$LC$41,START!$B$3,5)*-44/12)+($K37*INDEX('DEFAULT DATA'!$KX$9:$LC$41,START!$B$3,6)*-44/12))</f>
        <v>-5.3534150114908847</v>
      </c>
      <c r="AP37" s="307">
        <f>(($I37*INDEX('DEFAULT DATA'!$KX$9:$LC$41,START!$B$3,1)*-44/12)+($I37*INDEX('DEFAULT DATA'!$KX$9:$LC$41,START!$B$3,2)*-44/12)+($I37*INDEX('DEFAULT DATA'!$KX$9:$LC$41,START!$B$3,3)*-44/12)+($I37*INDEX('DEFAULT DATA'!$KX$9:$LC$41,START!$B$3,4)*-44/12)+($J37*INDEX('DEFAULT DATA'!$KX$9:$LC$41,START!$B$3,5)*-44/12)+($K37*INDEX('DEFAULT DATA'!$KX$9:$LC$41,START!$B$3,6)*-44/12))</f>
        <v>-5.3534150114908847</v>
      </c>
      <c r="AQ37" s="307">
        <f>(($I37*INDEX('DEFAULT DATA'!$KX$9:$LC$41,START!$B$3,1)*-44/12)+($I37*INDEX('DEFAULT DATA'!$KX$9:$LC$41,START!$B$3,2)*-44/12)+($I37*INDEX('DEFAULT DATA'!$KX$9:$LC$41,START!$B$3,3)*-44/12)+($I37*INDEX('DEFAULT DATA'!$KX$9:$LC$41,START!$B$3,4)*-44/12)+($J37*INDEX('DEFAULT DATA'!$KX$9:$LC$41,START!$B$3,5)*-44/12)+($K37*INDEX('DEFAULT DATA'!$KX$9:$LC$41,START!$B$3,6)*-44/12))</f>
        <v>-5.3534150114908847</v>
      </c>
      <c r="AR37" s="557">
        <f>(($I37*INDEX('DEFAULT DATA'!$KX$9:$LC$41,START!$B$3,1)*-44/12)+($I37*INDEX('DEFAULT DATA'!$KX$9:$LC$41,START!$B$3,2)*-44/12)+($I37*INDEX('DEFAULT DATA'!$KX$9:$LC$41,START!$B$3,3)*-44/12)+($I37*INDEX('DEFAULT DATA'!$KX$9:$LC$41,START!$B$3,4)*-44/12)+($J37*INDEX('DEFAULT DATA'!$KX$9:$LC$41,START!$B$3,5)*-44/12)+($K37*INDEX('DEFAULT DATA'!$KX$9:$LC$41,START!$B$3,6)*-44/12))</f>
        <v>-5.3534150114908847</v>
      </c>
    </row>
    <row r="38" spans="1:44" ht="20.100000000000001" customHeight="1" thickBot="1">
      <c r="A38" s="92"/>
      <c r="B38" s="79"/>
      <c r="C38" s="79"/>
      <c r="D38" s="79"/>
      <c r="E38" s="79"/>
      <c r="F38" s="79"/>
      <c r="G38" s="79"/>
      <c r="H38" s="93"/>
      <c r="I38" s="515">
        <f t="shared" si="36"/>
        <v>2</v>
      </c>
      <c r="J38" s="516">
        <f t="shared" si="37"/>
        <v>1</v>
      </c>
      <c r="K38" s="516">
        <f t="shared" si="38"/>
        <v>1</v>
      </c>
      <c r="L38" s="385">
        <f t="shared" si="40"/>
        <v>25</v>
      </c>
      <c r="M38" s="536" t="s">
        <v>935</v>
      </c>
      <c r="N38" s="540">
        <f t="shared" si="39"/>
        <v>2022</v>
      </c>
      <c r="O38" s="553">
        <f>($I38*INDEX('DEFAULT DATA'!$DZ$9:$MG$41,START!$B$3,($L38))*-44/12)+($I38*INDEX('DEFAULT DATA'!$DZ$9:$MG$41,START!$B$3,($L38+1))*-44/12)+($I38*INDEX('DEFAULT DATA'!$DZ$9:$MG$41,START!$B$3,($L38+2))*-44/12)+($I38*INDEX('DEFAULT DATA'!$DZ$9:$MG$41,START!$B$3,($L38+3))*-44/12)+($J38*INDEX('DEFAULT DATA'!$DZ$9:$MG$41,START!$B$3,($L38+4))*-44/12)+($K38*INDEX('DEFAULT DATA'!$DZ$9:$MG$41,START!$B$3,($L38+5))*-44/12)</f>
        <v>0</v>
      </c>
      <c r="P38" s="553">
        <f>($I38*INDEX('DEFAULT DATA'!$DZ$9:$MG$41,START!$B$3,($L38))*-44/12)+($I38*INDEX('DEFAULT DATA'!$DZ$9:$MG$41,START!$B$3,($L38+1))*-44/12)+($I38*INDEX('DEFAULT DATA'!$DZ$9:$MG$41,START!$B$3,($L38+2))*-44/12)+($I38*INDEX('DEFAULT DATA'!$DZ$9:$MG$41,START!$B$3,($L38+3))*-44/12)+($J38*INDEX('DEFAULT DATA'!$DZ$9:$MG$41,START!$B$3,($L38+4))*-44/12)+($K38*INDEX('DEFAULT DATA'!$DZ$9:$MG$41,START!$B$3,($L38+5))*-44/12)</f>
        <v>0</v>
      </c>
      <c r="Q38" s="553">
        <f>($I38*INDEX('DEFAULT DATA'!$DZ$9:$MG$41,START!$B$3,($L38))*-44/12)+($I38*INDEX('DEFAULT DATA'!$DZ$9:$MG$41,START!$B$3,($L38+1))*-44/12)+($I38*INDEX('DEFAULT DATA'!$DZ$9:$MG$41,START!$B$3,($L38+2))*-44/12)+($I38*INDEX('DEFAULT DATA'!$DZ$9:$MG$41,START!$B$3,($L38+3))*-44/12)+($J38*INDEX('DEFAULT DATA'!$DZ$9:$MG$41,START!$B$3,($L38+4))*-44/12)+($K38*INDEX('DEFAULT DATA'!$DZ$9:$MG$41,START!$B$3,($L38+5))*-44/12)</f>
        <v>0</v>
      </c>
      <c r="R38" s="553">
        <f>($I38*INDEX('DEFAULT DATA'!$DZ$9:$MG$41,START!$B$3,($L38))*-44/12)+($I38*INDEX('DEFAULT DATA'!$DZ$9:$MG$41,START!$B$3,($L38+1))*-44/12)+($I38*INDEX('DEFAULT DATA'!$DZ$9:$MG$41,START!$B$3,($L38+2))*-44/12)+($I38*INDEX('DEFAULT DATA'!$DZ$9:$MG$41,START!$B$3,($L38+3))*-44/12)+($J38*INDEX('DEFAULT DATA'!$DZ$9:$MG$41,START!$B$3,($L38+4))*-44/12)+($K38*INDEX('DEFAULT DATA'!$DZ$9:$MG$41,START!$B$3,($L38+5))*-44/12)</f>
        <v>0</v>
      </c>
      <c r="S38" s="553">
        <f>($I38*INDEX('DEFAULT DATA'!$DZ$9:$MG$41,START!$B$3,($L38))*-44/12)+($I38*INDEX('DEFAULT DATA'!$DZ$9:$MG$41,START!$B$3,($L38+1))*-44/12)+($I38*INDEX('DEFAULT DATA'!$DZ$9:$MG$41,START!$B$3,($L38+2))*-44/12)+($I38*INDEX('DEFAULT DATA'!$DZ$9:$MG$41,START!$B$3,($L38+3))*-44/12)+($J38*INDEX('DEFAULT DATA'!$DZ$9:$MG$41,START!$B$3,($L38+4))*-44/12)+($K38*INDEX('DEFAULT DATA'!$DZ$9:$MG$41,START!$B$3,($L38+5))*-44/12)</f>
        <v>0</v>
      </c>
      <c r="T38" s="553">
        <f>($I38*INDEX('DEFAULT DATA'!$DZ$9:$MG$41,START!$B$3,($L38))*-44/12)+($I38*INDEX('DEFAULT DATA'!$DZ$9:$MG$41,START!$B$3,($L38+1))*-44/12)+($I38*INDEX('DEFAULT DATA'!$DZ$9:$MG$41,START!$B$3,($L38+2))*-44/12)+($I38*INDEX('DEFAULT DATA'!$DZ$9:$MG$41,START!$B$3,($L38+3))*-44/12)+($J38*INDEX('DEFAULT DATA'!$DZ$9:$MG$41,START!$B$3,($L38+4))*-44/12)+($K38*INDEX('DEFAULT DATA'!$DZ$9:$MG$41,START!$B$3,($L38+5))*-44/12)</f>
        <v>0</v>
      </c>
      <c r="U38" s="553">
        <f>($I38*INDEX('DEFAULT DATA'!$DZ$9:$MG$41,START!$B$3,($L38))*-44/12)+($I38*INDEX('DEFAULT DATA'!$DZ$9:$MG$41,START!$B$3,($L38+1))*-44/12)+($I38*INDEX('DEFAULT DATA'!$DZ$9:$MG$41,START!$B$3,($L38+2))*-44/12)+($I38*INDEX('DEFAULT DATA'!$DZ$9:$MG$41,START!$B$3,($L38+3))*-44/12)+($J38*INDEX('DEFAULT DATA'!$DZ$9:$MG$41,START!$B$3,($L38+4))*-44/12)+($K38*INDEX('DEFAULT DATA'!$DZ$9:$MG$41,START!$B$3,($L38+5))*-44/12)</f>
        <v>0</v>
      </c>
      <c r="V38" s="553">
        <f>($I38*INDEX('DEFAULT DATA'!$DZ$9:$MG$41,START!$B$3,($L38))*-44/12)+($I38*INDEX('DEFAULT DATA'!$DZ$9:$MG$41,START!$B$3,($L38+1))*-44/12)+($I38*INDEX('DEFAULT DATA'!$DZ$9:$MG$41,START!$B$3,($L38+2))*-44/12)+($I38*INDEX('DEFAULT DATA'!$DZ$9:$MG$41,START!$B$3,($L38+3))*-44/12)+($J38*INDEX('DEFAULT DATA'!$DZ$9:$MG$41,START!$B$3,($L38+4))*-44/12)+($K38*INDEX('DEFAULT DATA'!$DZ$9:$MG$41,START!$B$3,($L38+5))*-44/12)</f>
        <v>0</v>
      </c>
      <c r="W38" s="553">
        <f>($I38*INDEX('DEFAULT DATA'!$DZ$9:$MG$41,START!$B$3,($L38))*-44/12)+($I38*INDEX('DEFAULT DATA'!$DZ$9:$MG$41,START!$B$3,($L38+1))*-44/12)+($I38*INDEX('DEFAULT DATA'!$DZ$9:$MG$41,START!$B$3,($L38+2))*-44/12)+($I38*INDEX('DEFAULT DATA'!$DZ$9:$MG$41,START!$B$3,($L38+3))*-44/12)+($J38*INDEX('DEFAULT DATA'!$DZ$9:$MG$41,START!$B$3,($L38+4))*-44/12)+($K38*INDEX('DEFAULT DATA'!$DZ$9:$MG$41,START!$B$3,($L38+5))*-44/12)</f>
        <v>0</v>
      </c>
      <c r="X38" s="553">
        <f>($I38*INDEX('DEFAULT DATA'!$DZ$9:$MG$41,START!$B$3,($L38))*-44/12)+($I38*INDEX('DEFAULT DATA'!$DZ$9:$MG$41,START!$B$3,($L38+1))*-44/12)+($I38*INDEX('DEFAULT DATA'!$DZ$9:$MG$41,START!$B$3,($L38+2))*-44/12)+($I38*INDEX('DEFAULT DATA'!$DZ$9:$MG$41,START!$B$3,($L38+3))*-44/12)+($J38*INDEX('DEFAULT DATA'!$DZ$9:$MG$41,START!$B$3,($L38+4))*-44/12)+($K38*INDEX('DEFAULT DATA'!$DZ$9:$MG$41,START!$B$3,($L38+5))*-44/12)</f>
        <v>0</v>
      </c>
      <c r="Y38" s="553">
        <f>($I38*INDEX('DEFAULT DATA'!$DZ$9:$MG$41,START!$B$3,($L38))*-44/12)+($I38*INDEX('DEFAULT DATA'!$DZ$9:$MG$41,START!$B$3,($L38+1))*-44/12)+($I38*INDEX('DEFAULT DATA'!$DZ$9:$MG$41,START!$B$3,($L38+2))*-44/12)+($I38*INDEX('DEFAULT DATA'!$DZ$9:$MG$41,START!$B$3,($L38+3))*-44/12)+($J38*INDEX('DEFAULT DATA'!$DZ$9:$MG$41,START!$B$3,($L38+4))*-44/12)+($K38*INDEX('DEFAULT DATA'!$DZ$9:$MG$41,START!$B$3,($L38+5))*-44/12)</f>
        <v>0</v>
      </c>
      <c r="Z38" s="553">
        <f>($I38*INDEX('DEFAULT DATA'!$DZ$9:$MG$41,START!$B$3,($L38))*-44/12)+($I38*INDEX('DEFAULT DATA'!$DZ$9:$MG$41,START!$B$3,($L38+1))*-44/12)+($I38*INDEX('DEFAULT DATA'!$DZ$9:$MG$41,START!$B$3,($L38+2))*-44/12)+($I38*INDEX('DEFAULT DATA'!$DZ$9:$MG$41,START!$B$3,($L38+3))*-44/12)+($J38*INDEX('DEFAULT DATA'!$DZ$9:$MG$41,START!$B$3,($L38+4))*-44/12)+($K38*INDEX('DEFAULT DATA'!$DZ$9:$MG$41,START!$B$3,($L38+5))*-44/12)</f>
        <v>0</v>
      </c>
      <c r="AA38" s="553">
        <f>($I38*INDEX('DEFAULT DATA'!$DZ$9:$MG$41,START!$B$3,($L38))*-44/12)+($I38*INDEX('DEFAULT DATA'!$DZ$9:$MG$41,START!$B$3,($L38+1))*-44/12)+($I38*INDEX('DEFAULT DATA'!$DZ$9:$MG$41,START!$B$3,($L38+2))*-44/12)+($I38*INDEX('DEFAULT DATA'!$DZ$9:$MG$41,START!$B$3,($L38+3))*-44/12)+($J38*INDEX('DEFAULT DATA'!$DZ$9:$MG$41,START!$B$3,($L38+4))*-44/12)+($K38*INDEX('DEFAULT DATA'!$DZ$9:$MG$41,START!$B$3,($L38+5))*-44/12)</f>
        <v>0</v>
      </c>
      <c r="AB38" s="553">
        <f>($I38*INDEX('DEFAULT DATA'!$DZ$9:$MG$41,START!$B$3,($L38))*-44/12)+($I38*INDEX('DEFAULT DATA'!$DZ$9:$MG$41,START!$B$3,($L38+1))*-44/12)+($I38*INDEX('DEFAULT DATA'!$DZ$9:$MG$41,START!$B$3,($L38+2))*-44/12)+($I38*INDEX('DEFAULT DATA'!$DZ$9:$MG$41,START!$B$3,($L38+3))*-44/12)+($J38*INDEX('DEFAULT DATA'!$DZ$9:$MG$41,START!$B$3,($L38+4))*-44/12)+($K38*INDEX('DEFAULT DATA'!$DZ$9:$MG$41,START!$B$3,($L38+5))*-44/12)</f>
        <v>0</v>
      </c>
      <c r="AC38" s="553">
        <f>($I38*INDEX('DEFAULT DATA'!$DZ$9:$MG$41,START!$B$3,($L38))*-44/12)+($I38*INDEX('DEFAULT DATA'!$DZ$9:$MG$41,START!$B$3,($L38+1))*-44/12)+($I38*INDEX('DEFAULT DATA'!$DZ$9:$MG$41,START!$B$3,($L38+2))*-44/12)+($I38*INDEX('DEFAULT DATA'!$DZ$9:$MG$41,START!$B$3,($L38+3))*-44/12)+($J38*INDEX('DEFAULT DATA'!$DZ$9:$MG$41,START!$B$3,($L38+4))*-44/12)+($K38*INDEX('DEFAULT DATA'!$DZ$9:$MG$41,START!$B$3,($L38+5))*-44/12)</f>
        <v>0</v>
      </c>
      <c r="AD38" s="553">
        <f>($I38*INDEX('DEFAULT DATA'!$DZ$9:$MG$41,START!$B$3,($L38))*-44/12)+($I38*INDEX('DEFAULT DATA'!$DZ$9:$MG$41,START!$B$3,($L38+1))*-44/12)+($I38*INDEX('DEFAULT DATA'!$DZ$9:$MG$41,START!$B$3,($L38+2))*-44/12)+($I38*INDEX('DEFAULT DATA'!$DZ$9:$MG$41,START!$B$3,($L38+3))*-44/12)+($J38*INDEX('DEFAULT DATA'!$DZ$9:$MG$41,START!$B$3,($L38+4))*-44/12)+($K38*INDEX('DEFAULT DATA'!$DZ$9:$MG$41,START!$B$3,($L38+5))*-44/12)</f>
        <v>0</v>
      </c>
      <c r="AE38" s="553">
        <f>($I38*INDEX('DEFAULT DATA'!$DZ$9:$MG$41,START!$B$3,($L38))*-44/12)+($I38*INDEX('DEFAULT DATA'!$DZ$9:$MG$41,START!$B$3,($L38+1))*-44/12)+($I38*INDEX('DEFAULT DATA'!$DZ$9:$MG$41,START!$B$3,($L38+2))*-44/12)+($I38*INDEX('DEFAULT DATA'!$DZ$9:$MG$41,START!$B$3,($L38+3))*-44/12)+($J38*INDEX('DEFAULT DATA'!$DZ$9:$MG$41,START!$B$3,($L38+4))*-44/12)+($K38*INDEX('DEFAULT DATA'!$DZ$9:$MG$41,START!$B$3,($L38+5))*-44/12)</f>
        <v>0</v>
      </c>
      <c r="AF38" s="553">
        <f>($I38*INDEX('DEFAULT DATA'!$DZ$9:$MG$41,START!$B$3,($L38))*-44/12)+($I38*INDEX('DEFAULT DATA'!$DZ$9:$MG$41,START!$B$3,($L38+1))*-44/12)+($I38*INDEX('DEFAULT DATA'!$DZ$9:$MG$41,START!$B$3,($L38+2))*-44/12)+($I38*INDEX('DEFAULT DATA'!$DZ$9:$MG$41,START!$B$3,($L38+3))*-44/12)+($J38*INDEX('DEFAULT DATA'!$DZ$9:$MG$41,START!$B$3,($L38+4))*-44/12)+($K38*INDEX('DEFAULT DATA'!$DZ$9:$MG$41,START!$B$3,($L38+5))*-44/12)</f>
        <v>0</v>
      </c>
      <c r="AG38" s="553">
        <f>($I38*INDEX('DEFAULT DATA'!$DZ$9:$MG$41,START!$B$3,($L38))*-44/12)+($I38*INDEX('DEFAULT DATA'!$DZ$9:$MG$41,START!$B$3,($L38+1))*-44/12)+($I38*INDEX('DEFAULT DATA'!$DZ$9:$MG$41,START!$B$3,($L38+2))*-44/12)+($I38*INDEX('DEFAULT DATA'!$DZ$9:$MG$41,START!$B$3,($L38+3))*-44/12)+($J38*INDEX('DEFAULT DATA'!$DZ$9:$MG$41,START!$B$3,($L38+4))*-44/12)+($K38*INDEX('DEFAULT DATA'!$DZ$9:$MG$41,START!$B$3,($L38+5))*-44/12)</f>
        <v>0</v>
      </c>
      <c r="AH38" s="553">
        <f>($I38*INDEX('DEFAULT DATA'!$DZ$9:$MG$41,START!$B$3,($L38))*-44/12)+($I38*INDEX('DEFAULT DATA'!$DZ$9:$MG$41,START!$B$3,($L38+1))*-44/12)+($I38*INDEX('DEFAULT DATA'!$DZ$9:$MG$41,START!$B$3,($L38+2))*-44/12)+($I38*INDEX('DEFAULT DATA'!$DZ$9:$MG$41,START!$B$3,($L38+3))*-44/12)+($J38*INDEX('DEFAULT DATA'!$DZ$9:$MG$41,START!$B$3,($L38+4))*-44/12)+($K38*INDEX('DEFAULT DATA'!$DZ$9:$MG$41,START!$B$3,($L38+5))*-44/12)</f>
        <v>0</v>
      </c>
      <c r="AI38" s="563">
        <f>(($I38*INDEX('DEFAULT DATA'!$KX$9:$LC$41,START!$B$3,1)*-44/12)+($I38*INDEX('DEFAULT DATA'!$KX$9:$LC$41,START!$B$3,2)*-44/12)+($I38*INDEX('DEFAULT DATA'!$KX$9:$LC$41,START!$B$3,3)*-44/12)+($I38*INDEX('DEFAULT DATA'!$KX$9:$LC$41,START!$B$3,4)*-44/12)+($J38*INDEX('DEFAULT DATA'!$KX$9:$LC$41,START!$B$3,5)*-44/12)+($K38*INDEX('DEFAULT DATA'!$KX$9:$LC$41,START!$B$3,6)*-44/12))</f>
        <v>-5.3534150114908847</v>
      </c>
      <c r="AJ38" s="563">
        <f>(($I38*INDEX('DEFAULT DATA'!$KX$9:$LC$41,START!$B$3,1)*-44/12)+($I38*INDEX('DEFAULT DATA'!$KX$9:$LC$41,START!$B$3,2)*-44/12)+($I38*INDEX('DEFAULT DATA'!$KX$9:$LC$41,START!$B$3,3)*-44/12)+($I38*INDEX('DEFAULT DATA'!$KX$9:$LC$41,START!$B$3,4)*-44/12)+($J38*INDEX('DEFAULT DATA'!$KX$9:$LC$41,START!$B$3,5)*-44/12)+($K38*INDEX('DEFAULT DATA'!$KX$9:$LC$41,START!$B$3,6)*-44/12))</f>
        <v>-5.3534150114908847</v>
      </c>
      <c r="AK38" s="563">
        <f>(($I38*INDEX('DEFAULT DATA'!$KX$9:$LC$41,START!$B$3,1)*-44/12)+($I38*INDEX('DEFAULT DATA'!$KX$9:$LC$41,START!$B$3,2)*-44/12)+($I38*INDEX('DEFAULT DATA'!$KX$9:$LC$41,START!$B$3,3)*-44/12)+($I38*INDEX('DEFAULT DATA'!$KX$9:$LC$41,START!$B$3,4)*-44/12)+($J38*INDEX('DEFAULT DATA'!$KX$9:$LC$41,START!$B$3,5)*-44/12)+($K38*INDEX('DEFAULT DATA'!$KX$9:$LC$41,START!$B$3,6)*-44/12))</f>
        <v>-5.3534150114908847</v>
      </c>
      <c r="AL38" s="563">
        <f>(($I38*INDEX('DEFAULT DATA'!$KX$9:$LC$41,START!$B$3,1)*-44/12)+($I38*INDEX('DEFAULT DATA'!$KX$9:$LC$41,START!$B$3,2)*-44/12)+($I38*INDEX('DEFAULT DATA'!$KX$9:$LC$41,START!$B$3,3)*-44/12)+($I38*INDEX('DEFAULT DATA'!$KX$9:$LC$41,START!$B$3,4)*-44/12)+($J38*INDEX('DEFAULT DATA'!$KX$9:$LC$41,START!$B$3,5)*-44/12)+($K38*INDEX('DEFAULT DATA'!$KX$9:$LC$41,START!$B$3,6)*-44/12))</f>
        <v>-5.3534150114908847</v>
      </c>
      <c r="AM38" s="563">
        <f>(($I38*INDEX('DEFAULT DATA'!$KX$9:$LC$41,START!$B$3,1)*-44/12)+($I38*INDEX('DEFAULT DATA'!$KX$9:$LC$41,START!$B$3,2)*-44/12)+($I38*INDEX('DEFAULT DATA'!$KX$9:$LC$41,START!$B$3,3)*-44/12)+($I38*INDEX('DEFAULT DATA'!$KX$9:$LC$41,START!$B$3,4)*-44/12)+($J38*INDEX('DEFAULT DATA'!$KX$9:$LC$41,START!$B$3,5)*-44/12)+($K38*INDEX('DEFAULT DATA'!$KX$9:$LC$41,START!$B$3,6)*-44/12))</f>
        <v>-5.3534150114908847</v>
      </c>
      <c r="AN38" s="563">
        <f>(($I38*INDEX('DEFAULT DATA'!$KX$9:$LC$41,START!$B$3,1)*-44/12)+($I38*INDEX('DEFAULT DATA'!$KX$9:$LC$41,START!$B$3,2)*-44/12)+($I38*INDEX('DEFAULT DATA'!$KX$9:$LC$41,START!$B$3,3)*-44/12)+($I38*INDEX('DEFAULT DATA'!$KX$9:$LC$41,START!$B$3,4)*-44/12)+($J38*INDEX('DEFAULT DATA'!$KX$9:$LC$41,START!$B$3,5)*-44/12)+($K38*INDEX('DEFAULT DATA'!$KX$9:$LC$41,START!$B$3,6)*-44/12))</f>
        <v>-5.3534150114908847</v>
      </c>
      <c r="AO38" s="563">
        <f>(($I38*INDEX('DEFAULT DATA'!$KX$9:$LC$41,START!$B$3,1)*-44/12)+($I38*INDEX('DEFAULT DATA'!$KX$9:$LC$41,START!$B$3,2)*-44/12)+($I38*INDEX('DEFAULT DATA'!$KX$9:$LC$41,START!$B$3,3)*-44/12)+($I38*INDEX('DEFAULT DATA'!$KX$9:$LC$41,START!$B$3,4)*-44/12)+($J38*INDEX('DEFAULT DATA'!$KX$9:$LC$41,START!$B$3,5)*-44/12)+($K38*INDEX('DEFAULT DATA'!$KX$9:$LC$41,START!$B$3,6)*-44/12))</f>
        <v>-5.3534150114908847</v>
      </c>
      <c r="AP38" s="563">
        <f>(($I38*INDEX('DEFAULT DATA'!$KX$9:$LC$41,START!$B$3,1)*-44/12)+($I38*INDEX('DEFAULT DATA'!$KX$9:$LC$41,START!$B$3,2)*-44/12)+($I38*INDEX('DEFAULT DATA'!$KX$9:$LC$41,START!$B$3,3)*-44/12)+($I38*INDEX('DEFAULT DATA'!$KX$9:$LC$41,START!$B$3,4)*-44/12)+($J38*INDEX('DEFAULT DATA'!$KX$9:$LC$41,START!$B$3,5)*-44/12)+($K38*INDEX('DEFAULT DATA'!$KX$9:$LC$41,START!$B$3,6)*-44/12))</f>
        <v>-5.3534150114908847</v>
      </c>
      <c r="AQ38" s="563">
        <f>(($I38*INDEX('DEFAULT DATA'!$KX$9:$LC$41,START!$B$3,1)*-44/12)+($I38*INDEX('DEFAULT DATA'!$KX$9:$LC$41,START!$B$3,2)*-44/12)+($I38*INDEX('DEFAULT DATA'!$KX$9:$LC$41,START!$B$3,3)*-44/12)+($I38*INDEX('DEFAULT DATA'!$KX$9:$LC$41,START!$B$3,4)*-44/12)+($J38*INDEX('DEFAULT DATA'!$KX$9:$LC$41,START!$B$3,5)*-44/12)+($K38*INDEX('DEFAULT DATA'!$KX$9:$LC$41,START!$B$3,6)*-44/12))</f>
        <v>-5.3534150114908847</v>
      </c>
      <c r="AR38" s="564">
        <f>(($I38*INDEX('DEFAULT DATA'!$KX$9:$LC$41,START!$B$3,1)*-44/12)+($I38*INDEX('DEFAULT DATA'!$KX$9:$LC$41,START!$B$3,2)*-44/12)+($I38*INDEX('DEFAULT DATA'!$KX$9:$LC$41,START!$B$3,3)*-44/12)+($I38*INDEX('DEFAULT DATA'!$KX$9:$LC$41,START!$B$3,4)*-44/12)+($J38*INDEX('DEFAULT DATA'!$KX$9:$LC$41,START!$B$3,5)*-44/12)+($K38*INDEX('DEFAULT DATA'!$KX$9:$LC$41,START!$B$3,6)*-44/12))</f>
        <v>-5.3534150114908847</v>
      </c>
    </row>
    <row r="39" spans="1:44" ht="20.100000000000001" customHeight="1">
      <c r="A39" s="92"/>
      <c r="B39" s="79"/>
      <c r="C39" s="79"/>
      <c r="D39" s="79"/>
      <c r="E39" s="79"/>
      <c r="F39" s="79"/>
      <c r="G39" s="79"/>
      <c r="H39" s="79"/>
      <c r="I39" s="382">
        <f t="shared" si="36"/>
        <v>2</v>
      </c>
      <c r="J39" s="555">
        <f t="shared" si="37"/>
        <v>1</v>
      </c>
      <c r="K39" s="555">
        <f t="shared" si="38"/>
        <v>1</v>
      </c>
      <c r="L39" s="383">
        <f t="shared" si="40"/>
        <v>31</v>
      </c>
      <c r="M39" s="537" t="s">
        <v>936</v>
      </c>
      <c r="N39" s="538">
        <f t="shared" si="39"/>
        <v>2022</v>
      </c>
      <c r="O39" s="550">
        <f>($I39*INDEX('DEFAULT DATA'!$DZ$9:$MG$41,START!$B$3,($L39))*-44/12)+($I39*INDEX('DEFAULT DATA'!$DZ$9:$MG$41,START!$B$3,($L39+1))*-44/12)+($I39*INDEX('DEFAULT DATA'!$DZ$9:$MG$41,START!$B$3,($L39+2))*-44/12)+($I39*INDEX('DEFAULT DATA'!$DZ$9:$MG$41,START!$B$3,($L39+3))*-44/12)+($J39*INDEX('DEFAULT DATA'!$DZ$9:$MG$41,START!$B$3,($L39+4))*-44/12)+($K39*INDEX('DEFAULT DATA'!$DZ$9:$MG$41,START!$B$3,($L39+5))*-44/12)</f>
        <v>0</v>
      </c>
      <c r="P39" s="550">
        <f>($J39*INDEX('DEFAULT DATA'!$DZ$9:$MG$41,START!$B$3,($L39+4))*-44/12)+($K39*INDEX('DEFAULT DATA'!$DZ$9:$MG$41,START!$B$3,($L39+5))*-44/12)</f>
        <v>0</v>
      </c>
      <c r="Q39" s="550">
        <f>($J39*INDEX('DEFAULT DATA'!$DZ$9:$MG$41,START!$B$3,($L39+4))*-44/12)+($K39*INDEX('DEFAULT DATA'!$DZ$9:$MG$41,START!$B$3,($L39+5))*-44/12)</f>
        <v>0</v>
      </c>
      <c r="R39" s="550">
        <f>($J39*INDEX('DEFAULT DATA'!$DZ$9:$MG$41,START!$B$3,($L39+4))*-44/12)+($K39*INDEX('DEFAULT DATA'!$DZ$9:$MG$41,START!$B$3,($L39+5))*-44/12)</f>
        <v>0</v>
      </c>
      <c r="S39" s="550">
        <f>($J39*INDEX('DEFAULT DATA'!$DZ$9:$MG$41,START!$B$3,($L39+4))*-44/12)+($K39*INDEX('DEFAULT DATA'!$DZ$9:$MG$41,START!$B$3,($L39+5))*-44/12)</f>
        <v>0</v>
      </c>
      <c r="T39" s="550">
        <f>($J39*INDEX('DEFAULT DATA'!$DZ$9:$MG$41,START!$B$3,($L39+4))*-44/12)+($K39*INDEX('DEFAULT DATA'!$DZ$9:$MG$41,START!$B$3,($L39+5))*-44/12)</f>
        <v>0</v>
      </c>
      <c r="U39" s="550">
        <f>($J39*INDEX('DEFAULT DATA'!$DZ$9:$MG$41,START!$B$3,($L39+4))*-44/12)+($K39*INDEX('DEFAULT DATA'!$DZ$9:$MG$41,START!$B$3,($L39+5))*-44/12)</f>
        <v>0</v>
      </c>
      <c r="V39" s="550">
        <f>($J39*INDEX('DEFAULT DATA'!$DZ$9:$MG$41,START!$B$3,($L39+4))*-44/12)+($K39*INDEX('DEFAULT DATA'!$DZ$9:$MG$41,START!$B$3,($L39+5))*-44/12)</f>
        <v>0</v>
      </c>
      <c r="W39" s="550">
        <f>($J39*INDEX('DEFAULT DATA'!$DZ$9:$MG$41,START!$B$3,($L39+4))*-44/12)+($K39*INDEX('DEFAULT DATA'!$DZ$9:$MG$41,START!$B$3,($L39+5))*-44/12)</f>
        <v>0</v>
      </c>
      <c r="X39" s="550">
        <f>($J39*INDEX('DEFAULT DATA'!$DZ$9:$MG$41,START!$B$3,($L39+4))*-44/12)+($K39*INDEX('DEFAULT DATA'!$DZ$9:$MG$41,START!$B$3,($L39+5))*-44/12)</f>
        <v>0</v>
      </c>
      <c r="Y39" s="550">
        <f>($J39*INDEX('DEFAULT DATA'!$DZ$9:$MG$41,START!$B$3,($L39+4))*-44/12)+($K39*INDEX('DEFAULT DATA'!$DZ$9:$MG$41,START!$B$3,($L39+5))*-44/12)</f>
        <v>0</v>
      </c>
      <c r="Z39" s="550">
        <f>($J39*INDEX('DEFAULT DATA'!$DZ$9:$MG$41,START!$B$3,($L39+4))*-44/12)+($K39*INDEX('DEFAULT DATA'!$DZ$9:$MG$41,START!$B$3,($L39+5))*-44/12)</f>
        <v>0</v>
      </c>
      <c r="AA39" s="550">
        <f>($J39*INDEX('DEFAULT DATA'!$DZ$9:$MG$41,START!$B$3,($L39+4))*-44/12)+($K39*INDEX('DEFAULT DATA'!$DZ$9:$MG$41,START!$B$3,($L39+5))*-44/12)</f>
        <v>0</v>
      </c>
      <c r="AB39" s="550">
        <f>($J39*INDEX('DEFAULT DATA'!$DZ$9:$MG$41,START!$B$3,($L39+4))*-44/12)+($K39*INDEX('DEFAULT DATA'!$DZ$9:$MG$41,START!$B$3,($L39+5))*-44/12)</f>
        <v>0</v>
      </c>
      <c r="AC39" s="550">
        <f>($J39*INDEX('DEFAULT DATA'!$DZ$9:$MG$41,START!$B$3,($L39+4))*-44/12)+($K39*INDEX('DEFAULT DATA'!$DZ$9:$MG$41,START!$B$3,($L39+5))*-44/12)</f>
        <v>0</v>
      </c>
      <c r="AD39" s="550">
        <f>($J39*INDEX('DEFAULT DATA'!$DZ$9:$MG$41,START!$B$3,($L39+4))*-44/12)+($K39*INDEX('DEFAULT DATA'!$DZ$9:$MG$41,START!$B$3,($L39+5))*-44/12)</f>
        <v>0</v>
      </c>
      <c r="AE39" s="550">
        <f>($J39*INDEX('DEFAULT DATA'!$DZ$9:$MG$41,START!$B$3,($L39+4))*-44/12)+($K39*INDEX('DEFAULT DATA'!$DZ$9:$MG$41,START!$B$3,($L39+5))*-44/12)</f>
        <v>0</v>
      </c>
      <c r="AF39" s="550">
        <f>($J39*INDEX('DEFAULT DATA'!$DZ$9:$MG$41,START!$B$3,($L39+4))*-44/12)+($K39*INDEX('DEFAULT DATA'!$DZ$9:$MG$41,START!$B$3,($L39+5))*-44/12)</f>
        <v>0</v>
      </c>
      <c r="AG39" s="550">
        <f>($J39*INDEX('DEFAULT DATA'!$DZ$9:$MG$41,START!$B$3,($L39+4))*-44/12)+($K39*INDEX('DEFAULT DATA'!$DZ$9:$MG$41,START!$B$3,($L39+5))*-44/12)</f>
        <v>0</v>
      </c>
      <c r="AH39" s="550">
        <f>($J39*INDEX('DEFAULT DATA'!$DZ$9:$MG$41,START!$B$3,($L39+4))*-44/12)+($K39*INDEX('DEFAULT DATA'!$DZ$9:$MG$41,START!$B$3,($L39+5))*-44/12)</f>
        <v>0</v>
      </c>
      <c r="AI39" s="550">
        <f>(($I39*INDEX('DEFAULT DATA'!$LD$9:$LI$41,START!$B$3,1)*-44/12)+($I39*INDEX('DEFAULT DATA'!$LD$9:$LI$41,START!$B$3,2)*-44/12)+($I39*INDEX('DEFAULT DATA'!$LD$9:$LI$41,START!$B$3,3)*-44/12)+($I39*INDEX('DEFAULT DATA'!$LD$9:$LI$41,START!$B$3,4)*-44/12)+($J39*INDEX('DEFAULT DATA'!$LD$9:$LI$41,START!$B$3,5)*-44/12)+($K39*INDEX('DEFAULT DATA'!$LD$9:$LI$41,START!$B$3,6)*-44/12))</f>
        <v>-0.13928082274505665</v>
      </c>
      <c r="AJ39" s="550">
        <f>(($I39*INDEX('DEFAULT DATA'!$LD$9:$LI$41,START!$B$3,1)*-44/12)+($I39*INDEX('DEFAULT DATA'!$LD$9:$LI$41,START!$B$3,2)*-44/12)+($I39*INDEX('DEFAULT DATA'!$LD$9:$LI$41,START!$B$3,3)*-44/12)+($I39*INDEX('DEFAULT DATA'!$LD$9:$LI$41,START!$B$3,4)*-44/12)+($J39*INDEX('DEFAULT DATA'!$LD$9:$LI$41,START!$B$3,5)*-44/12)+($K39*INDEX('DEFAULT DATA'!$LD$9:$LI$41,START!$B$3,6)*-44/12))</f>
        <v>-0.13928082274505665</v>
      </c>
      <c r="AK39" s="550">
        <f>(($I39*INDEX('DEFAULT DATA'!$LD$9:$LI$41,START!$B$3,1)*-44/12)+($I39*INDEX('DEFAULT DATA'!$LD$9:$LI$41,START!$B$3,2)*-44/12)+($I39*INDEX('DEFAULT DATA'!$LD$9:$LI$41,START!$B$3,3)*-44/12)+($I39*INDEX('DEFAULT DATA'!$LD$9:$LI$41,START!$B$3,4)*-44/12)+($J39*INDEX('DEFAULT DATA'!$LD$9:$LI$41,START!$B$3,5)*-44/12)+($K39*INDEX('DEFAULT DATA'!$LD$9:$LI$41,START!$B$3,6)*-44/12))</f>
        <v>-0.13928082274505665</v>
      </c>
      <c r="AL39" s="550">
        <f>(($I39*INDEX('DEFAULT DATA'!$LD$9:$LI$41,START!$B$3,1)*-44/12)+($I39*INDEX('DEFAULT DATA'!$LD$9:$LI$41,START!$B$3,2)*-44/12)+($I39*INDEX('DEFAULT DATA'!$LD$9:$LI$41,START!$B$3,3)*-44/12)+($I39*INDEX('DEFAULT DATA'!$LD$9:$LI$41,START!$B$3,4)*-44/12)+($J39*INDEX('DEFAULT DATA'!$LD$9:$LI$41,START!$B$3,5)*-44/12)+($K39*INDEX('DEFAULT DATA'!$LD$9:$LI$41,START!$B$3,6)*-44/12))</f>
        <v>-0.13928082274505665</v>
      </c>
      <c r="AM39" s="550">
        <f>(($I39*INDEX('DEFAULT DATA'!$LD$9:$LI$41,START!$B$3,1)*-44/12)+($I39*INDEX('DEFAULT DATA'!$LD$9:$LI$41,START!$B$3,2)*-44/12)+($I39*INDEX('DEFAULT DATA'!$LD$9:$LI$41,START!$B$3,3)*-44/12)+($I39*INDEX('DEFAULT DATA'!$LD$9:$LI$41,START!$B$3,4)*-44/12)+($J39*INDEX('DEFAULT DATA'!$LD$9:$LI$41,START!$B$3,5)*-44/12)+($K39*INDEX('DEFAULT DATA'!$LD$9:$LI$41,START!$B$3,6)*-44/12))</f>
        <v>-0.13928082274505665</v>
      </c>
      <c r="AN39" s="550">
        <f>(($I39*INDEX('DEFAULT DATA'!$LD$9:$LI$41,START!$B$3,1)*-44/12)+($I39*INDEX('DEFAULT DATA'!$LD$9:$LI$41,START!$B$3,2)*-44/12)+($I39*INDEX('DEFAULT DATA'!$LD$9:$LI$41,START!$B$3,3)*-44/12)+($I39*INDEX('DEFAULT DATA'!$LD$9:$LI$41,START!$B$3,4)*-44/12)+($J39*INDEX('DEFAULT DATA'!$LD$9:$LI$41,START!$B$3,5)*-44/12)+($K39*INDEX('DEFAULT DATA'!$LD$9:$LI$41,START!$B$3,6)*-44/12))</f>
        <v>-0.13928082274505665</v>
      </c>
      <c r="AO39" s="550">
        <f>(($I39*INDEX('DEFAULT DATA'!$LD$9:$LI$41,START!$B$3,1)*-44/12)+($I39*INDEX('DEFAULT DATA'!$LD$9:$LI$41,START!$B$3,2)*-44/12)+($I39*INDEX('DEFAULT DATA'!$LD$9:$LI$41,START!$B$3,3)*-44/12)+($I39*INDEX('DEFAULT DATA'!$LD$9:$LI$41,START!$B$3,4)*-44/12)+($J39*INDEX('DEFAULT DATA'!$LD$9:$LI$41,START!$B$3,5)*-44/12)+($K39*INDEX('DEFAULT DATA'!$LD$9:$LI$41,START!$B$3,6)*-44/12))</f>
        <v>-0.13928082274505665</v>
      </c>
      <c r="AP39" s="550">
        <f>(($I39*INDEX('DEFAULT DATA'!$LD$9:$LI$41,START!$B$3,1)*-44/12)+($I39*INDEX('DEFAULT DATA'!$LD$9:$LI$41,START!$B$3,2)*-44/12)+($I39*INDEX('DEFAULT DATA'!$LD$9:$LI$41,START!$B$3,3)*-44/12)+($I39*INDEX('DEFAULT DATA'!$LD$9:$LI$41,START!$B$3,4)*-44/12)+($J39*INDEX('DEFAULT DATA'!$LD$9:$LI$41,START!$B$3,5)*-44/12)+($K39*INDEX('DEFAULT DATA'!$LD$9:$LI$41,START!$B$3,6)*-44/12))</f>
        <v>-0.13928082274505665</v>
      </c>
      <c r="AQ39" s="550">
        <f>(($I39*INDEX('DEFAULT DATA'!$LD$9:$LI$41,START!$B$3,1)*-44/12)+($I39*INDEX('DEFAULT DATA'!$LD$9:$LI$41,START!$B$3,2)*-44/12)+($I39*INDEX('DEFAULT DATA'!$LD$9:$LI$41,START!$B$3,3)*-44/12)+($I39*INDEX('DEFAULT DATA'!$LD$9:$LI$41,START!$B$3,4)*-44/12)+($J39*INDEX('DEFAULT DATA'!$LD$9:$LI$41,START!$B$3,5)*-44/12)+($K39*INDEX('DEFAULT DATA'!$LD$9:$LI$41,START!$B$3,6)*-44/12))</f>
        <v>-0.13928082274505665</v>
      </c>
      <c r="AR39" s="551">
        <f>(($I39*INDEX('DEFAULT DATA'!$LD$9:$LI$41,START!$B$3,1)*-44/12)+($I39*INDEX('DEFAULT DATA'!$LD$9:$LI$41,START!$B$3,2)*-44/12)+($I39*INDEX('DEFAULT DATA'!$LD$9:$LI$41,START!$B$3,3)*-44/12)+($I39*INDEX('DEFAULT DATA'!$LD$9:$LI$41,START!$B$3,4)*-44/12)+($J39*INDEX('DEFAULT DATA'!$LD$9:$LI$41,START!$B$3,5)*-44/12)+($K39*INDEX('DEFAULT DATA'!$LD$9:$LI$41,START!$B$3,6)*-44/12))</f>
        <v>-0.13928082274505665</v>
      </c>
    </row>
    <row r="40" spans="1:44" ht="20.100000000000001" customHeight="1">
      <c r="A40" s="92"/>
      <c r="B40" s="79"/>
      <c r="C40" s="79"/>
      <c r="D40" s="79"/>
      <c r="E40" s="79"/>
      <c r="F40" s="79"/>
      <c r="G40" s="79"/>
      <c r="H40" s="79"/>
      <c r="I40" s="514">
        <f t="shared" si="36"/>
        <v>2</v>
      </c>
      <c r="J40" s="511">
        <f t="shared" si="37"/>
        <v>1</v>
      </c>
      <c r="K40" s="511">
        <f t="shared" si="38"/>
        <v>1</v>
      </c>
      <c r="L40" s="384">
        <f t="shared" si="40"/>
        <v>37</v>
      </c>
      <c r="M40" s="535" t="s">
        <v>937</v>
      </c>
      <c r="N40" s="539">
        <f t="shared" si="39"/>
        <v>2022</v>
      </c>
      <c r="O40" s="221">
        <f>($I40*INDEX('DEFAULT DATA'!$DZ$9:$MG$41,START!$B$3,($L40))*-44/12)+($I40*INDEX('DEFAULT DATA'!$DZ$9:$MG$41,START!$B$3,($L40+1))*-44/12)+($I40*INDEX('DEFAULT DATA'!$DZ$9:$MG$41,START!$B$3,($L40+2))*-44/12)+($I40*INDEX('DEFAULT DATA'!$DZ$9:$MG$41,START!$B$3,($L40+3))*-44/12)+($J40*INDEX('DEFAULT DATA'!$DZ$9:$MG$41,START!$B$3,($L40+4))*-44/12)+($K40*INDEX('DEFAULT DATA'!$DZ$9:$MG$41,START!$B$3,($L40+5))*-44/12)</f>
        <v>0</v>
      </c>
      <c r="P40" s="221">
        <f>($I40*INDEX('DEFAULT DATA'!$DZ$9:$MG$41,START!$B$3,($L40))*-44/12)+($I40*INDEX('DEFAULT DATA'!$DZ$9:$MG$41,START!$B$3,($L40+1))*-44/12)+($I40*INDEX('DEFAULT DATA'!$DZ$9:$MG$41,START!$B$3,($L40+2))*-44/12)+($I40*INDEX('DEFAULT DATA'!$DZ$9:$MG$41,START!$B$3,($L40+3))*-44/12)+($J40*INDEX('DEFAULT DATA'!$DZ$9:$MG$41,START!$B$3,($L40+4))*-44/12)+($K40*INDEX('DEFAULT DATA'!$DZ$9:$MG$41,START!$B$3,($L40+5))*-44/12)</f>
        <v>0</v>
      </c>
      <c r="Q40" s="221">
        <f>($I40*INDEX('DEFAULT DATA'!$DZ$9:$MG$41,START!$B$3,($L40))*-44/12)+($I40*INDEX('DEFAULT DATA'!$DZ$9:$MG$41,START!$B$3,($L40+1))*-44/12)+($I40*INDEX('DEFAULT DATA'!$DZ$9:$MG$41,START!$B$3,($L40+2))*-44/12)+($I40*INDEX('DEFAULT DATA'!$DZ$9:$MG$41,START!$B$3,($L40+3))*-44/12)+($J40*INDEX('DEFAULT DATA'!$DZ$9:$MG$41,START!$B$3,($L40+4))*-44/12)+($K40*INDEX('DEFAULT DATA'!$DZ$9:$MG$41,START!$B$3,($L40+5))*-44/12)</f>
        <v>0</v>
      </c>
      <c r="R40" s="221">
        <f>($I40*INDEX('DEFAULT DATA'!$DZ$9:$MG$41,START!$B$3,($L40))*-44/12)+($I40*INDEX('DEFAULT DATA'!$DZ$9:$MG$41,START!$B$3,($L40+1))*-44/12)+($I40*INDEX('DEFAULT DATA'!$DZ$9:$MG$41,START!$B$3,($L40+2))*-44/12)+($I40*INDEX('DEFAULT DATA'!$DZ$9:$MG$41,START!$B$3,($L40+3))*-44/12)+($J40*INDEX('DEFAULT DATA'!$DZ$9:$MG$41,START!$B$3,($L40+4))*-44/12)+($K40*INDEX('DEFAULT DATA'!$DZ$9:$MG$41,START!$B$3,($L40+5))*-44/12)</f>
        <v>0</v>
      </c>
      <c r="S40" s="221">
        <f>($I40*INDEX('DEFAULT DATA'!$DZ$9:$MG$41,START!$B$3,($L40))*-44/12)+($I40*INDEX('DEFAULT DATA'!$DZ$9:$MG$41,START!$B$3,($L40+1))*-44/12)+($I40*INDEX('DEFAULT DATA'!$DZ$9:$MG$41,START!$B$3,($L40+2))*-44/12)+($I40*INDEX('DEFAULT DATA'!$DZ$9:$MG$41,START!$B$3,($L40+3))*-44/12)+($J40*INDEX('DEFAULT DATA'!$DZ$9:$MG$41,START!$B$3,($L40+4))*-44/12)+($K40*INDEX('DEFAULT DATA'!$DZ$9:$MG$41,START!$B$3,($L40+5))*-44/12)</f>
        <v>0</v>
      </c>
      <c r="T40" s="221">
        <f>($I40*INDEX('DEFAULT DATA'!$DZ$9:$MG$41,START!$B$3,($L40))*-44/12)+($I40*INDEX('DEFAULT DATA'!$DZ$9:$MG$41,START!$B$3,($L40+1))*-44/12)+($I40*INDEX('DEFAULT DATA'!$DZ$9:$MG$41,START!$B$3,($L40+2))*-44/12)+($I40*INDEX('DEFAULT DATA'!$DZ$9:$MG$41,START!$B$3,($L40+3))*-44/12)+($J40*INDEX('DEFAULT DATA'!$DZ$9:$MG$41,START!$B$3,($L40+4))*-44/12)+($K40*INDEX('DEFAULT DATA'!$DZ$9:$MG$41,START!$B$3,($L40+5))*-44/12)</f>
        <v>0</v>
      </c>
      <c r="U40" s="221">
        <f>($I40*INDEX('DEFAULT DATA'!$DZ$9:$MG$41,START!$B$3,($L40))*-44/12)+($I40*INDEX('DEFAULT DATA'!$DZ$9:$MG$41,START!$B$3,($L40+1))*-44/12)+($I40*INDEX('DEFAULT DATA'!$DZ$9:$MG$41,START!$B$3,($L40+2))*-44/12)+($I40*INDEX('DEFAULT DATA'!$DZ$9:$MG$41,START!$B$3,($L40+3))*-44/12)+($J40*INDEX('DEFAULT DATA'!$DZ$9:$MG$41,START!$B$3,($L40+4))*-44/12)+($K40*INDEX('DEFAULT DATA'!$DZ$9:$MG$41,START!$B$3,($L40+5))*-44/12)</f>
        <v>0</v>
      </c>
      <c r="V40" s="221">
        <f>($I40*INDEX('DEFAULT DATA'!$DZ$9:$MG$41,START!$B$3,($L40))*-44/12)+($I40*INDEX('DEFAULT DATA'!$DZ$9:$MG$41,START!$B$3,($L40+1))*-44/12)+($I40*INDEX('DEFAULT DATA'!$DZ$9:$MG$41,START!$B$3,($L40+2))*-44/12)+($I40*INDEX('DEFAULT DATA'!$DZ$9:$MG$41,START!$B$3,($L40+3))*-44/12)+($J40*INDEX('DEFAULT DATA'!$DZ$9:$MG$41,START!$B$3,($L40+4))*-44/12)+($K40*INDEX('DEFAULT DATA'!$DZ$9:$MG$41,START!$B$3,($L40+5))*-44/12)</f>
        <v>0</v>
      </c>
      <c r="W40" s="221">
        <f>($I40*INDEX('DEFAULT DATA'!$DZ$9:$MG$41,START!$B$3,($L40))*-44/12)+($I40*INDEX('DEFAULT DATA'!$DZ$9:$MG$41,START!$B$3,($L40+1))*-44/12)+($I40*INDEX('DEFAULT DATA'!$DZ$9:$MG$41,START!$B$3,($L40+2))*-44/12)+($I40*INDEX('DEFAULT DATA'!$DZ$9:$MG$41,START!$B$3,($L40+3))*-44/12)+($J40*INDEX('DEFAULT DATA'!$DZ$9:$MG$41,START!$B$3,($L40+4))*-44/12)+($K40*INDEX('DEFAULT DATA'!$DZ$9:$MG$41,START!$B$3,($L40+5))*-44/12)</f>
        <v>0</v>
      </c>
      <c r="X40" s="221">
        <f>($I40*INDEX('DEFAULT DATA'!$DZ$9:$MG$41,START!$B$3,($L40))*-44/12)+($I40*INDEX('DEFAULT DATA'!$DZ$9:$MG$41,START!$B$3,($L40+1))*-44/12)+($I40*INDEX('DEFAULT DATA'!$DZ$9:$MG$41,START!$B$3,($L40+2))*-44/12)+($I40*INDEX('DEFAULT DATA'!$DZ$9:$MG$41,START!$B$3,($L40+3))*-44/12)+($J40*INDEX('DEFAULT DATA'!$DZ$9:$MG$41,START!$B$3,($L40+4))*-44/12)+($K40*INDEX('DEFAULT DATA'!$DZ$9:$MG$41,START!$B$3,($L40+5))*-44/12)</f>
        <v>0</v>
      </c>
      <c r="Y40" s="221">
        <f>($I40*INDEX('DEFAULT DATA'!$DZ$9:$MG$41,START!$B$3,($L40))*-44/12)+($I40*INDEX('DEFAULT DATA'!$DZ$9:$MG$41,START!$B$3,($L40+1))*-44/12)+($I40*INDEX('DEFAULT DATA'!$DZ$9:$MG$41,START!$B$3,($L40+2))*-44/12)+($I40*INDEX('DEFAULT DATA'!$DZ$9:$MG$41,START!$B$3,($L40+3))*-44/12)+($J40*INDEX('DEFAULT DATA'!$DZ$9:$MG$41,START!$B$3,($L40+4))*-44/12)+($K40*INDEX('DEFAULT DATA'!$DZ$9:$MG$41,START!$B$3,($L40+5))*-44/12)</f>
        <v>0</v>
      </c>
      <c r="Z40" s="221">
        <f>($I40*INDEX('DEFAULT DATA'!$DZ$9:$MG$41,START!$B$3,($L40))*-44/12)+($I40*INDEX('DEFAULT DATA'!$DZ$9:$MG$41,START!$B$3,($L40+1))*-44/12)+($I40*INDEX('DEFAULT DATA'!$DZ$9:$MG$41,START!$B$3,($L40+2))*-44/12)+($I40*INDEX('DEFAULT DATA'!$DZ$9:$MG$41,START!$B$3,($L40+3))*-44/12)+($J40*INDEX('DEFAULT DATA'!$DZ$9:$MG$41,START!$B$3,($L40+4))*-44/12)+($K40*INDEX('DEFAULT DATA'!$DZ$9:$MG$41,START!$B$3,($L40+5))*-44/12)</f>
        <v>0</v>
      </c>
      <c r="AA40" s="221">
        <f>($I40*INDEX('DEFAULT DATA'!$DZ$9:$MG$41,START!$B$3,($L40))*-44/12)+($I40*INDEX('DEFAULT DATA'!$DZ$9:$MG$41,START!$B$3,($L40+1))*-44/12)+($I40*INDEX('DEFAULT DATA'!$DZ$9:$MG$41,START!$B$3,($L40+2))*-44/12)+($I40*INDEX('DEFAULT DATA'!$DZ$9:$MG$41,START!$B$3,($L40+3))*-44/12)+($J40*INDEX('DEFAULT DATA'!$DZ$9:$MG$41,START!$B$3,($L40+4))*-44/12)+($K40*INDEX('DEFAULT DATA'!$DZ$9:$MG$41,START!$B$3,($L40+5))*-44/12)</f>
        <v>0</v>
      </c>
      <c r="AB40" s="221">
        <f>($I40*INDEX('DEFAULT DATA'!$DZ$9:$MG$41,START!$B$3,($L40))*-44/12)+($I40*INDEX('DEFAULT DATA'!$DZ$9:$MG$41,START!$B$3,($L40+1))*-44/12)+($I40*INDEX('DEFAULT DATA'!$DZ$9:$MG$41,START!$B$3,($L40+2))*-44/12)+($I40*INDEX('DEFAULT DATA'!$DZ$9:$MG$41,START!$B$3,($L40+3))*-44/12)+($J40*INDEX('DEFAULT DATA'!$DZ$9:$MG$41,START!$B$3,($L40+4))*-44/12)+($K40*INDEX('DEFAULT DATA'!$DZ$9:$MG$41,START!$B$3,($L40+5))*-44/12)</f>
        <v>0</v>
      </c>
      <c r="AC40" s="221">
        <f>($I40*INDEX('DEFAULT DATA'!$DZ$9:$MG$41,START!$B$3,($L40))*-44/12)+($I40*INDEX('DEFAULT DATA'!$DZ$9:$MG$41,START!$B$3,($L40+1))*-44/12)+($I40*INDEX('DEFAULT DATA'!$DZ$9:$MG$41,START!$B$3,($L40+2))*-44/12)+($I40*INDEX('DEFAULT DATA'!$DZ$9:$MG$41,START!$B$3,($L40+3))*-44/12)+($J40*INDEX('DEFAULT DATA'!$DZ$9:$MG$41,START!$B$3,($L40+4))*-44/12)+($K40*INDEX('DEFAULT DATA'!$DZ$9:$MG$41,START!$B$3,($L40+5))*-44/12)</f>
        <v>0</v>
      </c>
      <c r="AD40" s="221">
        <f>($I40*INDEX('DEFAULT DATA'!$DZ$9:$MG$41,START!$B$3,($L40))*-44/12)+($I40*INDEX('DEFAULT DATA'!$DZ$9:$MG$41,START!$B$3,($L40+1))*-44/12)+($I40*INDEX('DEFAULT DATA'!$DZ$9:$MG$41,START!$B$3,($L40+2))*-44/12)+($I40*INDEX('DEFAULT DATA'!$DZ$9:$MG$41,START!$B$3,($L40+3))*-44/12)+($J40*INDEX('DEFAULT DATA'!$DZ$9:$MG$41,START!$B$3,($L40+4))*-44/12)+($K40*INDEX('DEFAULT DATA'!$DZ$9:$MG$41,START!$B$3,($L40+5))*-44/12)</f>
        <v>0</v>
      </c>
      <c r="AE40" s="221">
        <f>($I40*INDEX('DEFAULT DATA'!$DZ$9:$MG$41,START!$B$3,($L40))*-44/12)+($I40*INDEX('DEFAULT DATA'!$DZ$9:$MG$41,START!$B$3,($L40+1))*-44/12)+($I40*INDEX('DEFAULT DATA'!$DZ$9:$MG$41,START!$B$3,($L40+2))*-44/12)+($I40*INDEX('DEFAULT DATA'!$DZ$9:$MG$41,START!$B$3,($L40+3))*-44/12)+($J40*INDEX('DEFAULT DATA'!$DZ$9:$MG$41,START!$B$3,($L40+4))*-44/12)+($K40*INDEX('DEFAULT DATA'!$DZ$9:$MG$41,START!$B$3,($L40+5))*-44/12)</f>
        <v>0</v>
      </c>
      <c r="AF40" s="221">
        <f>($I40*INDEX('DEFAULT DATA'!$DZ$9:$MG$41,START!$B$3,($L40))*-44/12)+($I40*INDEX('DEFAULT DATA'!$DZ$9:$MG$41,START!$B$3,($L40+1))*-44/12)+($I40*INDEX('DEFAULT DATA'!$DZ$9:$MG$41,START!$B$3,($L40+2))*-44/12)+($I40*INDEX('DEFAULT DATA'!$DZ$9:$MG$41,START!$B$3,($L40+3))*-44/12)+($J40*INDEX('DEFAULT DATA'!$DZ$9:$MG$41,START!$B$3,($L40+4))*-44/12)+($K40*INDEX('DEFAULT DATA'!$DZ$9:$MG$41,START!$B$3,($L40+5))*-44/12)</f>
        <v>0</v>
      </c>
      <c r="AG40" s="221">
        <f>($I40*INDEX('DEFAULT DATA'!$DZ$9:$MG$41,START!$B$3,($L40))*-44/12)+($I40*INDEX('DEFAULT DATA'!$DZ$9:$MG$41,START!$B$3,($L40+1))*-44/12)+($I40*INDEX('DEFAULT DATA'!$DZ$9:$MG$41,START!$B$3,($L40+2))*-44/12)+($I40*INDEX('DEFAULT DATA'!$DZ$9:$MG$41,START!$B$3,($L40+3))*-44/12)+($J40*INDEX('DEFAULT DATA'!$DZ$9:$MG$41,START!$B$3,($L40+4))*-44/12)+($K40*INDEX('DEFAULT DATA'!$DZ$9:$MG$41,START!$B$3,($L40+5))*-44/12)</f>
        <v>0</v>
      </c>
      <c r="AH40" s="221">
        <f>($I40*INDEX('DEFAULT DATA'!$DZ$9:$MG$41,START!$B$3,($L40))*-44/12)+($I40*INDEX('DEFAULT DATA'!$DZ$9:$MG$41,START!$B$3,($L40+1))*-44/12)+($I40*INDEX('DEFAULT DATA'!$DZ$9:$MG$41,START!$B$3,($L40+2))*-44/12)+($I40*INDEX('DEFAULT DATA'!$DZ$9:$MG$41,START!$B$3,($L40+3))*-44/12)+($J40*INDEX('DEFAULT DATA'!$DZ$9:$MG$41,START!$B$3,($L40+4))*-44/12)+($K40*INDEX('DEFAULT DATA'!$DZ$9:$MG$41,START!$B$3,($L40+5))*-44/12)</f>
        <v>0</v>
      </c>
      <c r="AI40" s="221">
        <f>(($I40*INDEX('DEFAULT DATA'!$LD$9:$LI$41,START!$B$3,1)*-44/12)+($I40*INDEX('DEFAULT DATA'!$LD$9:$LI$41,START!$B$3,2)*-44/12)+($I40*INDEX('DEFAULT DATA'!$LD$9:$LI$41,START!$B$3,3)*-44/12)+($I40*INDEX('DEFAULT DATA'!$LD$9:$LI$41,START!$B$3,4)*-44/12)+($J40*INDEX('DEFAULT DATA'!$LD$9:$LI$41,START!$B$3,5)*-44/12)+($K40*INDEX('DEFAULT DATA'!$LD$9:$LI$41,START!$B$3,6)*-44/12))</f>
        <v>-0.13928082274505665</v>
      </c>
      <c r="AJ40" s="221">
        <f>(($I40*INDEX('DEFAULT DATA'!$LD$9:$LI$41,START!$B$3,1)*-44/12)+($I40*INDEX('DEFAULT DATA'!$LD$9:$LI$41,START!$B$3,2)*-44/12)+($I40*INDEX('DEFAULT DATA'!$LD$9:$LI$41,START!$B$3,3)*-44/12)+($I40*INDEX('DEFAULT DATA'!$LD$9:$LI$41,START!$B$3,4)*-44/12)+($J40*INDEX('DEFAULT DATA'!$LD$9:$LI$41,START!$B$3,5)*-44/12)+($K40*INDEX('DEFAULT DATA'!$LD$9:$LI$41,START!$B$3,6)*-44/12))</f>
        <v>-0.13928082274505665</v>
      </c>
      <c r="AK40" s="221">
        <f>(($I40*INDEX('DEFAULT DATA'!$LD$9:$LI$41,START!$B$3,1)*-44/12)+($I40*INDEX('DEFAULT DATA'!$LD$9:$LI$41,START!$B$3,2)*-44/12)+($I40*INDEX('DEFAULT DATA'!$LD$9:$LI$41,START!$B$3,3)*-44/12)+($I40*INDEX('DEFAULT DATA'!$LD$9:$LI$41,START!$B$3,4)*-44/12)+($J40*INDEX('DEFAULT DATA'!$LD$9:$LI$41,START!$B$3,5)*-44/12)+($K40*INDEX('DEFAULT DATA'!$LD$9:$LI$41,START!$B$3,6)*-44/12))</f>
        <v>-0.13928082274505665</v>
      </c>
      <c r="AL40" s="221">
        <f>(($I40*INDEX('DEFAULT DATA'!$LD$9:$LI$41,START!$B$3,1)*-44/12)+($I40*INDEX('DEFAULT DATA'!$LD$9:$LI$41,START!$B$3,2)*-44/12)+($I40*INDEX('DEFAULT DATA'!$LD$9:$LI$41,START!$B$3,3)*-44/12)+($I40*INDEX('DEFAULT DATA'!$LD$9:$LI$41,START!$B$3,4)*-44/12)+($J40*INDEX('DEFAULT DATA'!$LD$9:$LI$41,START!$B$3,5)*-44/12)+($K40*INDEX('DEFAULT DATA'!$LD$9:$LI$41,START!$B$3,6)*-44/12))</f>
        <v>-0.13928082274505665</v>
      </c>
      <c r="AM40" s="221">
        <f>(($I40*INDEX('DEFAULT DATA'!$LD$9:$LI$41,START!$B$3,1)*-44/12)+($I40*INDEX('DEFAULT DATA'!$LD$9:$LI$41,START!$B$3,2)*-44/12)+($I40*INDEX('DEFAULT DATA'!$LD$9:$LI$41,START!$B$3,3)*-44/12)+($I40*INDEX('DEFAULT DATA'!$LD$9:$LI$41,START!$B$3,4)*-44/12)+($J40*INDEX('DEFAULT DATA'!$LD$9:$LI$41,START!$B$3,5)*-44/12)+($K40*INDEX('DEFAULT DATA'!$LD$9:$LI$41,START!$B$3,6)*-44/12))</f>
        <v>-0.13928082274505665</v>
      </c>
      <c r="AN40" s="221">
        <f>(($I40*INDEX('DEFAULT DATA'!$LD$9:$LI$41,START!$B$3,1)*-44/12)+($I40*INDEX('DEFAULT DATA'!$LD$9:$LI$41,START!$B$3,2)*-44/12)+($I40*INDEX('DEFAULT DATA'!$LD$9:$LI$41,START!$B$3,3)*-44/12)+($I40*INDEX('DEFAULT DATA'!$LD$9:$LI$41,START!$B$3,4)*-44/12)+($J40*INDEX('DEFAULT DATA'!$LD$9:$LI$41,START!$B$3,5)*-44/12)+($K40*INDEX('DEFAULT DATA'!$LD$9:$LI$41,START!$B$3,6)*-44/12))</f>
        <v>-0.13928082274505665</v>
      </c>
      <c r="AO40" s="221">
        <f>(($I40*INDEX('DEFAULT DATA'!$LD$9:$LI$41,START!$B$3,1)*-44/12)+($I40*INDEX('DEFAULT DATA'!$LD$9:$LI$41,START!$B$3,2)*-44/12)+($I40*INDEX('DEFAULT DATA'!$LD$9:$LI$41,START!$B$3,3)*-44/12)+($I40*INDEX('DEFAULT DATA'!$LD$9:$LI$41,START!$B$3,4)*-44/12)+($J40*INDEX('DEFAULT DATA'!$LD$9:$LI$41,START!$B$3,5)*-44/12)+($K40*INDEX('DEFAULT DATA'!$LD$9:$LI$41,START!$B$3,6)*-44/12))</f>
        <v>-0.13928082274505665</v>
      </c>
      <c r="AP40" s="221">
        <f>(($I40*INDEX('DEFAULT DATA'!$LD$9:$LI$41,START!$B$3,1)*-44/12)+($I40*INDEX('DEFAULT DATA'!$LD$9:$LI$41,START!$B$3,2)*-44/12)+($I40*INDEX('DEFAULT DATA'!$LD$9:$LI$41,START!$B$3,3)*-44/12)+($I40*INDEX('DEFAULT DATA'!$LD$9:$LI$41,START!$B$3,4)*-44/12)+($J40*INDEX('DEFAULT DATA'!$LD$9:$LI$41,START!$B$3,5)*-44/12)+($K40*INDEX('DEFAULT DATA'!$LD$9:$LI$41,START!$B$3,6)*-44/12))</f>
        <v>-0.13928082274505665</v>
      </c>
      <c r="AQ40" s="221">
        <f>(($I40*INDEX('DEFAULT DATA'!$LD$9:$LI$41,START!$B$3,1)*-44/12)+($I40*INDEX('DEFAULT DATA'!$LD$9:$LI$41,START!$B$3,2)*-44/12)+($I40*INDEX('DEFAULT DATA'!$LD$9:$LI$41,START!$B$3,3)*-44/12)+($I40*INDEX('DEFAULT DATA'!$LD$9:$LI$41,START!$B$3,4)*-44/12)+($J40*INDEX('DEFAULT DATA'!$LD$9:$LI$41,START!$B$3,5)*-44/12)+($K40*INDEX('DEFAULT DATA'!$LD$9:$LI$41,START!$B$3,6)*-44/12))</f>
        <v>-0.13928082274505665</v>
      </c>
      <c r="AR40" s="552">
        <f>(($I40*INDEX('DEFAULT DATA'!$LD$9:$LI$41,START!$B$3,1)*-44/12)+($I40*INDEX('DEFAULT DATA'!$LD$9:$LI$41,START!$B$3,2)*-44/12)+($I40*INDEX('DEFAULT DATA'!$LD$9:$LI$41,START!$B$3,3)*-44/12)+($I40*INDEX('DEFAULT DATA'!$LD$9:$LI$41,START!$B$3,4)*-44/12)+($J40*INDEX('DEFAULT DATA'!$LD$9:$LI$41,START!$B$3,5)*-44/12)+($K40*INDEX('DEFAULT DATA'!$LD$9:$LI$41,START!$B$3,6)*-44/12))</f>
        <v>-0.13928082274505665</v>
      </c>
    </row>
    <row r="41" spans="1:44" ht="20.100000000000001" customHeight="1" thickBot="1">
      <c r="A41" s="240"/>
      <c r="B41" s="241"/>
      <c r="C41" s="241"/>
      <c r="D41" s="241"/>
      <c r="E41" s="241"/>
      <c r="F41" s="241"/>
      <c r="G41" s="241"/>
      <c r="H41" s="241"/>
      <c r="I41" s="514">
        <f t="shared" si="36"/>
        <v>2</v>
      </c>
      <c r="J41" s="511">
        <f t="shared" si="37"/>
        <v>1</v>
      </c>
      <c r="K41" s="511">
        <f t="shared" si="38"/>
        <v>1</v>
      </c>
      <c r="L41" s="384">
        <f t="shared" si="40"/>
        <v>43</v>
      </c>
      <c r="M41" s="535" t="s">
        <v>938</v>
      </c>
      <c r="N41" s="539">
        <f t="shared" si="39"/>
        <v>2022</v>
      </c>
      <c r="O41" s="221">
        <f>($I41*INDEX('DEFAULT DATA'!$DZ$9:$MG$41,START!$B$3,($L41))*-44/12)+($I41*INDEX('DEFAULT DATA'!$DZ$9:$MG$41,START!$B$3,($L41+1))*-44/12)+($I41*INDEX('DEFAULT DATA'!$DZ$9:$MG$41,START!$B$3,($L41+2))*-44/12)+($I41*INDEX('DEFAULT DATA'!$DZ$9:$MG$41,START!$B$3,($L41+3))*-44/12)+($J41*INDEX('DEFAULT DATA'!$DZ$9:$MG$41,START!$B$3,($L41+4))*-44/12)+($K41*INDEX('DEFAULT DATA'!$DZ$9:$MG$41,START!$B$3,($L41+5))*-44/12)</f>
        <v>0</v>
      </c>
      <c r="P41" s="221">
        <f>($I41*INDEX('DEFAULT DATA'!$DZ$9:$MG$41,START!$B$3,($L41))*-44/12)+($I41*INDEX('DEFAULT DATA'!$DZ$9:$MG$41,START!$B$3,($L41+1))*-44/12)+($I41*INDEX('DEFAULT DATA'!$DZ$9:$MG$41,START!$B$3,($L41+2))*-44/12)+($I41*INDEX('DEFAULT DATA'!$DZ$9:$MG$41,START!$B$3,($L41+3))*-44/12)+($J41*INDEX('DEFAULT DATA'!$DZ$9:$MG$41,START!$B$3,($L41+4))*-44/12)+($K41*INDEX('DEFAULT DATA'!$DZ$9:$MG$41,START!$B$3,($L41+5))*-44/12)</f>
        <v>0</v>
      </c>
      <c r="Q41" s="221">
        <f>($I41*INDEX('DEFAULT DATA'!$DZ$9:$MG$41,START!$B$3,($L41))*-44/12)+($I41*INDEX('DEFAULT DATA'!$DZ$9:$MG$41,START!$B$3,($L41+1))*-44/12)+($I41*INDEX('DEFAULT DATA'!$DZ$9:$MG$41,START!$B$3,($L41+2))*-44/12)+($I41*INDEX('DEFAULT DATA'!$DZ$9:$MG$41,START!$B$3,($L41+3))*-44/12)+($J41*INDEX('DEFAULT DATA'!$DZ$9:$MG$41,START!$B$3,($L41+4))*-44/12)+($K41*INDEX('DEFAULT DATA'!$DZ$9:$MG$41,START!$B$3,($L41+5))*-44/12)</f>
        <v>0</v>
      </c>
      <c r="R41" s="221">
        <f>($I41*INDEX('DEFAULT DATA'!$DZ$9:$MG$41,START!$B$3,($L41))*-44/12)+($I41*INDEX('DEFAULT DATA'!$DZ$9:$MG$41,START!$B$3,($L41+1))*-44/12)+($I41*INDEX('DEFAULT DATA'!$DZ$9:$MG$41,START!$B$3,($L41+2))*-44/12)+($I41*INDEX('DEFAULT DATA'!$DZ$9:$MG$41,START!$B$3,($L41+3))*-44/12)+($J41*INDEX('DEFAULT DATA'!$DZ$9:$MG$41,START!$B$3,($L41+4))*-44/12)+($K41*INDEX('DEFAULT DATA'!$DZ$9:$MG$41,START!$B$3,($L41+5))*-44/12)</f>
        <v>0</v>
      </c>
      <c r="S41" s="221">
        <f>($I41*INDEX('DEFAULT DATA'!$DZ$9:$MG$41,START!$B$3,($L41))*-44/12)+($I41*INDEX('DEFAULT DATA'!$DZ$9:$MG$41,START!$B$3,($L41+1))*-44/12)+($I41*INDEX('DEFAULT DATA'!$DZ$9:$MG$41,START!$B$3,($L41+2))*-44/12)+($I41*INDEX('DEFAULT DATA'!$DZ$9:$MG$41,START!$B$3,($L41+3))*-44/12)+($J41*INDEX('DEFAULT DATA'!$DZ$9:$MG$41,START!$B$3,($L41+4))*-44/12)+($K41*INDEX('DEFAULT DATA'!$DZ$9:$MG$41,START!$B$3,($L41+5))*-44/12)</f>
        <v>0</v>
      </c>
      <c r="T41" s="221">
        <f>($I41*INDEX('DEFAULT DATA'!$DZ$9:$MG$41,START!$B$3,($L41))*-44/12)+($I41*INDEX('DEFAULT DATA'!$DZ$9:$MG$41,START!$B$3,($L41+1))*-44/12)+($I41*INDEX('DEFAULT DATA'!$DZ$9:$MG$41,START!$B$3,($L41+2))*-44/12)+($I41*INDEX('DEFAULT DATA'!$DZ$9:$MG$41,START!$B$3,($L41+3))*-44/12)+($J41*INDEX('DEFAULT DATA'!$DZ$9:$MG$41,START!$B$3,($L41+4))*-44/12)+($K41*INDEX('DEFAULT DATA'!$DZ$9:$MG$41,START!$B$3,($L41+5))*-44/12)</f>
        <v>0</v>
      </c>
      <c r="U41" s="221">
        <f>($I41*INDEX('DEFAULT DATA'!$DZ$9:$MG$41,START!$B$3,($L41))*-44/12)+($I41*INDEX('DEFAULT DATA'!$DZ$9:$MG$41,START!$B$3,($L41+1))*-44/12)+($I41*INDEX('DEFAULT DATA'!$DZ$9:$MG$41,START!$B$3,($L41+2))*-44/12)+($I41*INDEX('DEFAULT DATA'!$DZ$9:$MG$41,START!$B$3,($L41+3))*-44/12)+($J41*INDEX('DEFAULT DATA'!$DZ$9:$MG$41,START!$B$3,($L41+4))*-44/12)+($K41*INDEX('DEFAULT DATA'!$DZ$9:$MG$41,START!$B$3,($L41+5))*-44/12)</f>
        <v>0</v>
      </c>
      <c r="V41" s="221">
        <f>($I41*INDEX('DEFAULT DATA'!$DZ$9:$MG$41,START!$B$3,($L41))*-44/12)+($I41*INDEX('DEFAULT DATA'!$DZ$9:$MG$41,START!$B$3,($L41+1))*-44/12)+($I41*INDEX('DEFAULT DATA'!$DZ$9:$MG$41,START!$B$3,($L41+2))*-44/12)+($I41*INDEX('DEFAULT DATA'!$DZ$9:$MG$41,START!$B$3,($L41+3))*-44/12)+($J41*INDEX('DEFAULT DATA'!$DZ$9:$MG$41,START!$B$3,($L41+4))*-44/12)+($K41*INDEX('DEFAULT DATA'!$DZ$9:$MG$41,START!$B$3,($L41+5))*-44/12)</f>
        <v>0</v>
      </c>
      <c r="W41" s="221">
        <f>($I41*INDEX('DEFAULT DATA'!$DZ$9:$MG$41,START!$B$3,($L41))*-44/12)+($I41*INDEX('DEFAULT DATA'!$DZ$9:$MG$41,START!$B$3,($L41+1))*-44/12)+($I41*INDEX('DEFAULT DATA'!$DZ$9:$MG$41,START!$B$3,($L41+2))*-44/12)+($I41*INDEX('DEFAULT DATA'!$DZ$9:$MG$41,START!$B$3,($L41+3))*-44/12)+($J41*INDEX('DEFAULT DATA'!$DZ$9:$MG$41,START!$B$3,($L41+4))*-44/12)+($K41*INDEX('DEFAULT DATA'!$DZ$9:$MG$41,START!$B$3,($L41+5))*-44/12)</f>
        <v>0</v>
      </c>
      <c r="X41" s="221">
        <f>($I41*INDEX('DEFAULT DATA'!$DZ$9:$MG$41,START!$B$3,($L41))*-44/12)+($I41*INDEX('DEFAULT DATA'!$DZ$9:$MG$41,START!$B$3,($L41+1))*-44/12)+($I41*INDEX('DEFAULT DATA'!$DZ$9:$MG$41,START!$B$3,($L41+2))*-44/12)+($I41*INDEX('DEFAULT DATA'!$DZ$9:$MG$41,START!$B$3,($L41+3))*-44/12)+($J41*INDEX('DEFAULT DATA'!$DZ$9:$MG$41,START!$B$3,($L41+4))*-44/12)+($K41*INDEX('DEFAULT DATA'!$DZ$9:$MG$41,START!$B$3,($L41+5))*-44/12)</f>
        <v>0</v>
      </c>
      <c r="Y41" s="221">
        <f>($I41*INDEX('DEFAULT DATA'!$DZ$9:$MG$41,START!$B$3,($L41))*-44/12)+($I41*INDEX('DEFAULT DATA'!$DZ$9:$MG$41,START!$B$3,($L41+1))*-44/12)+($I41*INDEX('DEFAULT DATA'!$DZ$9:$MG$41,START!$B$3,($L41+2))*-44/12)+($I41*INDEX('DEFAULT DATA'!$DZ$9:$MG$41,START!$B$3,($L41+3))*-44/12)+($J41*INDEX('DEFAULT DATA'!$DZ$9:$MG$41,START!$B$3,($L41+4))*-44/12)+($K41*INDEX('DEFAULT DATA'!$DZ$9:$MG$41,START!$B$3,($L41+5))*-44/12)</f>
        <v>0</v>
      </c>
      <c r="Z41" s="221">
        <f>($I41*INDEX('DEFAULT DATA'!$DZ$9:$MG$41,START!$B$3,($L41))*-44/12)+($I41*INDEX('DEFAULT DATA'!$DZ$9:$MG$41,START!$B$3,($L41+1))*-44/12)+($I41*INDEX('DEFAULT DATA'!$DZ$9:$MG$41,START!$B$3,($L41+2))*-44/12)+($I41*INDEX('DEFAULT DATA'!$DZ$9:$MG$41,START!$B$3,($L41+3))*-44/12)+($J41*INDEX('DEFAULT DATA'!$DZ$9:$MG$41,START!$B$3,($L41+4))*-44/12)+($K41*INDEX('DEFAULT DATA'!$DZ$9:$MG$41,START!$B$3,($L41+5))*-44/12)</f>
        <v>0</v>
      </c>
      <c r="AA41" s="221">
        <f>($I41*INDEX('DEFAULT DATA'!$DZ$9:$MG$41,START!$B$3,($L41))*-44/12)+($I41*INDEX('DEFAULT DATA'!$DZ$9:$MG$41,START!$B$3,($L41+1))*-44/12)+($I41*INDEX('DEFAULT DATA'!$DZ$9:$MG$41,START!$B$3,($L41+2))*-44/12)+($I41*INDEX('DEFAULT DATA'!$DZ$9:$MG$41,START!$B$3,($L41+3))*-44/12)+($J41*INDEX('DEFAULT DATA'!$DZ$9:$MG$41,START!$B$3,($L41+4))*-44/12)+($K41*INDEX('DEFAULT DATA'!$DZ$9:$MG$41,START!$B$3,($L41+5))*-44/12)</f>
        <v>0</v>
      </c>
      <c r="AB41" s="221">
        <f>($I41*INDEX('DEFAULT DATA'!$DZ$9:$MG$41,START!$B$3,($L41))*-44/12)+($I41*INDEX('DEFAULT DATA'!$DZ$9:$MG$41,START!$B$3,($L41+1))*-44/12)+($I41*INDEX('DEFAULT DATA'!$DZ$9:$MG$41,START!$B$3,($L41+2))*-44/12)+($I41*INDEX('DEFAULT DATA'!$DZ$9:$MG$41,START!$B$3,($L41+3))*-44/12)+($J41*INDEX('DEFAULT DATA'!$DZ$9:$MG$41,START!$B$3,($L41+4))*-44/12)+($K41*INDEX('DEFAULT DATA'!$DZ$9:$MG$41,START!$B$3,($L41+5))*-44/12)</f>
        <v>0</v>
      </c>
      <c r="AC41" s="221">
        <f>($I41*INDEX('DEFAULT DATA'!$DZ$9:$MG$41,START!$B$3,($L41))*-44/12)+($I41*INDEX('DEFAULT DATA'!$DZ$9:$MG$41,START!$B$3,($L41+1))*-44/12)+($I41*INDEX('DEFAULT DATA'!$DZ$9:$MG$41,START!$B$3,($L41+2))*-44/12)+($I41*INDEX('DEFAULT DATA'!$DZ$9:$MG$41,START!$B$3,($L41+3))*-44/12)+($J41*INDEX('DEFAULT DATA'!$DZ$9:$MG$41,START!$B$3,($L41+4))*-44/12)+($K41*INDEX('DEFAULT DATA'!$DZ$9:$MG$41,START!$B$3,($L41+5))*-44/12)</f>
        <v>0</v>
      </c>
      <c r="AD41" s="221">
        <f>($I41*INDEX('DEFAULT DATA'!$DZ$9:$MG$41,START!$B$3,($L41))*-44/12)+($I41*INDEX('DEFAULT DATA'!$DZ$9:$MG$41,START!$B$3,($L41+1))*-44/12)+($I41*INDEX('DEFAULT DATA'!$DZ$9:$MG$41,START!$B$3,($L41+2))*-44/12)+($I41*INDEX('DEFAULT DATA'!$DZ$9:$MG$41,START!$B$3,($L41+3))*-44/12)+($J41*INDEX('DEFAULT DATA'!$DZ$9:$MG$41,START!$B$3,($L41+4))*-44/12)+($K41*INDEX('DEFAULT DATA'!$DZ$9:$MG$41,START!$B$3,($L41+5))*-44/12)</f>
        <v>0</v>
      </c>
      <c r="AE41" s="221">
        <f>($I41*INDEX('DEFAULT DATA'!$DZ$9:$MG$41,START!$B$3,($L41))*-44/12)+($I41*INDEX('DEFAULT DATA'!$DZ$9:$MG$41,START!$B$3,($L41+1))*-44/12)+($I41*INDEX('DEFAULT DATA'!$DZ$9:$MG$41,START!$B$3,($L41+2))*-44/12)+($I41*INDEX('DEFAULT DATA'!$DZ$9:$MG$41,START!$B$3,($L41+3))*-44/12)+($J41*INDEX('DEFAULT DATA'!$DZ$9:$MG$41,START!$B$3,($L41+4))*-44/12)+($K41*INDEX('DEFAULT DATA'!$DZ$9:$MG$41,START!$B$3,($L41+5))*-44/12)</f>
        <v>0</v>
      </c>
      <c r="AF41" s="221">
        <f>($I41*INDEX('DEFAULT DATA'!$DZ$9:$MG$41,START!$B$3,($L41))*-44/12)+($I41*INDEX('DEFAULT DATA'!$DZ$9:$MG$41,START!$B$3,($L41+1))*-44/12)+($I41*INDEX('DEFAULT DATA'!$DZ$9:$MG$41,START!$B$3,($L41+2))*-44/12)+($I41*INDEX('DEFAULT DATA'!$DZ$9:$MG$41,START!$B$3,($L41+3))*-44/12)+($J41*INDEX('DEFAULT DATA'!$DZ$9:$MG$41,START!$B$3,($L41+4))*-44/12)+($K41*INDEX('DEFAULT DATA'!$DZ$9:$MG$41,START!$B$3,($L41+5))*-44/12)</f>
        <v>0</v>
      </c>
      <c r="AG41" s="221">
        <f>($I41*INDEX('DEFAULT DATA'!$DZ$9:$MG$41,START!$B$3,($L41))*-44/12)+($I41*INDEX('DEFAULT DATA'!$DZ$9:$MG$41,START!$B$3,($L41+1))*-44/12)+($I41*INDEX('DEFAULT DATA'!$DZ$9:$MG$41,START!$B$3,($L41+2))*-44/12)+($I41*INDEX('DEFAULT DATA'!$DZ$9:$MG$41,START!$B$3,($L41+3))*-44/12)+($J41*INDEX('DEFAULT DATA'!$DZ$9:$MG$41,START!$B$3,($L41+4))*-44/12)+($K41*INDEX('DEFAULT DATA'!$DZ$9:$MG$41,START!$B$3,($L41+5))*-44/12)</f>
        <v>0</v>
      </c>
      <c r="AH41" s="221">
        <f>($I41*INDEX('DEFAULT DATA'!$DZ$9:$MG$41,START!$B$3,($L41))*-44/12)+($I41*INDEX('DEFAULT DATA'!$DZ$9:$MG$41,START!$B$3,($L41+1))*-44/12)+($I41*INDEX('DEFAULT DATA'!$DZ$9:$MG$41,START!$B$3,($L41+2))*-44/12)+($I41*INDEX('DEFAULT DATA'!$DZ$9:$MG$41,START!$B$3,($L41+3))*-44/12)+($J41*INDEX('DEFAULT DATA'!$DZ$9:$MG$41,START!$B$3,($L41+4))*-44/12)+($K41*INDEX('DEFAULT DATA'!$DZ$9:$MG$41,START!$B$3,($L41+5))*-44/12)</f>
        <v>0</v>
      </c>
      <c r="AI41" s="221">
        <f>(($I41*INDEX('DEFAULT DATA'!$LD$9:$LI$41,START!$B$3,1)*-44/12)+($I41*INDEX('DEFAULT DATA'!$LD$9:$LI$41,START!$B$3,2)*-44/12)+($I41*INDEX('DEFAULT DATA'!$LD$9:$LI$41,START!$B$3,3)*-44/12)+($I41*INDEX('DEFAULT DATA'!$LD$9:$LI$41,START!$B$3,4)*-44/12)+($J41*INDEX('DEFAULT DATA'!$LD$9:$LI$41,START!$B$3,5)*-44/12)+($K41*INDEX('DEFAULT DATA'!$LD$9:$LI$41,START!$B$3,6)*-44/12))</f>
        <v>-0.13928082274505665</v>
      </c>
      <c r="AJ41" s="221">
        <f>(($I41*INDEX('DEFAULT DATA'!$LD$9:$LI$41,START!$B$3,1)*-44/12)+($I41*INDEX('DEFAULT DATA'!$LD$9:$LI$41,START!$B$3,2)*-44/12)+($I41*INDEX('DEFAULT DATA'!$LD$9:$LI$41,START!$B$3,3)*-44/12)+($I41*INDEX('DEFAULT DATA'!$LD$9:$LI$41,START!$B$3,4)*-44/12)+($J41*INDEX('DEFAULT DATA'!$LD$9:$LI$41,START!$B$3,5)*-44/12)+($K41*INDEX('DEFAULT DATA'!$LD$9:$LI$41,START!$B$3,6)*-44/12))</f>
        <v>-0.13928082274505665</v>
      </c>
      <c r="AK41" s="221">
        <f>(($I41*INDEX('DEFAULT DATA'!$LD$9:$LI$41,START!$B$3,1)*-44/12)+($I41*INDEX('DEFAULT DATA'!$LD$9:$LI$41,START!$B$3,2)*-44/12)+($I41*INDEX('DEFAULT DATA'!$LD$9:$LI$41,START!$B$3,3)*-44/12)+($I41*INDEX('DEFAULT DATA'!$LD$9:$LI$41,START!$B$3,4)*-44/12)+($J41*INDEX('DEFAULT DATA'!$LD$9:$LI$41,START!$B$3,5)*-44/12)+($K41*INDEX('DEFAULT DATA'!$LD$9:$LI$41,START!$B$3,6)*-44/12))</f>
        <v>-0.13928082274505665</v>
      </c>
      <c r="AL41" s="221">
        <f>(($I41*INDEX('DEFAULT DATA'!$LD$9:$LI$41,START!$B$3,1)*-44/12)+($I41*INDEX('DEFAULT DATA'!$LD$9:$LI$41,START!$B$3,2)*-44/12)+($I41*INDEX('DEFAULT DATA'!$LD$9:$LI$41,START!$B$3,3)*-44/12)+($I41*INDEX('DEFAULT DATA'!$LD$9:$LI$41,START!$B$3,4)*-44/12)+($J41*INDEX('DEFAULT DATA'!$LD$9:$LI$41,START!$B$3,5)*-44/12)+($K41*INDEX('DEFAULT DATA'!$LD$9:$LI$41,START!$B$3,6)*-44/12))</f>
        <v>-0.13928082274505665</v>
      </c>
      <c r="AM41" s="221">
        <f>(($I41*INDEX('DEFAULT DATA'!$LD$9:$LI$41,START!$B$3,1)*-44/12)+($I41*INDEX('DEFAULT DATA'!$LD$9:$LI$41,START!$B$3,2)*-44/12)+($I41*INDEX('DEFAULT DATA'!$LD$9:$LI$41,START!$B$3,3)*-44/12)+($I41*INDEX('DEFAULT DATA'!$LD$9:$LI$41,START!$B$3,4)*-44/12)+($J41*INDEX('DEFAULT DATA'!$LD$9:$LI$41,START!$B$3,5)*-44/12)+($K41*INDEX('DEFAULT DATA'!$LD$9:$LI$41,START!$B$3,6)*-44/12))</f>
        <v>-0.13928082274505665</v>
      </c>
      <c r="AN41" s="221">
        <f>(($I41*INDEX('DEFAULT DATA'!$LD$9:$LI$41,START!$B$3,1)*-44/12)+($I41*INDEX('DEFAULT DATA'!$LD$9:$LI$41,START!$B$3,2)*-44/12)+($I41*INDEX('DEFAULT DATA'!$LD$9:$LI$41,START!$B$3,3)*-44/12)+($I41*INDEX('DEFAULT DATA'!$LD$9:$LI$41,START!$B$3,4)*-44/12)+($J41*INDEX('DEFAULT DATA'!$LD$9:$LI$41,START!$B$3,5)*-44/12)+($K41*INDEX('DEFAULT DATA'!$LD$9:$LI$41,START!$B$3,6)*-44/12))</f>
        <v>-0.13928082274505665</v>
      </c>
      <c r="AO41" s="221">
        <f>(($I41*INDEX('DEFAULT DATA'!$LD$9:$LI$41,START!$B$3,1)*-44/12)+($I41*INDEX('DEFAULT DATA'!$LD$9:$LI$41,START!$B$3,2)*-44/12)+($I41*INDEX('DEFAULT DATA'!$LD$9:$LI$41,START!$B$3,3)*-44/12)+($I41*INDEX('DEFAULT DATA'!$LD$9:$LI$41,START!$B$3,4)*-44/12)+($J41*INDEX('DEFAULT DATA'!$LD$9:$LI$41,START!$B$3,5)*-44/12)+($K41*INDEX('DEFAULT DATA'!$LD$9:$LI$41,START!$B$3,6)*-44/12))</f>
        <v>-0.13928082274505665</v>
      </c>
      <c r="AP41" s="221">
        <f>(($I41*INDEX('DEFAULT DATA'!$LD$9:$LI$41,START!$B$3,1)*-44/12)+($I41*INDEX('DEFAULT DATA'!$LD$9:$LI$41,START!$B$3,2)*-44/12)+($I41*INDEX('DEFAULT DATA'!$LD$9:$LI$41,START!$B$3,3)*-44/12)+($I41*INDEX('DEFAULT DATA'!$LD$9:$LI$41,START!$B$3,4)*-44/12)+($J41*INDEX('DEFAULT DATA'!$LD$9:$LI$41,START!$B$3,5)*-44/12)+($K41*INDEX('DEFAULT DATA'!$LD$9:$LI$41,START!$B$3,6)*-44/12))</f>
        <v>-0.13928082274505665</v>
      </c>
      <c r="AQ41" s="221">
        <f>(($I41*INDEX('DEFAULT DATA'!$LD$9:$LI$41,START!$B$3,1)*-44/12)+($I41*INDEX('DEFAULT DATA'!$LD$9:$LI$41,START!$B$3,2)*-44/12)+($I41*INDEX('DEFAULT DATA'!$LD$9:$LI$41,START!$B$3,3)*-44/12)+($I41*INDEX('DEFAULT DATA'!$LD$9:$LI$41,START!$B$3,4)*-44/12)+($J41*INDEX('DEFAULT DATA'!$LD$9:$LI$41,START!$B$3,5)*-44/12)+($K41*INDEX('DEFAULT DATA'!$LD$9:$LI$41,START!$B$3,6)*-44/12))</f>
        <v>-0.13928082274505665</v>
      </c>
      <c r="AR41" s="552">
        <f>(($I41*INDEX('DEFAULT DATA'!$LD$9:$LI$41,START!$B$3,1)*-44/12)+($I41*INDEX('DEFAULT DATA'!$LD$9:$LI$41,START!$B$3,2)*-44/12)+($I41*INDEX('DEFAULT DATA'!$LD$9:$LI$41,START!$B$3,3)*-44/12)+($I41*INDEX('DEFAULT DATA'!$LD$9:$LI$41,START!$B$3,4)*-44/12)+($J41*INDEX('DEFAULT DATA'!$LD$9:$LI$41,START!$B$3,5)*-44/12)+($K41*INDEX('DEFAULT DATA'!$LD$9:$LI$41,START!$B$3,6)*-44/12))</f>
        <v>-0.13928082274505665</v>
      </c>
    </row>
    <row r="42" spans="1:44" ht="20.100000000000001" customHeight="1" thickBot="1">
      <c r="A42" s="620" t="s">
        <v>454</v>
      </c>
      <c r="B42" s="621"/>
      <c r="C42" s="621"/>
      <c r="D42" s="621"/>
      <c r="E42" s="621"/>
      <c r="F42" s="621"/>
      <c r="G42" s="621"/>
      <c r="H42" s="621"/>
      <c r="I42" s="514">
        <f t="shared" si="36"/>
        <v>2</v>
      </c>
      <c r="J42" s="511">
        <f t="shared" si="37"/>
        <v>1</v>
      </c>
      <c r="K42" s="511">
        <f t="shared" si="38"/>
        <v>1</v>
      </c>
      <c r="L42" s="384">
        <f t="shared" si="40"/>
        <v>49</v>
      </c>
      <c r="M42" s="535" t="s">
        <v>939</v>
      </c>
      <c r="N42" s="539">
        <f t="shared" si="39"/>
        <v>2022</v>
      </c>
      <c r="O42" s="221">
        <f>($I42*INDEX('DEFAULT DATA'!$DZ$9:$MG$41,START!$B$3,($L42))*-44/12)+($I42*INDEX('DEFAULT DATA'!$DZ$9:$MG$41,START!$B$3,($L42+1))*-44/12)+($I42*INDEX('DEFAULT DATA'!$DZ$9:$MG$41,START!$B$3,($L42+2))*-44/12)+($I42*INDEX('DEFAULT DATA'!$DZ$9:$MG$41,START!$B$3,($L42+3))*-44/12)+($J42*INDEX('DEFAULT DATA'!$DZ$9:$MG$41,START!$B$3,($L42+4))*-44/12)+($K42*INDEX('DEFAULT DATA'!$DZ$9:$MG$41,START!$B$3,($L42+5))*-44/12)</f>
        <v>0</v>
      </c>
      <c r="P42" s="221">
        <f>($I42*INDEX('DEFAULT DATA'!$DZ$9:$MG$41,START!$B$3,($L42))*-44/12)+($I42*INDEX('DEFAULT DATA'!$DZ$9:$MG$41,START!$B$3,($L42+1))*-44/12)+($I42*INDEX('DEFAULT DATA'!$DZ$9:$MG$41,START!$B$3,($L42+2))*-44/12)+($I42*INDEX('DEFAULT DATA'!$DZ$9:$MG$41,START!$B$3,($L42+3))*-44/12)+($J42*INDEX('DEFAULT DATA'!$DZ$9:$MG$41,START!$B$3,($L42+4))*-44/12)+($K42*INDEX('DEFAULT DATA'!$DZ$9:$MG$41,START!$B$3,($L42+5))*-44/12)</f>
        <v>0</v>
      </c>
      <c r="Q42" s="221">
        <f>($I42*INDEX('DEFAULT DATA'!$DZ$9:$MG$41,START!$B$3,($L42))*-44/12)+($I42*INDEX('DEFAULT DATA'!$DZ$9:$MG$41,START!$B$3,($L42+1))*-44/12)+($I42*INDEX('DEFAULT DATA'!$DZ$9:$MG$41,START!$B$3,($L42+2))*-44/12)+($I42*INDEX('DEFAULT DATA'!$DZ$9:$MG$41,START!$B$3,($L42+3))*-44/12)+($J42*INDEX('DEFAULT DATA'!$DZ$9:$MG$41,START!$B$3,($L42+4))*-44/12)+($K42*INDEX('DEFAULT DATA'!$DZ$9:$MG$41,START!$B$3,($L42+5))*-44/12)</f>
        <v>0</v>
      </c>
      <c r="R42" s="221">
        <f>($I42*INDEX('DEFAULT DATA'!$DZ$9:$MG$41,START!$B$3,($L42))*-44/12)+($I42*INDEX('DEFAULT DATA'!$DZ$9:$MG$41,START!$B$3,($L42+1))*-44/12)+($I42*INDEX('DEFAULT DATA'!$DZ$9:$MG$41,START!$B$3,($L42+2))*-44/12)+($I42*INDEX('DEFAULT DATA'!$DZ$9:$MG$41,START!$B$3,($L42+3))*-44/12)+($J42*INDEX('DEFAULT DATA'!$DZ$9:$MG$41,START!$B$3,($L42+4))*-44/12)+($K42*INDEX('DEFAULT DATA'!$DZ$9:$MG$41,START!$B$3,($L42+5))*-44/12)</f>
        <v>0</v>
      </c>
      <c r="S42" s="221">
        <f>($I42*INDEX('DEFAULT DATA'!$DZ$9:$MG$41,START!$B$3,($L42))*-44/12)+($I42*INDEX('DEFAULT DATA'!$DZ$9:$MG$41,START!$B$3,($L42+1))*-44/12)+($I42*INDEX('DEFAULT DATA'!$DZ$9:$MG$41,START!$B$3,($L42+2))*-44/12)+($I42*INDEX('DEFAULT DATA'!$DZ$9:$MG$41,START!$B$3,($L42+3))*-44/12)+($J42*INDEX('DEFAULT DATA'!$DZ$9:$MG$41,START!$B$3,($L42+4))*-44/12)+($K42*INDEX('DEFAULT DATA'!$DZ$9:$MG$41,START!$B$3,($L42+5))*-44/12)</f>
        <v>0</v>
      </c>
      <c r="T42" s="221">
        <f>($I42*INDEX('DEFAULT DATA'!$DZ$9:$MG$41,START!$B$3,($L42))*-44/12)+($I42*INDEX('DEFAULT DATA'!$DZ$9:$MG$41,START!$B$3,($L42+1))*-44/12)+($I42*INDEX('DEFAULT DATA'!$DZ$9:$MG$41,START!$B$3,($L42+2))*-44/12)+($I42*INDEX('DEFAULT DATA'!$DZ$9:$MG$41,START!$B$3,($L42+3))*-44/12)+($J42*INDEX('DEFAULT DATA'!$DZ$9:$MG$41,START!$B$3,($L42+4))*-44/12)+($K42*INDEX('DEFAULT DATA'!$DZ$9:$MG$41,START!$B$3,($L42+5))*-44/12)</f>
        <v>0</v>
      </c>
      <c r="U42" s="221">
        <f>($I42*INDEX('DEFAULT DATA'!$DZ$9:$MG$41,START!$B$3,($L42))*-44/12)+($I42*INDEX('DEFAULT DATA'!$DZ$9:$MG$41,START!$B$3,($L42+1))*-44/12)+($I42*INDEX('DEFAULT DATA'!$DZ$9:$MG$41,START!$B$3,($L42+2))*-44/12)+($I42*INDEX('DEFAULT DATA'!$DZ$9:$MG$41,START!$B$3,($L42+3))*-44/12)+($J42*INDEX('DEFAULT DATA'!$DZ$9:$MG$41,START!$B$3,($L42+4))*-44/12)+($K42*INDEX('DEFAULT DATA'!$DZ$9:$MG$41,START!$B$3,($L42+5))*-44/12)</f>
        <v>0</v>
      </c>
      <c r="V42" s="221">
        <f>($I42*INDEX('DEFAULT DATA'!$DZ$9:$MG$41,START!$B$3,($L42))*-44/12)+($I42*INDEX('DEFAULT DATA'!$DZ$9:$MG$41,START!$B$3,($L42+1))*-44/12)+($I42*INDEX('DEFAULT DATA'!$DZ$9:$MG$41,START!$B$3,($L42+2))*-44/12)+($I42*INDEX('DEFAULT DATA'!$DZ$9:$MG$41,START!$B$3,($L42+3))*-44/12)+($J42*INDEX('DEFAULT DATA'!$DZ$9:$MG$41,START!$B$3,($L42+4))*-44/12)+($K42*INDEX('DEFAULT DATA'!$DZ$9:$MG$41,START!$B$3,($L42+5))*-44/12)</f>
        <v>0</v>
      </c>
      <c r="W42" s="221">
        <f>($I42*INDEX('DEFAULT DATA'!$DZ$9:$MG$41,START!$B$3,($L42))*-44/12)+($I42*INDEX('DEFAULT DATA'!$DZ$9:$MG$41,START!$B$3,($L42+1))*-44/12)+($I42*INDEX('DEFAULT DATA'!$DZ$9:$MG$41,START!$B$3,($L42+2))*-44/12)+($I42*INDEX('DEFAULT DATA'!$DZ$9:$MG$41,START!$B$3,($L42+3))*-44/12)+($J42*INDEX('DEFAULT DATA'!$DZ$9:$MG$41,START!$B$3,($L42+4))*-44/12)+($K42*INDEX('DEFAULT DATA'!$DZ$9:$MG$41,START!$B$3,($L42+5))*-44/12)</f>
        <v>0</v>
      </c>
      <c r="X42" s="221">
        <f>($I42*INDEX('DEFAULT DATA'!$DZ$9:$MG$41,START!$B$3,($L42))*-44/12)+($I42*INDEX('DEFAULT DATA'!$DZ$9:$MG$41,START!$B$3,($L42+1))*-44/12)+($I42*INDEX('DEFAULT DATA'!$DZ$9:$MG$41,START!$B$3,($L42+2))*-44/12)+($I42*INDEX('DEFAULT DATA'!$DZ$9:$MG$41,START!$B$3,($L42+3))*-44/12)+($J42*INDEX('DEFAULT DATA'!$DZ$9:$MG$41,START!$B$3,($L42+4))*-44/12)+($K42*INDEX('DEFAULT DATA'!$DZ$9:$MG$41,START!$B$3,($L42+5))*-44/12)</f>
        <v>0</v>
      </c>
      <c r="Y42" s="221">
        <f>($I42*INDEX('DEFAULT DATA'!$DZ$9:$MG$41,START!$B$3,($L42))*-44/12)+($I42*INDEX('DEFAULT DATA'!$DZ$9:$MG$41,START!$B$3,($L42+1))*-44/12)+($I42*INDEX('DEFAULT DATA'!$DZ$9:$MG$41,START!$B$3,($L42+2))*-44/12)+($I42*INDEX('DEFAULT DATA'!$DZ$9:$MG$41,START!$B$3,($L42+3))*-44/12)+($J42*INDEX('DEFAULT DATA'!$DZ$9:$MG$41,START!$B$3,($L42+4))*-44/12)+($K42*INDEX('DEFAULT DATA'!$DZ$9:$MG$41,START!$B$3,($L42+5))*-44/12)</f>
        <v>0</v>
      </c>
      <c r="Z42" s="221">
        <f>($I42*INDEX('DEFAULT DATA'!$DZ$9:$MG$41,START!$B$3,($L42))*-44/12)+($I42*INDEX('DEFAULT DATA'!$DZ$9:$MG$41,START!$B$3,($L42+1))*-44/12)+($I42*INDEX('DEFAULT DATA'!$DZ$9:$MG$41,START!$B$3,($L42+2))*-44/12)+($I42*INDEX('DEFAULT DATA'!$DZ$9:$MG$41,START!$B$3,($L42+3))*-44/12)+($J42*INDEX('DEFAULT DATA'!$DZ$9:$MG$41,START!$B$3,($L42+4))*-44/12)+($K42*INDEX('DEFAULT DATA'!$DZ$9:$MG$41,START!$B$3,($L42+5))*-44/12)</f>
        <v>0</v>
      </c>
      <c r="AA42" s="221">
        <f>($I42*INDEX('DEFAULT DATA'!$DZ$9:$MG$41,START!$B$3,($L42))*-44/12)+($I42*INDEX('DEFAULT DATA'!$DZ$9:$MG$41,START!$B$3,($L42+1))*-44/12)+($I42*INDEX('DEFAULT DATA'!$DZ$9:$MG$41,START!$B$3,($L42+2))*-44/12)+($I42*INDEX('DEFAULT DATA'!$DZ$9:$MG$41,START!$B$3,($L42+3))*-44/12)+($J42*INDEX('DEFAULT DATA'!$DZ$9:$MG$41,START!$B$3,($L42+4))*-44/12)+($K42*INDEX('DEFAULT DATA'!$DZ$9:$MG$41,START!$B$3,($L42+5))*-44/12)</f>
        <v>0</v>
      </c>
      <c r="AB42" s="221">
        <f>($I42*INDEX('DEFAULT DATA'!$DZ$9:$MG$41,START!$B$3,($L42))*-44/12)+($I42*INDEX('DEFAULT DATA'!$DZ$9:$MG$41,START!$B$3,($L42+1))*-44/12)+($I42*INDEX('DEFAULT DATA'!$DZ$9:$MG$41,START!$B$3,($L42+2))*-44/12)+($I42*INDEX('DEFAULT DATA'!$DZ$9:$MG$41,START!$B$3,($L42+3))*-44/12)+($J42*INDEX('DEFAULT DATA'!$DZ$9:$MG$41,START!$B$3,($L42+4))*-44/12)+($K42*INDEX('DEFAULT DATA'!$DZ$9:$MG$41,START!$B$3,($L42+5))*-44/12)</f>
        <v>0</v>
      </c>
      <c r="AC42" s="221">
        <f>($I42*INDEX('DEFAULT DATA'!$DZ$9:$MG$41,START!$B$3,($L42))*-44/12)+($I42*INDEX('DEFAULT DATA'!$DZ$9:$MG$41,START!$B$3,($L42+1))*-44/12)+($I42*INDEX('DEFAULT DATA'!$DZ$9:$MG$41,START!$B$3,($L42+2))*-44/12)+($I42*INDEX('DEFAULT DATA'!$DZ$9:$MG$41,START!$B$3,($L42+3))*-44/12)+($J42*INDEX('DEFAULT DATA'!$DZ$9:$MG$41,START!$B$3,($L42+4))*-44/12)+($K42*INDEX('DEFAULT DATA'!$DZ$9:$MG$41,START!$B$3,($L42+5))*-44/12)</f>
        <v>0</v>
      </c>
      <c r="AD42" s="221">
        <f>($I42*INDEX('DEFAULT DATA'!$DZ$9:$MG$41,START!$B$3,($L42))*-44/12)+($I42*INDEX('DEFAULT DATA'!$DZ$9:$MG$41,START!$B$3,($L42+1))*-44/12)+($I42*INDEX('DEFAULT DATA'!$DZ$9:$MG$41,START!$B$3,($L42+2))*-44/12)+($I42*INDEX('DEFAULT DATA'!$DZ$9:$MG$41,START!$B$3,($L42+3))*-44/12)+($J42*INDEX('DEFAULT DATA'!$DZ$9:$MG$41,START!$B$3,($L42+4))*-44/12)+($K42*INDEX('DEFAULT DATA'!$DZ$9:$MG$41,START!$B$3,($L42+5))*-44/12)</f>
        <v>0</v>
      </c>
      <c r="AE42" s="221">
        <f>($I42*INDEX('DEFAULT DATA'!$DZ$9:$MG$41,START!$B$3,($L42))*-44/12)+($I42*INDEX('DEFAULT DATA'!$DZ$9:$MG$41,START!$B$3,($L42+1))*-44/12)+($I42*INDEX('DEFAULT DATA'!$DZ$9:$MG$41,START!$B$3,($L42+2))*-44/12)+($I42*INDEX('DEFAULT DATA'!$DZ$9:$MG$41,START!$B$3,($L42+3))*-44/12)+($J42*INDEX('DEFAULT DATA'!$DZ$9:$MG$41,START!$B$3,($L42+4))*-44/12)+($K42*INDEX('DEFAULT DATA'!$DZ$9:$MG$41,START!$B$3,($L42+5))*-44/12)</f>
        <v>0</v>
      </c>
      <c r="AF42" s="221">
        <f>($I42*INDEX('DEFAULT DATA'!$DZ$9:$MG$41,START!$B$3,($L42))*-44/12)+($I42*INDEX('DEFAULT DATA'!$DZ$9:$MG$41,START!$B$3,($L42+1))*-44/12)+($I42*INDEX('DEFAULT DATA'!$DZ$9:$MG$41,START!$B$3,($L42+2))*-44/12)+($I42*INDEX('DEFAULT DATA'!$DZ$9:$MG$41,START!$B$3,($L42+3))*-44/12)+($J42*INDEX('DEFAULT DATA'!$DZ$9:$MG$41,START!$B$3,($L42+4))*-44/12)+($K42*INDEX('DEFAULT DATA'!$DZ$9:$MG$41,START!$B$3,($L42+5))*-44/12)</f>
        <v>0</v>
      </c>
      <c r="AG42" s="221">
        <f>($I42*INDEX('DEFAULT DATA'!$DZ$9:$MG$41,START!$B$3,($L42))*-44/12)+($I42*INDEX('DEFAULT DATA'!$DZ$9:$MG$41,START!$B$3,($L42+1))*-44/12)+($I42*INDEX('DEFAULT DATA'!$DZ$9:$MG$41,START!$B$3,($L42+2))*-44/12)+($I42*INDEX('DEFAULT DATA'!$DZ$9:$MG$41,START!$B$3,($L42+3))*-44/12)+($J42*INDEX('DEFAULT DATA'!$DZ$9:$MG$41,START!$B$3,($L42+4))*-44/12)+($K42*INDEX('DEFAULT DATA'!$DZ$9:$MG$41,START!$B$3,($L42+5))*-44/12)</f>
        <v>0</v>
      </c>
      <c r="AH42" s="221">
        <f>($I42*INDEX('DEFAULT DATA'!$DZ$9:$MG$41,START!$B$3,($L42))*-44/12)+($I42*INDEX('DEFAULT DATA'!$DZ$9:$MG$41,START!$B$3,($L42+1))*-44/12)+($I42*INDEX('DEFAULT DATA'!$DZ$9:$MG$41,START!$B$3,($L42+2))*-44/12)+($I42*INDEX('DEFAULT DATA'!$DZ$9:$MG$41,START!$B$3,($L42+3))*-44/12)+($J42*INDEX('DEFAULT DATA'!$DZ$9:$MG$41,START!$B$3,($L42+4))*-44/12)+($K42*INDEX('DEFAULT DATA'!$DZ$9:$MG$41,START!$B$3,($L42+5))*-44/12)</f>
        <v>0</v>
      </c>
      <c r="AI42" s="221">
        <f>(($I42*INDEX('DEFAULT DATA'!$LD$9:$LI$41,START!$B$3,1)*-44/12)+($I42*INDEX('DEFAULT DATA'!$LD$9:$LI$41,START!$B$3,2)*-44/12)+($I42*INDEX('DEFAULT DATA'!$LD$9:$LI$41,START!$B$3,3)*-44/12)+($I42*INDEX('DEFAULT DATA'!$LD$9:$LI$41,START!$B$3,4)*-44/12)+($J42*INDEX('DEFAULT DATA'!$LD$9:$LI$41,START!$B$3,5)*-44/12)+($K42*INDEX('DEFAULT DATA'!$LD$9:$LI$41,START!$B$3,6)*-44/12))</f>
        <v>-0.13928082274505665</v>
      </c>
      <c r="AJ42" s="221">
        <f>(($I42*INDEX('DEFAULT DATA'!$LD$9:$LI$41,START!$B$3,1)*-44/12)+($I42*INDEX('DEFAULT DATA'!$LD$9:$LI$41,START!$B$3,2)*-44/12)+($I42*INDEX('DEFAULT DATA'!$LD$9:$LI$41,START!$B$3,3)*-44/12)+($I42*INDEX('DEFAULT DATA'!$LD$9:$LI$41,START!$B$3,4)*-44/12)+($J42*INDEX('DEFAULT DATA'!$LD$9:$LI$41,START!$B$3,5)*-44/12)+($K42*INDEX('DEFAULT DATA'!$LD$9:$LI$41,START!$B$3,6)*-44/12))</f>
        <v>-0.13928082274505665</v>
      </c>
      <c r="AK42" s="221">
        <f>(($I42*INDEX('DEFAULT DATA'!$LD$9:$LI$41,START!$B$3,1)*-44/12)+($I42*INDEX('DEFAULT DATA'!$LD$9:$LI$41,START!$B$3,2)*-44/12)+($I42*INDEX('DEFAULT DATA'!$LD$9:$LI$41,START!$B$3,3)*-44/12)+($I42*INDEX('DEFAULT DATA'!$LD$9:$LI$41,START!$B$3,4)*-44/12)+($J42*INDEX('DEFAULT DATA'!$LD$9:$LI$41,START!$B$3,5)*-44/12)+($K42*INDEX('DEFAULT DATA'!$LD$9:$LI$41,START!$B$3,6)*-44/12))</f>
        <v>-0.13928082274505665</v>
      </c>
      <c r="AL42" s="221">
        <f>(($I42*INDEX('DEFAULT DATA'!$LD$9:$LI$41,START!$B$3,1)*-44/12)+($I42*INDEX('DEFAULT DATA'!$LD$9:$LI$41,START!$B$3,2)*-44/12)+($I42*INDEX('DEFAULT DATA'!$LD$9:$LI$41,START!$B$3,3)*-44/12)+($I42*INDEX('DEFAULT DATA'!$LD$9:$LI$41,START!$B$3,4)*-44/12)+($J42*INDEX('DEFAULT DATA'!$LD$9:$LI$41,START!$B$3,5)*-44/12)+($K42*INDEX('DEFAULT DATA'!$LD$9:$LI$41,START!$B$3,6)*-44/12))</f>
        <v>-0.13928082274505665</v>
      </c>
      <c r="AM42" s="221">
        <f>(($I42*INDEX('DEFAULT DATA'!$LD$9:$LI$41,START!$B$3,1)*-44/12)+($I42*INDEX('DEFAULT DATA'!$LD$9:$LI$41,START!$B$3,2)*-44/12)+($I42*INDEX('DEFAULT DATA'!$LD$9:$LI$41,START!$B$3,3)*-44/12)+($I42*INDEX('DEFAULT DATA'!$LD$9:$LI$41,START!$B$3,4)*-44/12)+($J42*INDEX('DEFAULT DATA'!$LD$9:$LI$41,START!$B$3,5)*-44/12)+($K42*INDEX('DEFAULT DATA'!$LD$9:$LI$41,START!$B$3,6)*-44/12))</f>
        <v>-0.13928082274505665</v>
      </c>
      <c r="AN42" s="221">
        <f>(($I42*INDEX('DEFAULT DATA'!$LD$9:$LI$41,START!$B$3,1)*-44/12)+($I42*INDEX('DEFAULT DATA'!$LD$9:$LI$41,START!$B$3,2)*-44/12)+($I42*INDEX('DEFAULT DATA'!$LD$9:$LI$41,START!$B$3,3)*-44/12)+($I42*INDEX('DEFAULT DATA'!$LD$9:$LI$41,START!$B$3,4)*-44/12)+($J42*INDEX('DEFAULT DATA'!$LD$9:$LI$41,START!$B$3,5)*-44/12)+($K42*INDEX('DEFAULT DATA'!$LD$9:$LI$41,START!$B$3,6)*-44/12))</f>
        <v>-0.13928082274505665</v>
      </c>
      <c r="AO42" s="221">
        <f>(($I42*INDEX('DEFAULT DATA'!$LD$9:$LI$41,START!$B$3,1)*-44/12)+($I42*INDEX('DEFAULT DATA'!$LD$9:$LI$41,START!$B$3,2)*-44/12)+($I42*INDEX('DEFAULT DATA'!$LD$9:$LI$41,START!$B$3,3)*-44/12)+($I42*INDEX('DEFAULT DATA'!$LD$9:$LI$41,START!$B$3,4)*-44/12)+($J42*INDEX('DEFAULT DATA'!$LD$9:$LI$41,START!$B$3,5)*-44/12)+($K42*INDEX('DEFAULT DATA'!$LD$9:$LI$41,START!$B$3,6)*-44/12))</f>
        <v>-0.13928082274505665</v>
      </c>
      <c r="AP42" s="221">
        <f>(($I42*INDEX('DEFAULT DATA'!$LD$9:$LI$41,START!$B$3,1)*-44/12)+($I42*INDEX('DEFAULT DATA'!$LD$9:$LI$41,START!$B$3,2)*-44/12)+($I42*INDEX('DEFAULT DATA'!$LD$9:$LI$41,START!$B$3,3)*-44/12)+($I42*INDEX('DEFAULT DATA'!$LD$9:$LI$41,START!$B$3,4)*-44/12)+($J42*INDEX('DEFAULT DATA'!$LD$9:$LI$41,START!$B$3,5)*-44/12)+($K42*INDEX('DEFAULT DATA'!$LD$9:$LI$41,START!$B$3,6)*-44/12))</f>
        <v>-0.13928082274505665</v>
      </c>
      <c r="AQ42" s="221">
        <f>(($I42*INDEX('DEFAULT DATA'!$LD$9:$LI$41,START!$B$3,1)*-44/12)+($I42*INDEX('DEFAULT DATA'!$LD$9:$LI$41,START!$B$3,2)*-44/12)+($I42*INDEX('DEFAULT DATA'!$LD$9:$LI$41,START!$B$3,3)*-44/12)+($I42*INDEX('DEFAULT DATA'!$LD$9:$LI$41,START!$B$3,4)*-44/12)+($J42*INDEX('DEFAULT DATA'!$LD$9:$LI$41,START!$B$3,5)*-44/12)+($K42*INDEX('DEFAULT DATA'!$LD$9:$LI$41,START!$B$3,6)*-44/12))</f>
        <v>-0.13928082274505665</v>
      </c>
      <c r="AR42" s="552">
        <f>(($I42*INDEX('DEFAULT DATA'!$LD$9:$LI$41,START!$B$3,1)*-44/12)+($I42*INDEX('DEFAULT DATA'!$LD$9:$LI$41,START!$B$3,2)*-44/12)+($I42*INDEX('DEFAULT DATA'!$LD$9:$LI$41,START!$B$3,3)*-44/12)+($I42*INDEX('DEFAULT DATA'!$LD$9:$LI$41,START!$B$3,4)*-44/12)+($J42*INDEX('DEFAULT DATA'!$LD$9:$LI$41,START!$B$3,5)*-44/12)+($K42*INDEX('DEFAULT DATA'!$LD$9:$LI$41,START!$B$3,6)*-44/12))</f>
        <v>-0.13928082274505665</v>
      </c>
    </row>
    <row r="43" spans="1:44" ht="20.100000000000001" customHeight="1" thickBot="1">
      <c r="A43" s="133"/>
      <c r="B43" s="134"/>
      <c r="C43" s="134"/>
      <c r="D43" s="134"/>
      <c r="E43" s="134"/>
      <c r="F43" s="134"/>
      <c r="G43" s="134"/>
      <c r="H43" s="37"/>
      <c r="I43" s="515">
        <f t="shared" si="36"/>
        <v>0</v>
      </c>
      <c r="J43" s="516">
        <f t="shared" si="37"/>
        <v>0</v>
      </c>
      <c r="K43" s="516">
        <f t="shared" si="38"/>
        <v>0</v>
      </c>
      <c r="L43" s="385">
        <f t="shared" si="40"/>
        <v>55</v>
      </c>
      <c r="M43" s="536" t="s">
        <v>940</v>
      </c>
      <c r="N43" s="540">
        <f t="shared" si="39"/>
        <v>2022</v>
      </c>
      <c r="O43" s="553">
        <f>($I43*INDEX('DEFAULT DATA'!$DZ$9:$MG$41,START!$B$3,($L43))*-44/12)+($I43*INDEX('DEFAULT DATA'!$DZ$9:$MG$41,START!$B$3,($L43+1))*-44/12)+($I43*INDEX('DEFAULT DATA'!$DZ$9:$MG$41,START!$B$3,($L43+2))*-44/12)+($I43*INDEX('DEFAULT DATA'!$DZ$9:$MG$41,START!$B$3,($L43+3))*-44/12)+($J43*INDEX('DEFAULT DATA'!$DZ$9:$MG$41,START!$B$3,($L43+4))*-44/12)+($K43*INDEX('DEFAULT DATA'!$DZ$9:$MG$41,START!$B$3,($L43+5))*-44/12)</f>
        <v>0</v>
      </c>
      <c r="P43" s="553">
        <f>($I43*INDEX('DEFAULT DATA'!$DZ$9:$MG$41,START!$B$3,($L43))*-44/12)+($I43*INDEX('DEFAULT DATA'!$DZ$9:$MG$41,START!$B$3,($L43+1))*-44/12)+($I43*INDEX('DEFAULT DATA'!$DZ$9:$MG$41,START!$B$3,($L43+2))*-44/12)+($I43*INDEX('DEFAULT DATA'!$DZ$9:$MG$41,START!$B$3,($L43+3))*-44/12)+($J43*INDEX('DEFAULT DATA'!$DZ$9:$MG$41,START!$B$3,($L43+4))*-44/12)+($K43*INDEX('DEFAULT DATA'!$DZ$9:$MG$41,START!$B$3,($L43+5))*-44/12)</f>
        <v>0</v>
      </c>
      <c r="Q43" s="553">
        <f>($I43*INDEX('DEFAULT DATA'!$DZ$9:$MG$41,START!$B$3,($L43))*-44/12)+($I43*INDEX('DEFAULT DATA'!$DZ$9:$MG$41,START!$B$3,($L43+1))*-44/12)+($I43*INDEX('DEFAULT DATA'!$DZ$9:$MG$41,START!$B$3,($L43+2))*-44/12)+($I43*INDEX('DEFAULT DATA'!$DZ$9:$MG$41,START!$B$3,($L43+3))*-44/12)+($J43*INDEX('DEFAULT DATA'!$DZ$9:$MG$41,START!$B$3,($L43+4))*-44/12)+($K43*INDEX('DEFAULT DATA'!$DZ$9:$MG$41,START!$B$3,($L43+5))*-44/12)</f>
        <v>0</v>
      </c>
      <c r="R43" s="553">
        <f>($I43*INDEX('DEFAULT DATA'!$DZ$9:$MG$41,START!$B$3,($L43))*-44/12)+($I43*INDEX('DEFAULT DATA'!$DZ$9:$MG$41,START!$B$3,($L43+1))*-44/12)+($I43*INDEX('DEFAULT DATA'!$DZ$9:$MG$41,START!$B$3,($L43+2))*-44/12)+($I43*INDEX('DEFAULT DATA'!$DZ$9:$MG$41,START!$B$3,($L43+3))*-44/12)+($J43*INDEX('DEFAULT DATA'!$DZ$9:$MG$41,START!$B$3,($L43+4))*-44/12)+($K43*INDEX('DEFAULT DATA'!$DZ$9:$MG$41,START!$B$3,($L43+5))*-44/12)</f>
        <v>0</v>
      </c>
      <c r="S43" s="553">
        <f>($I43*INDEX('DEFAULT DATA'!$DZ$9:$MG$41,START!$B$3,($L43))*-44/12)+($I43*INDEX('DEFAULT DATA'!$DZ$9:$MG$41,START!$B$3,($L43+1))*-44/12)+($I43*INDEX('DEFAULT DATA'!$DZ$9:$MG$41,START!$B$3,($L43+2))*-44/12)+($I43*INDEX('DEFAULT DATA'!$DZ$9:$MG$41,START!$B$3,($L43+3))*-44/12)+($J43*INDEX('DEFAULT DATA'!$DZ$9:$MG$41,START!$B$3,($L43+4))*-44/12)+($K43*INDEX('DEFAULT DATA'!$DZ$9:$MG$41,START!$B$3,($L43+5))*-44/12)</f>
        <v>0</v>
      </c>
      <c r="T43" s="553">
        <f>($I43*INDEX('DEFAULT DATA'!$DZ$9:$MG$41,START!$B$3,($L43))*-44/12)+($I43*INDEX('DEFAULT DATA'!$DZ$9:$MG$41,START!$B$3,($L43+1))*-44/12)+($I43*INDEX('DEFAULT DATA'!$DZ$9:$MG$41,START!$B$3,($L43+2))*-44/12)+($I43*INDEX('DEFAULT DATA'!$DZ$9:$MG$41,START!$B$3,($L43+3))*-44/12)+($J43*INDEX('DEFAULT DATA'!$DZ$9:$MG$41,START!$B$3,($L43+4))*-44/12)+($K43*INDEX('DEFAULT DATA'!$DZ$9:$MG$41,START!$B$3,($L43+5))*-44/12)</f>
        <v>0</v>
      </c>
      <c r="U43" s="553">
        <f>($I43*INDEX('DEFAULT DATA'!$DZ$9:$MG$41,START!$B$3,($L43))*-44/12)+($I43*INDEX('DEFAULT DATA'!$DZ$9:$MG$41,START!$B$3,($L43+1))*-44/12)+($I43*INDEX('DEFAULT DATA'!$DZ$9:$MG$41,START!$B$3,($L43+2))*-44/12)+($I43*INDEX('DEFAULT DATA'!$DZ$9:$MG$41,START!$B$3,($L43+3))*-44/12)+($J43*INDEX('DEFAULT DATA'!$DZ$9:$MG$41,START!$B$3,($L43+4))*-44/12)+($K43*INDEX('DEFAULT DATA'!$DZ$9:$MG$41,START!$B$3,($L43+5))*-44/12)</f>
        <v>0</v>
      </c>
      <c r="V43" s="553">
        <f>($I43*INDEX('DEFAULT DATA'!$DZ$9:$MG$41,START!$B$3,($L43))*-44/12)+($I43*INDEX('DEFAULT DATA'!$DZ$9:$MG$41,START!$B$3,($L43+1))*-44/12)+($I43*INDEX('DEFAULT DATA'!$DZ$9:$MG$41,START!$B$3,($L43+2))*-44/12)+($I43*INDEX('DEFAULT DATA'!$DZ$9:$MG$41,START!$B$3,($L43+3))*-44/12)+($J43*INDEX('DEFAULT DATA'!$DZ$9:$MG$41,START!$B$3,($L43+4))*-44/12)+($K43*INDEX('DEFAULT DATA'!$DZ$9:$MG$41,START!$B$3,($L43+5))*-44/12)</f>
        <v>0</v>
      </c>
      <c r="W43" s="553">
        <f>($I43*INDEX('DEFAULT DATA'!$DZ$9:$MG$41,START!$B$3,($L43))*-44/12)+($I43*INDEX('DEFAULT DATA'!$DZ$9:$MG$41,START!$B$3,($L43+1))*-44/12)+($I43*INDEX('DEFAULT DATA'!$DZ$9:$MG$41,START!$B$3,($L43+2))*-44/12)+($I43*INDEX('DEFAULT DATA'!$DZ$9:$MG$41,START!$B$3,($L43+3))*-44/12)+($J43*INDEX('DEFAULT DATA'!$DZ$9:$MG$41,START!$B$3,($L43+4))*-44/12)+($K43*INDEX('DEFAULT DATA'!$DZ$9:$MG$41,START!$B$3,($L43+5))*-44/12)</f>
        <v>0</v>
      </c>
      <c r="X43" s="553">
        <f>($I43*INDEX('DEFAULT DATA'!$DZ$9:$MG$41,START!$B$3,($L43))*-44/12)+($I43*INDEX('DEFAULT DATA'!$DZ$9:$MG$41,START!$B$3,($L43+1))*-44/12)+($I43*INDEX('DEFAULT DATA'!$DZ$9:$MG$41,START!$B$3,($L43+2))*-44/12)+($I43*INDEX('DEFAULT DATA'!$DZ$9:$MG$41,START!$B$3,($L43+3))*-44/12)+($J43*INDEX('DEFAULT DATA'!$DZ$9:$MG$41,START!$B$3,($L43+4))*-44/12)+($K43*INDEX('DEFAULT DATA'!$DZ$9:$MG$41,START!$B$3,($L43+5))*-44/12)</f>
        <v>0</v>
      </c>
      <c r="Y43" s="553">
        <f>($I43*INDEX('DEFAULT DATA'!$DZ$9:$MG$41,START!$B$3,($L43))*-44/12)+($I43*INDEX('DEFAULT DATA'!$DZ$9:$MG$41,START!$B$3,($L43+1))*-44/12)+($I43*INDEX('DEFAULT DATA'!$DZ$9:$MG$41,START!$B$3,($L43+2))*-44/12)+($I43*INDEX('DEFAULT DATA'!$DZ$9:$MG$41,START!$B$3,($L43+3))*-44/12)+($J43*INDEX('DEFAULT DATA'!$DZ$9:$MG$41,START!$B$3,($L43+4))*-44/12)+($K43*INDEX('DEFAULT DATA'!$DZ$9:$MG$41,START!$B$3,($L43+5))*-44/12)</f>
        <v>0</v>
      </c>
      <c r="Z43" s="553">
        <f>($I43*INDEX('DEFAULT DATA'!$DZ$9:$MG$41,START!$B$3,($L43))*-44/12)+($I43*INDEX('DEFAULT DATA'!$DZ$9:$MG$41,START!$B$3,($L43+1))*-44/12)+($I43*INDEX('DEFAULT DATA'!$DZ$9:$MG$41,START!$B$3,($L43+2))*-44/12)+($I43*INDEX('DEFAULT DATA'!$DZ$9:$MG$41,START!$B$3,($L43+3))*-44/12)+($J43*INDEX('DEFAULT DATA'!$DZ$9:$MG$41,START!$B$3,($L43+4))*-44/12)+($K43*INDEX('DEFAULT DATA'!$DZ$9:$MG$41,START!$B$3,($L43+5))*-44/12)</f>
        <v>0</v>
      </c>
      <c r="AA43" s="553">
        <f>($I43*INDEX('DEFAULT DATA'!$DZ$9:$MG$41,START!$B$3,($L43))*-44/12)+($I43*INDEX('DEFAULT DATA'!$DZ$9:$MG$41,START!$B$3,($L43+1))*-44/12)+($I43*INDEX('DEFAULT DATA'!$DZ$9:$MG$41,START!$B$3,($L43+2))*-44/12)+($I43*INDEX('DEFAULT DATA'!$DZ$9:$MG$41,START!$B$3,($L43+3))*-44/12)+($J43*INDEX('DEFAULT DATA'!$DZ$9:$MG$41,START!$B$3,($L43+4))*-44/12)+($K43*INDEX('DEFAULT DATA'!$DZ$9:$MG$41,START!$B$3,($L43+5))*-44/12)</f>
        <v>0</v>
      </c>
      <c r="AB43" s="553">
        <f>($I43*INDEX('DEFAULT DATA'!$DZ$9:$MG$41,START!$B$3,($L43))*-44/12)+($I43*INDEX('DEFAULT DATA'!$DZ$9:$MG$41,START!$B$3,($L43+1))*-44/12)+($I43*INDEX('DEFAULT DATA'!$DZ$9:$MG$41,START!$B$3,($L43+2))*-44/12)+($I43*INDEX('DEFAULT DATA'!$DZ$9:$MG$41,START!$B$3,($L43+3))*-44/12)+($J43*INDEX('DEFAULT DATA'!$DZ$9:$MG$41,START!$B$3,($L43+4))*-44/12)+($K43*INDEX('DEFAULT DATA'!$DZ$9:$MG$41,START!$B$3,($L43+5))*-44/12)</f>
        <v>0</v>
      </c>
      <c r="AC43" s="553">
        <f>($I43*INDEX('DEFAULT DATA'!$DZ$9:$MG$41,START!$B$3,($L43))*-44/12)+($I43*INDEX('DEFAULT DATA'!$DZ$9:$MG$41,START!$B$3,($L43+1))*-44/12)+($I43*INDEX('DEFAULT DATA'!$DZ$9:$MG$41,START!$B$3,($L43+2))*-44/12)+($I43*INDEX('DEFAULT DATA'!$DZ$9:$MG$41,START!$B$3,($L43+3))*-44/12)+($J43*INDEX('DEFAULT DATA'!$DZ$9:$MG$41,START!$B$3,($L43+4))*-44/12)+($K43*INDEX('DEFAULT DATA'!$DZ$9:$MG$41,START!$B$3,($L43+5))*-44/12)</f>
        <v>0</v>
      </c>
      <c r="AD43" s="553">
        <f>($I43*INDEX('DEFAULT DATA'!$DZ$9:$MG$41,START!$B$3,($L43))*-44/12)+($I43*INDEX('DEFAULT DATA'!$DZ$9:$MG$41,START!$B$3,($L43+1))*-44/12)+($I43*INDEX('DEFAULT DATA'!$DZ$9:$MG$41,START!$B$3,($L43+2))*-44/12)+($I43*INDEX('DEFAULT DATA'!$DZ$9:$MG$41,START!$B$3,($L43+3))*-44/12)+($J43*INDEX('DEFAULT DATA'!$DZ$9:$MG$41,START!$B$3,($L43+4))*-44/12)+($K43*INDEX('DEFAULT DATA'!$DZ$9:$MG$41,START!$B$3,($L43+5))*-44/12)</f>
        <v>0</v>
      </c>
      <c r="AE43" s="553">
        <f>($I43*INDEX('DEFAULT DATA'!$DZ$9:$MG$41,START!$B$3,($L43))*-44/12)+($I43*INDEX('DEFAULT DATA'!$DZ$9:$MG$41,START!$B$3,($L43+1))*-44/12)+($I43*INDEX('DEFAULT DATA'!$DZ$9:$MG$41,START!$B$3,($L43+2))*-44/12)+($I43*INDEX('DEFAULT DATA'!$DZ$9:$MG$41,START!$B$3,($L43+3))*-44/12)+($J43*INDEX('DEFAULT DATA'!$DZ$9:$MG$41,START!$B$3,($L43+4))*-44/12)+($K43*INDEX('DEFAULT DATA'!$DZ$9:$MG$41,START!$B$3,($L43+5))*-44/12)</f>
        <v>0</v>
      </c>
      <c r="AF43" s="553">
        <f>($I43*INDEX('DEFAULT DATA'!$DZ$9:$MG$41,START!$B$3,($L43))*-44/12)+($I43*INDEX('DEFAULT DATA'!$DZ$9:$MG$41,START!$B$3,($L43+1))*-44/12)+($I43*INDEX('DEFAULT DATA'!$DZ$9:$MG$41,START!$B$3,($L43+2))*-44/12)+($I43*INDEX('DEFAULT DATA'!$DZ$9:$MG$41,START!$B$3,($L43+3))*-44/12)+($J43*INDEX('DEFAULT DATA'!$DZ$9:$MG$41,START!$B$3,($L43+4))*-44/12)+($K43*INDEX('DEFAULT DATA'!$DZ$9:$MG$41,START!$B$3,($L43+5))*-44/12)</f>
        <v>0</v>
      </c>
      <c r="AG43" s="553">
        <f>($I43*INDEX('DEFAULT DATA'!$DZ$9:$MG$41,START!$B$3,($L43))*-44/12)+($I43*INDEX('DEFAULT DATA'!$DZ$9:$MG$41,START!$B$3,($L43+1))*-44/12)+($I43*INDEX('DEFAULT DATA'!$DZ$9:$MG$41,START!$B$3,($L43+2))*-44/12)+($I43*INDEX('DEFAULT DATA'!$DZ$9:$MG$41,START!$B$3,($L43+3))*-44/12)+($J43*INDEX('DEFAULT DATA'!$DZ$9:$MG$41,START!$B$3,($L43+4))*-44/12)+($K43*INDEX('DEFAULT DATA'!$DZ$9:$MG$41,START!$B$3,($L43+5))*-44/12)</f>
        <v>0</v>
      </c>
      <c r="AH43" s="553">
        <f>($I43*INDEX('DEFAULT DATA'!$DZ$9:$MG$41,START!$B$3,($L43))*-44/12)+($I43*INDEX('DEFAULT DATA'!$DZ$9:$MG$41,START!$B$3,($L43+1))*-44/12)+($I43*INDEX('DEFAULT DATA'!$DZ$9:$MG$41,START!$B$3,($L43+2))*-44/12)+($I43*INDEX('DEFAULT DATA'!$DZ$9:$MG$41,START!$B$3,($L43+3))*-44/12)+($J43*INDEX('DEFAULT DATA'!$DZ$9:$MG$41,START!$B$3,($L43+4))*-44/12)+($K43*INDEX('DEFAULT DATA'!$DZ$9:$MG$41,START!$B$3,($L43+5))*-44/12)</f>
        <v>0</v>
      </c>
      <c r="AI43" s="553">
        <f>(($I43*INDEX('DEFAULT DATA'!$LD$9:$LI$41,START!$B$3,1)*-44/12)+($I43*INDEX('DEFAULT DATA'!$LD$9:$LI$41,START!$B$3,2)*-44/12)+($I43*INDEX('DEFAULT DATA'!$LD$9:$LI$41,START!$B$3,3)*-44/12)+($I43*INDEX('DEFAULT DATA'!$LD$9:$LI$41,START!$B$3,4)*-44/12)+($J43*INDEX('DEFAULT DATA'!$LD$9:$LI$41,START!$B$3,5)*-44/12)+($K43*INDEX('DEFAULT DATA'!$LD$9:$LI$41,START!$B$3,6)*-44/12))</f>
        <v>0</v>
      </c>
      <c r="AJ43" s="553">
        <f>(($I43*INDEX('DEFAULT DATA'!$LD$9:$LI$41,START!$B$3,1)*-44/12)+($I43*INDEX('DEFAULT DATA'!$LD$9:$LI$41,START!$B$3,2)*-44/12)+($I43*INDEX('DEFAULT DATA'!$LD$9:$LI$41,START!$B$3,3)*-44/12)+($I43*INDEX('DEFAULT DATA'!$LD$9:$LI$41,START!$B$3,4)*-44/12)+($J43*INDEX('DEFAULT DATA'!$LD$9:$LI$41,START!$B$3,5)*-44/12)+($K43*INDEX('DEFAULT DATA'!$LD$9:$LI$41,START!$B$3,6)*-44/12))</f>
        <v>0</v>
      </c>
      <c r="AK43" s="553">
        <f>(($I43*INDEX('DEFAULT DATA'!$LD$9:$LI$41,START!$B$3,1)*-44/12)+($I43*INDEX('DEFAULT DATA'!$LD$9:$LI$41,START!$B$3,2)*-44/12)+($I43*INDEX('DEFAULT DATA'!$LD$9:$LI$41,START!$B$3,3)*-44/12)+($I43*INDEX('DEFAULT DATA'!$LD$9:$LI$41,START!$B$3,4)*-44/12)+($J43*INDEX('DEFAULT DATA'!$LD$9:$LI$41,START!$B$3,5)*-44/12)+($K43*INDEX('DEFAULT DATA'!$LD$9:$LI$41,START!$B$3,6)*-44/12))</f>
        <v>0</v>
      </c>
      <c r="AL43" s="553">
        <f>(($I43*INDEX('DEFAULT DATA'!$LD$9:$LI$41,START!$B$3,1)*-44/12)+($I43*INDEX('DEFAULT DATA'!$LD$9:$LI$41,START!$B$3,2)*-44/12)+($I43*INDEX('DEFAULT DATA'!$LD$9:$LI$41,START!$B$3,3)*-44/12)+($I43*INDEX('DEFAULT DATA'!$LD$9:$LI$41,START!$B$3,4)*-44/12)+($J43*INDEX('DEFAULT DATA'!$LD$9:$LI$41,START!$B$3,5)*-44/12)+($K43*INDEX('DEFAULT DATA'!$LD$9:$LI$41,START!$B$3,6)*-44/12))</f>
        <v>0</v>
      </c>
      <c r="AM43" s="553">
        <f>(($I43*INDEX('DEFAULT DATA'!$LD$9:$LI$41,START!$B$3,1)*-44/12)+($I43*INDEX('DEFAULT DATA'!$LD$9:$LI$41,START!$B$3,2)*-44/12)+($I43*INDEX('DEFAULT DATA'!$LD$9:$LI$41,START!$B$3,3)*-44/12)+($I43*INDEX('DEFAULT DATA'!$LD$9:$LI$41,START!$B$3,4)*-44/12)+($J43*INDEX('DEFAULT DATA'!$LD$9:$LI$41,START!$B$3,5)*-44/12)+($K43*INDEX('DEFAULT DATA'!$LD$9:$LI$41,START!$B$3,6)*-44/12))</f>
        <v>0</v>
      </c>
      <c r="AN43" s="553">
        <f>(($I43*INDEX('DEFAULT DATA'!$LD$9:$LI$41,START!$B$3,1)*-44/12)+($I43*INDEX('DEFAULT DATA'!$LD$9:$LI$41,START!$B$3,2)*-44/12)+($I43*INDEX('DEFAULT DATA'!$LD$9:$LI$41,START!$B$3,3)*-44/12)+($I43*INDEX('DEFAULT DATA'!$LD$9:$LI$41,START!$B$3,4)*-44/12)+($J43*INDEX('DEFAULT DATA'!$LD$9:$LI$41,START!$B$3,5)*-44/12)+($K43*INDEX('DEFAULT DATA'!$LD$9:$LI$41,START!$B$3,6)*-44/12))</f>
        <v>0</v>
      </c>
      <c r="AO43" s="553">
        <f>(($I43*INDEX('DEFAULT DATA'!$LD$9:$LI$41,START!$B$3,1)*-44/12)+($I43*INDEX('DEFAULT DATA'!$LD$9:$LI$41,START!$B$3,2)*-44/12)+($I43*INDEX('DEFAULT DATA'!$LD$9:$LI$41,START!$B$3,3)*-44/12)+($I43*INDEX('DEFAULT DATA'!$LD$9:$LI$41,START!$B$3,4)*-44/12)+($J43*INDEX('DEFAULT DATA'!$LD$9:$LI$41,START!$B$3,5)*-44/12)+($K43*INDEX('DEFAULT DATA'!$LD$9:$LI$41,START!$B$3,6)*-44/12))</f>
        <v>0</v>
      </c>
      <c r="AP43" s="553">
        <f>(($I43*INDEX('DEFAULT DATA'!$LD$9:$LI$41,START!$B$3,1)*-44/12)+($I43*INDEX('DEFAULT DATA'!$LD$9:$LI$41,START!$B$3,2)*-44/12)+($I43*INDEX('DEFAULT DATA'!$LD$9:$LI$41,START!$B$3,3)*-44/12)+($I43*INDEX('DEFAULT DATA'!$LD$9:$LI$41,START!$B$3,4)*-44/12)+($J43*INDEX('DEFAULT DATA'!$LD$9:$LI$41,START!$B$3,5)*-44/12)+($K43*INDEX('DEFAULT DATA'!$LD$9:$LI$41,START!$B$3,6)*-44/12))</f>
        <v>0</v>
      </c>
      <c r="AQ43" s="553">
        <f>(($I43*INDEX('DEFAULT DATA'!$LD$9:$LI$41,START!$B$3,1)*-44/12)+($I43*INDEX('DEFAULT DATA'!$LD$9:$LI$41,START!$B$3,2)*-44/12)+($I43*INDEX('DEFAULT DATA'!$LD$9:$LI$41,START!$B$3,3)*-44/12)+($I43*INDEX('DEFAULT DATA'!$LD$9:$LI$41,START!$B$3,4)*-44/12)+($J43*INDEX('DEFAULT DATA'!$LD$9:$LI$41,START!$B$3,5)*-44/12)+($K43*INDEX('DEFAULT DATA'!$LD$9:$LI$41,START!$B$3,6)*-44/12))</f>
        <v>0</v>
      </c>
      <c r="AR43" s="554">
        <f>(($I43*INDEX('DEFAULT DATA'!$LD$9:$LI$41,START!$B$3,1)*-44/12)+($I43*INDEX('DEFAULT DATA'!$LD$9:$LI$41,START!$B$3,2)*-44/12)+($I43*INDEX('DEFAULT DATA'!$LD$9:$LI$41,START!$B$3,3)*-44/12)+($I43*INDEX('DEFAULT DATA'!$LD$9:$LI$41,START!$B$3,4)*-44/12)+($J43*INDEX('DEFAULT DATA'!$LD$9:$LI$41,START!$B$3,5)*-44/12)+($K43*INDEX('DEFAULT DATA'!$LD$9:$LI$41,START!$B$3,6)*-44/12))</f>
        <v>0</v>
      </c>
    </row>
    <row r="44" spans="1:44" ht="20.100000000000001" customHeight="1">
      <c r="A44" s="541"/>
      <c r="B44" s="542"/>
      <c r="C44" s="542"/>
      <c r="D44" s="541"/>
      <c r="E44" s="624" t="s">
        <v>1090</v>
      </c>
      <c r="F44" s="624"/>
      <c r="G44" s="542" t="s">
        <v>1098</v>
      </c>
      <c r="H44" s="543"/>
      <c r="I44" s="382">
        <f t="shared" si="36"/>
        <v>2</v>
      </c>
      <c r="J44" s="555">
        <f t="shared" si="37"/>
        <v>1</v>
      </c>
      <c r="K44" s="555">
        <f t="shared" si="38"/>
        <v>1</v>
      </c>
      <c r="L44" s="383">
        <f t="shared" si="40"/>
        <v>61</v>
      </c>
      <c r="M44" s="537" t="s">
        <v>941</v>
      </c>
      <c r="N44" s="538">
        <f t="shared" si="39"/>
        <v>2022</v>
      </c>
      <c r="O44" s="550">
        <f>($I44*INDEX('DEFAULT DATA'!$DZ$9:$MG$41,START!$B$3,($L44))*-44/12)+($I44*INDEX('DEFAULT DATA'!$DZ$9:$MG$41,START!$B$3,($L44+1))*-44/12)+($I44*INDEX('DEFAULT DATA'!$DZ$9:$MG$41,START!$B$3,($L44+2))*-44/12)+($I44*INDEX('DEFAULT DATA'!$DZ$9:$MG$41,START!$B$3,($L44+3))*-44/12)+($J44*INDEX('DEFAULT DATA'!$DZ$9:$MG$41,START!$B$3,($L44+4))*-44/12)+($K44*INDEX('DEFAULT DATA'!$DZ$9:$MG$41,START!$B$3,($L44+5))*-44/12)</f>
        <v>749.99444641709511</v>
      </c>
      <c r="P44" s="550">
        <f>($J44*INDEX('DEFAULT DATA'!$DZ$9:$MG$41,START!$B$3,($L44+4))*-44/12)+($K44*INDEX('DEFAULT DATA'!$DZ$9:$MG$41,START!$B$3,($L44+5))*-44/12)</f>
        <v>14.167779750428517</v>
      </c>
      <c r="Q44" s="550">
        <f>($J44*INDEX('DEFAULT DATA'!$DZ$9:$MG$41,START!$B$3,($L44+4))*-44/12)+($K44*INDEX('DEFAULT DATA'!$DZ$9:$MG$41,START!$B$3,($L44+5))*-44/12)</f>
        <v>14.167779750428517</v>
      </c>
      <c r="R44" s="550">
        <f>($J44*INDEX('DEFAULT DATA'!$DZ$9:$MG$41,START!$B$3,($L44+4))*-44/12)+($K44*INDEX('DEFAULT DATA'!$DZ$9:$MG$41,START!$B$3,($L44+5))*-44/12)</f>
        <v>14.167779750428517</v>
      </c>
      <c r="S44" s="550">
        <f>($J44*INDEX('DEFAULT DATA'!$DZ$9:$MG$41,START!$B$3,($L44+4))*-44/12)+($K44*INDEX('DEFAULT DATA'!$DZ$9:$MG$41,START!$B$3,($L44+5))*-44/12)</f>
        <v>14.167779750428517</v>
      </c>
      <c r="T44" s="550">
        <f>($J44*INDEX('DEFAULT DATA'!$DZ$9:$MG$41,START!$B$3,($L44+4))*-44/12)+($K44*INDEX('DEFAULT DATA'!$DZ$9:$MG$41,START!$B$3,($L44+5))*-44/12)</f>
        <v>14.167779750428517</v>
      </c>
      <c r="U44" s="550">
        <f>($J44*INDEX('DEFAULT DATA'!$DZ$9:$MG$41,START!$B$3,($L44+4))*-44/12)+($K44*INDEX('DEFAULT DATA'!$DZ$9:$MG$41,START!$B$3,($L44+5))*-44/12)</f>
        <v>14.167779750428517</v>
      </c>
      <c r="V44" s="550">
        <f>($J44*INDEX('DEFAULT DATA'!$DZ$9:$MG$41,START!$B$3,($L44+4))*-44/12)+($K44*INDEX('DEFAULT DATA'!$DZ$9:$MG$41,START!$B$3,($L44+5))*-44/12)</f>
        <v>14.167779750428517</v>
      </c>
      <c r="W44" s="550">
        <f>($J44*INDEX('DEFAULT DATA'!$DZ$9:$MG$41,START!$B$3,($L44+4))*-44/12)+($K44*INDEX('DEFAULT DATA'!$DZ$9:$MG$41,START!$B$3,($L44+5))*-44/12)</f>
        <v>14.167779750428517</v>
      </c>
      <c r="X44" s="550">
        <f>($J44*INDEX('DEFAULT DATA'!$DZ$9:$MG$41,START!$B$3,($L44+4))*-44/12)+($K44*INDEX('DEFAULT DATA'!$DZ$9:$MG$41,START!$B$3,($L44+5))*-44/12)</f>
        <v>14.167779750428517</v>
      </c>
      <c r="Y44" s="550">
        <f>($J44*INDEX('DEFAULT DATA'!$DZ$9:$MG$41,START!$B$3,($L44+4))*-44/12)+($K44*INDEX('DEFAULT DATA'!$DZ$9:$MG$41,START!$B$3,($L44+5))*-44/12)</f>
        <v>14.167779750428517</v>
      </c>
      <c r="Z44" s="550">
        <f>($J44*INDEX('DEFAULT DATA'!$DZ$9:$MG$41,START!$B$3,($L44+4))*-44/12)+($K44*INDEX('DEFAULT DATA'!$DZ$9:$MG$41,START!$B$3,($L44+5))*-44/12)</f>
        <v>14.167779750428517</v>
      </c>
      <c r="AA44" s="550">
        <f>($J44*INDEX('DEFAULT DATA'!$DZ$9:$MG$41,START!$B$3,($L44+4))*-44/12)+($K44*INDEX('DEFAULT DATA'!$DZ$9:$MG$41,START!$B$3,($L44+5))*-44/12)</f>
        <v>14.167779750428517</v>
      </c>
      <c r="AB44" s="550">
        <f>($J44*INDEX('DEFAULT DATA'!$DZ$9:$MG$41,START!$B$3,($L44+4))*-44/12)+($K44*INDEX('DEFAULT DATA'!$DZ$9:$MG$41,START!$B$3,($L44+5))*-44/12)</f>
        <v>14.167779750428517</v>
      </c>
      <c r="AC44" s="550">
        <f>($J44*INDEX('DEFAULT DATA'!$DZ$9:$MG$41,START!$B$3,($L44+4))*-44/12)+($K44*INDEX('DEFAULT DATA'!$DZ$9:$MG$41,START!$B$3,($L44+5))*-44/12)</f>
        <v>14.167779750428517</v>
      </c>
      <c r="AD44" s="550">
        <f>($J44*INDEX('DEFAULT DATA'!$DZ$9:$MG$41,START!$B$3,($L44+4))*-44/12)+($K44*INDEX('DEFAULT DATA'!$DZ$9:$MG$41,START!$B$3,($L44+5))*-44/12)</f>
        <v>14.167779750428517</v>
      </c>
      <c r="AE44" s="550">
        <f>($J44*INDEX('DEFAULT DATA'!$DZ$9:$MG$41,START!$B$3,($L44+4))*-44/12)+($K44*INDEX('DEFAULT DATA'!$DZ$9:$MG$41,START!$B$3,($L44+5))*-44/12)</f>
        <v>14.167779750428517</v>
      </c>
      <c r="AF44" s="550">
        <f>($J44*INDEX('DEFAULT DATA'!$DZ$9:$MG$41,START!$B$3,($L44+4))*-44/12)+($K44*INDEX('DEFAULT DATA'!$DZ$9:$MG$41,START!$B$3,($L44+5))*-44/12)</f>
        <v>14.167779750428517</v>
      </c>
      <c r="AG44" s="550">
        <f>($J44*INDEX('DEFAULT DATA'!$DZ$9:$MG$41,START!$B$3,($L44+4))*-44/12)+($K44*INDEX('DEFAULT DATA'!$DZ$9:$MG$41,START!$B$3,($L44+5))*-44/12)</f>
        <v>14.167779750428517</v>
      </c>
      <c r="AH44" s="550">
        <f>($J44*INDEX('DEFAULT DATA'!$DZ$9:$MG$41,START!$B$3,($L44+4))*-44/12)+($K44*INDEX('DEFAULT DATA'!$DZ$9:$MG$41,START!$B$3,($L44+5))*-44/12)</f>
        <v>14.167779750428517</v>
      </c>
      <c r="AI44" s="550">
        <f>(($I44*INDEX('DEFAULT DATA'!$LJ$9:$LO$41,START!$B$3,1)*-44/12)+($I44*INDEX('DEFAULT DATA'!$LJ$9:$LO$41,START!$B$3,2)*-44/12)+($I44*INDEX('DEFAULT DATA'!$LJ$9:$LO$41,START!$B$3,3)*-44/12)+($I44*INDEX('DEFAULT DATA'!$LJ$9:$LO$41,START!$B$3,4)*-44/12)+($J44*INDEX('DEFAULT DATA'!$LJ$9:$LO$41,START!$B$3,5)*-44/12)+($K44*INDEX('DEFAULT DATA'!$LJ$9:$LO$41,START!$B$3,6)*-44/12))</f>
        <v>24.274250134003282</v>
      </c>
      <c r="AJ44" s="550">
        <f>(($I44*INDEX('DEFAULT DATA'!$LJ$9:$LO$41,START!$B$3,1)*-44/12)+($I44*INDEX('DEFAULT DATA'!$LJ$9:$LO$41,START!$B$3,2)*-44/12)+($I44*INDEX('DEFAULT DATA'!$LJ$9:$LO$41,START!$B$3,3)*-44/12)+($I44*INDEX('DEFAULT DATA'!$LJ$9:$LO$41,START!$B$3,4)*-44/12)+($J44*INDEX('DEFAULT DATA'!$LJ$9:$LO$41,START!$B$3,5)*-44/12)+($K44*INDEX('DEFAULT DATA'!$LJ$9:$LO$41,START!$B$3,6)*-44/12))</f>
        <v>24.274250134003282</v>
      </c>
      <c r="AK44" s="550">
        <f>(($I44*INDEX('DEFAULT DATA'!$LJ$9:$LO$41,START!$B$3,1)*-44/12)+($I44*INDEX('DEFAULT DATA'!$LJ$9:$LO$41,START!$B$3,2)*-44/12)+($I44*INDEX('DEFAULT DATA'!$LJ$9:$LO$41,START!$B$3,3)*-44/12)+($I44*INDEX('DEFAULT DATA'!$LJ$9:$LO$41,START!$B$3,4)*-44/12)+($J44*INDEX('DEFAULT DATA'!$LJ$9:$LO$41,START!$B$3,5)*-44/12)+($K44*INDEX('DEFAULT DATA'!$LJ$9:$LO$41,START!$B$3,6)*-44/12))</f>
        <v>24.274250134003282</v>
      </c>
      <c r="AL44" s="550">
        <f>(($I44*INDEX('DEFAULT DATA'!$LJ$9:$LO$41,START!$B$3,1)*-44/12)+($I44*INDEX('DEFAULT DATA'!$LJ$9:$LO$41,START!$B$3,2)*-44/12)+($I44*INDEX('DEFAULT DATA'!$LJ$9:$LO$41,START!$B$3,3)*-44/12)+($I44*INDEX('DEFAULT DATA'!$LJ$9:$LO$41,START!$B$3,4)*-44/12)+($J44*INDEX('DEFAULT DATA'!$LJ$9:$LO$41,START!$B$3,5)*-44/12)+($K44*INDEX('DEFAULT DATA'!$LJ$9:$LO$41,START!$B$3,6)*-44/12))</f>
        <v>24.274250134003282</v>
      </c>
      <c r="AM44" s="550">
        <f>(($I44*INDEX('DEFAULT DATA'!$LJ$9:$LO$41,START!$B$3,1)*-44/12)+($I44*INDEX('DEFAULT DATA'!$LJ$9:$LO$41,START!$B$3,2)*-44/12)+($I44*INDEX('DEFAULT DATA'!$LJ$9:$LO$41,START!$B$3,3)*-44/12)+($I44*INDEX('DEFAULT DATA'!$LJ$9:$LO$41,START!$B$3,4)*-44/12)+($J44*INDEX('DEFAULT DATA'!$LJ$9:$LO$41,START!$B$3,5)*-44/12)+($K44*INDEX('DEFAULT DATA'!$LJ$9:$LO$41,START!$B$3,6)*-44/12))</f>
        <v>24.274250134003282</v>
      </c>
      <c r="AN44" s="550">
        <f>(($I44*INDEX('DEFAULT DATA'!$LJ$9:$LO$41,START!$B$3,1)*-44/12)+($I44*INDEX('DEFAULT DATA'!$LJ$9:$LO$41,START!$B$3,2)*-44/12)+($I44*INDEX('DEFAULT DATA'!$LJ$9:$LO$41,START!$B$3,3)*-44/12)+($I44*INDEX('DEFAULT DATA'!$LJ$9:$LO$41,START!$B$3,4)*-44/12)+($J44*INDEX('DEFAULT DATA'!$LJ$9:$LO$41,START!$B$3,5)*-44/12)+($K44*INDEX('DEFAULT DATA'!$LJ$9:$LO$41,START!$B$3,6)*-44/12))</f>
        <v>24.274250134003282</v>
      </c>
      <c r="AO44" s="550">
        <f>(($I44*INDEX('DEFAULT DATA'!$LJ$9:$LO$41,START!$B$3,1)*-44/12)+($I44*INDEX('DEFAULT DATA'!$LJ$9:$LO$41,START!$B$3,2)*-44/12)+($I44*INDEX('DEFAULT DATA'!$LJ$9:$LO$41,START!$B$3,3)*-44/12)+($I44*INDEX('DEFAULT DATA'!$LJ$9:$LO$41,START!$B$3,4)*-44/12)+($J44*INDEX('DEFAULT DATA'!$LJ$9:$LO$41,START!$B$3,5)*-44/12)+($K44*INDEX('DEFAULT DATA'!$LJ$9:$LO$41,START!$B$3,6)*-44/12))</f>
        <v>24.274250134003282</v>
      </c>
      <c r="AP44" s="550">
        <f>(($I44*INDEX('DEFAULT DATA'!$LJ$9:$LO$41,START!$B$3,1)*-44/12)+($I44*INDEX('DEFAULT DATA'!$LJ$9:$LO$41,START!$B$3,2)*-44/12)+($I44*INDEX('DEFAULT DATA'!$LJ$9:$LO$41,START!$B$3,3)*-44/12)+($I44*INDEX('DEFAULT DATA'!$LJ$9:$LO$41,START!$B$3,4)*-44/12)+($J44*INDEX('DEFAULT DATA'!$LJ$9:$LO$41,START!$B$3,5)*-44/12)+($K44*INDEX('DEFAULT DATA'!$LJ$9:$LO$41,START!$B$3,6)*-44/12))</f>
        <v>24.274250134003282</v>
      </c>
      <c r="AQ44" s="550">
        <f>(($I44*INDEX('DEFAULT DATA'!$LJ$9:$LO$41,START!$B$3,1)*-44/12)+($I44*INDEX('DEFAULT DATA'!$LJ$9:$LO$41,START!$B$3,2)*-44/12)+($I44*INDEX('DEFAULT DATA'!$LJ$9:$LO$41,START!$B$3,3)*-44/12)+($I44*INDEX('DEFAULT DATA'!$LJ$9:$LO$41,START!$B$3,4)*-44/12)+($J44*INDEX('DEFAULT DATA'!$LJ$9:$LO$41,START!$B$3,5)*-44/12)+($K44*INDEX('DEFAULT DATA'!$LJ$9:$LO$41,START!$B$3,6)*-44/12))</f>
        <v>24.274250134003282</v>
      </c>
      <c r="AR44" s="551">
        <f>(($I44*INDEX('DEFAULT DATA'!$LJ$9:$LO$41,START!$B$3,1)*-44/12)+($I44*INDEX('DEFAULT DATA'!$LJ$9:$LO$41,START!$B$3,2)*-44/12)+($I44*INDEX('DEFAULT DATA'!$LJ$9:$LO$41,START!$B$3,3)*-44/12)+($I44*INDEX('DEFAULT DATA'!$LJ$9:$LO$41,START!$B$3,4)*-44/12)+($J44*INDEX('DEFAULT DATA'!$LJ$9:$LO$41,START!$B$3,5)*-44/12)+($K44*INDEX('DEFAULT DATA'!$LJ$9:$LO$41,START!$B$3,6)*-44/12))</f>
        <v>24.274250134003282</v>
      </c>
    </row>
    <row r="45" spans="1:44" ht="20.100000000000001" customHeight="1" thickBot="1">
      <c r="A45" s="544" t="s">
        <v>1088</v>
      </c>
      <c r="B45" s="545"/>
      <c r="C45" s="545"/>
      <c r="D45" s="546" t="s">
        <v>1089</v>
      </c>
      <c r="E45" s="547" t="s">
        <v>1004</v>
      </c>
      <c r="F45" s="548" t="s">
        <v>1005</v>
      </c>
      <c r="G45" s="545" t="s">
        <v>1099</v>
      </c>
      <c r="H45" s="549"/>
      <c r="I45" s="514">
        <f t="shared" si="36"/>
        <v>2</v>
      </c>
      <c r="J45" s="511">
        <f t="shared" si="37"/>
        <v>1</v>
      </c>
      <c r="K45" s="511">
        <f t="shared" si="38"/>
        <v>1</v>
      </c>
      <c r="L45" s="384">
        <f t="shared" si="40"/>
        <v>67</v>
      </c>
      <c r="M45" s="535" t="s">
        <v>942</v>
      </c>
      <c r="N45" s="539">
        <f t="shared" si="39"/>
        <v>2022</v>
      </c>
      <c r="O45" s="221">
        <f>($I45*INDEX('DEFAULT DATA'!$DZ$9:$MG$41,START!$B$3,($L45))*-44/12)+($I45*INDEX('DEFAULT DATA'!$DZ$9:$MG$41,START!$B$3,($L45+1))*-44/12)+($I45*INDEX('DEFAULT DATA'!$DZ$9:$MG$41,START!$B$3,($L45+2))*-44/12)+($I45*INDEX('DEFAULT DATA'!$DZ$9:$MG$41,START!$B$3,($L45+3))*-44/12)+($J45*INDEX('DEFAULT DATA'!$DZ$9:$MG$41,START!$B$3,($L45+4))*-44/12)+($K45*INDEX('DEFAULT DATA'!$DZ$9:$MG$41,START!$B$3,($L45+5))*-44/12)</f>
        <v>0</v>
      </c>
      <c r="P45" s="221">
        <f>($I45*INDEX('DEFAULT DATA'!$DZ$9:$MG$41,START!$B$3,($L45))*-44/12)+($I45*INDEX('DEFAULT DATA'!$DZ$9:$MG$41,START!$B$3,($L45+1))*-44/12)+($I45*INDEX('DEFAULT DATA'!$DZ$9:$MG$41,START!$B$3,($L45+2))*-44/12)+($I45*INDEX('DEFAULT DATA'!$DZ$9:$MG$41,START!$B$3,($L45+3))*-44/12)+($J45*INDEX('DEFAULT DATA'!$DZ$9:$MG$41,START!$B$3,($L45+4))*-44/12)+($K45*INDEX('DEFAULT DATA'!$DZ$9:$MG$41,START!$B$3,($L45+5))*-44/12)</f>
        <v>0</v>
      </c>
      <c r="Q45" s="221">
        <f>($I45*INDEX('DEFAULT DATA'!$DZ$9:$MG$41,START!$B$3,($L45))*-44/12)+($I45*INDEX('DEFAULT DATA'!$DZ$9:$MG$41,START!$B$3,($L45+1))*-44/12)+($I45*INDEX('DEFAULT DATA'!$DZ$9:$MG$41,START!$B$3,($L45+2))*-44/12)+($I45*INDEX('DEFAULT DATA'!$DZ$9:$MG$41,START!$B$3,($L45+3))*-44/12)+($J45*INDEX('DEFAULT DATA'!$DZ$9:$MG$41,START!$B$3,($L45+4))*-44/12)+($K45*INDEX('DEFAULT DATA'!$DZ$9:$MG$41,START!$B$3,($L45+5))*-44/12)</f>
        <v>0</v>
      </c>
      <c r="R45" s="221">
        <f>($I45*INDEX('DEFAULT DATA'!$DZ$9:$MG$41,START!$B$3,($L45))*-44/12)+($I45*INDEX('DEFAULT DATA'!$DZ$9:$MG$41,START!$B$3,($L45+1))*-44/12)+($I45*INDEX('DEFAULT DATA'!$DZ$9:$MG$41,START!$B$3,($L45+2))*-44/12)+($I45*INDEX('DEFAULT DATA'!$DZ$9:$MG$41,START!$B$3,($L45+3))*-44/12)+($J45*INDEX('DEFAULT DATA'!$DZ$9:$MG$41,START!$B$3,($L45+4))*-44/12)+($K45*INDEX('DEFAULT DATA'!$DZ$9:$MG$41,START!$B$3,($L45+5))*-44/12)</f>
        <v>0</v>
      </c>
      <c r="S45" s="221">
        <f>($I45*INDEX('DEFAULT DATA'!$DZ$9:$MG$41,START!$B$3,($L45))*-44/12)+($I45*INDEX('DEFAULT DATA'!$DZ$9:$MG$41,START!$B$3,($L45+1))*-44/12)+($I45*INDEX('DEFAULT DATA'!$DZ$9:$MG$41,START!$B$3,($L45+2))*-44/12)+($I45*INDEX('DEFAULT DATA'!$DZ$9:$MG$41,START!$B$3,($L45+3))*-44/12)+($J45*INDEX('DEFAULT DATA'!$DZ$9:$MG$41,START!$B$3,($L45+4))*-44/12)+($K45*INDEX('DEFAULT DATA'!$DZ$9:$MG$41,START!$B$3,($L45+5))*-44/12)</f>
        <v>0</v>
      </c>
      <c r="T45" s="221">
        <f>($I45*INDEX('DEFAULT DATA'!$DZ$9:$MG$41,START!$B$3,($L45))*-44/12)+($I45*INDEX('DEFAULT DATA'!$DZ$9:$MG$41,START!$B$3,($L45+1))*-44/12)+($I45*INDEX('DEFAULT DATA'!$DZ$9:$MG$41,START!$B$3,($L45+2))*-44/12)+($I45*INDEX('DEFAULT DATA'!$DZ$9:$MG$41,START!$B$3,($L45+3))*-44/12)+($J45*INDEX('DEFAULT DATA'!$DZ$9:$MG$41,START!$B$3,($L45+4))*-44/12)+($K45*INDEX('DEFAULT DATA'!$DZ$9:$MG$41,START!$B$3,($L45+5))*-44/12)</f>
        <v>0</v>
      </c>
      <c r="U45" s="221">
        <f>($I45*INDEX('DEFAULT DATA'!$DZ$9:$MG$41,START!$B$3,($L45))*-44/12)+($I45*INDEX('DEFAULT DATA'!$DZ$9:$MG$41,START!$B$3,($L45+1))*-44/12)+($I45*INDEX('DEFAULT DATA'!$DZ$9:$MG$41,START!$B$3,($L45+2))*-44/12)+($I45*INDEX('DEFAULT DATA'!$DZ$9:$MG$41,START!$B$3,($L45+3))*-44/12)+($J45*INDEX('DEFAULT DATA'!$DZ$9:$MG$41,START!$B$3,($L45+4))*-44/12)+($K45*INDEX('DEFAULT DATA'!$DZ$9:$MG$41,START!$B$3,($L45+5))*-44/12)</f>
        <v>0</v>
      </c>
      <c r="V45" s="221">
        <f>($I45*INDEX('DEFAULT DATA'!$DZ$9:$MG$41,START!$B$3,($L45))*-44/12)+($I45*INDEX('DEFAULT DATA'!$DZ$9:$MG$41,START!$B$3,($L45+1))*-44/12)+($I45*INDEX('DEFAULT DATA'!$DZ$9:$MG$41,START!$B$3,($L45+2))*-44/12)+($I45*INDEX('DEFAULT DATA'!$DZ$9:$MG$41,START!$B$3,($L45+3))*-44/12)+($J45*INDEX('DEFAULT DATA'!$DZ$9:$MG$41,START!$B$3,($L45+4))*-44/12)+($K45*INDEX('DEFAULT DATA'!$DZ$9:$MG$41,START!$B$3,($L45+5))*-44/12)</f>
        <v>0</v>
      </c>
      <c r="W45" s="221">
        <f>($I45*INDEX('DEFAULT DATA'!$DZ$9:$MG$41,START!$B$3,($L45))*-44/12)+($I45*INDEX('DEFAULT DATA'!$DZ$9:$MG$41,START!$B$3,($L45+1))*-44/12)+($I45*INDEX('DEFAULT DATA'!$DZ$9:$MG$41,START!$B$3,($L45+2))*-44/12)+($I45*INDEX('DEFAULT DATA'!$DZ$9:$MG$41,START!$B$3,($L45+3))*-44/12)+($J45*INDEX('DEFAULT DATA'!$DZ$9:$MG$41,START!$B$3,($L45+4))*-44/12)+($K45*INDEX('DEFAULT DATA'!$DZ$9:$MG$41,START!$B$3,($L45+5))*-44/12)</f>
        <v>0</v>
      </c>
      <c r="X45" s="221">
        <f>($I45*INDEX('DEFAULT DATA'!$DZ$9:$MG$41,START!$B$3,($L45))*-44/12)+($I45*INDEX('DEFAULT DATA'!$DZ$9:$MG$41,START!$B$3,($L45+1))*-44/12)+($I45*INDEX('DEFAULT DATA'!$DZ$9:$MG$41,START!$B$3,($L45+2))*-44/12)+($I45*INDEX('DEFAULT DATA'!$DZ$9:$MG$41,START!$B$3,($L45+3))*-44/12)+($J45*INDEX('DEFAULT DATA'!$DZ$9:$MG$41,START!$B$3,($L45+4))*-44/12)+($K45*INDEX('DEFAULT DATA'!$DZ$9:$MG$41,START!$B$3,($L45+5))*-44/12)</f>
        <v>0</v>
      </c>
      <c r="Y45" s="221">
        <f>($I45*INDEX('DEFAULT DATA'!$DZ$9:$MG$41,START!$B$3,($L45))*-44/12)+($I45*INDEX('DEFAULT DATA'!$DZ$9:$MG$41,START!$B$3,($L45+1))*-44/12)+($I45*INDEX('DEFAULT DATA'!$DZ$9:$MG$41,START!$B$3,($L45+2))*-44/12)+($I45*INDEX('DEFAULT DATA'!$DZ$9:$MG$41,START!$B$3,($L45+3))*-44/12)+($J45*INDEX('DEFAULT DATA'!$DZ$9:$MG$41,START!$B$3,($L45+4))*-44/12)+($K45*INDEX('DEFAULT DATA'!$DZ$9:$MG$41,START!$B$3,($L45+5))*-44/12)</f>
        <v>0</v>
      </c>
      <c r="Z45" s="221">
        <f>($I45*INDEX('DEFAULT DATA'!$DZ$9:$MG$41,START!$B$3,($L45))*-44/12)+($I45*INDEX('DEFAULT DATA'!$DZ$9:$MG$41,START!$B$3,($L45+1))*-44/12)+($I45*INDEX('DEFAULT DATA'!$DZ$9:$MG$41,START!$B$3,($L45+2))*-44/12)+($I45*INDEX('DEFAULT DATA'!$DZ$9:$MG$41,START!$B$3,($L45+3))*-44/12)+($J45*INDEX('DEFAULT DATA'!$DZ$9:$MG$41,START!$B$3,($L45+4))*-44/12)+($K45*INDEX('DEFAULT DATA'!$DZ$9:$MG$41,START!$B$3,($L45+5))*-44/12)</f>
        <v>0</v>
      </c>
      <c r="AA45" s="221">
        <f>($I45*INDEX('DEFAULT DATA'!$DZ$9:$MG$41,START!$B$3,($L45))*-44/12)+($I45*INDEX('DEFAULT DATA'!$DZ$9:$MG$41,START!$B$3,($L45+1))*-44/12)+($I45*INDEX('DEFAULT DATA'!$DZ$9:$MG$41,START!$B$3,($L45+2))*-44/12)+($I45*INDEX('DEFAULT DATA'!$DZ$9:$MG$41,START!$B$3,($L45+3))*-44/12)+($J45*INDEX('DEFAULT DATA'!$DZ$9:$MG$41,START!$B$3,($L45+4))*-44/12)+($K45*INDEX('DEFAULT DATA'!$DZ$9:$MG$41,START!$B$3,($L45+5))*-44/12)</f>
        <v>0</v>
      </c>
      <c r="AB45" s="221">
        <f>($I45*INDEX('DEFAULT DATA'!$DZ$9:$MG$41,START!$B$3,($L45))*-44/12)+($I45*INDEX('DEFAULT DATA'!$DZ$9:$MG$41,START!$B$3,($L45+1))*-44/12)+($I45*INDEX('DEFAULT DATA'!$DZ$9:$MG$41,START!$B$3,($L45+2))*-44/12)+($I45*INDEX('DEFAULT DATA'!$DZ$9:$MG$41,START!$B$3,($L45+3))*-44/12)+($J45*INDEX('DEFAULT DATA'!$DZ$9:$MG$41,START!$B$3,($L45+4))*-44/12)+($K45*INDEX('DEFAULT DATA'!$DZ$9:$MG$41,START!$B$3,($L45+5))*-44/12)</f>
        <v>0</v>
      </c>
      <c r="AC45" s="221">
        <f>($I45*INDEX('DEFAULT DATA'!$DZ$9:$MG$41,START!$B$3,($L45))*-44/12)+($I45*INDEX('DEFAULT DATA'!$DZ$9:$MG$41,START!$B$3,($L45+1))*-44/12)+($I45*INDEX('DEFAULT DATA'!$DZ$9:$MG$41,START!$B$3,($L45+2))*-44/12)+($I45*INDEX('DEFAULT DATA'!$DZ$9:$MG$41,START!$B$3,($L45+3))*-44/12)+($J45*INDEX('DEFAULT DATA'!$DZ$9:$MG$41,START!$B$3,($L45+4))*-44/12)+($K45*INDEX('DEFAULT DATA'!$DZ$9:$MG$41,START!$B$3,($L45+5))*-44/12)</f>
        <v>0</v>
      </c>
      <c r="AD45" s="221">
        <f>($I45*INDEX('DEFAULT DATA'!$DZ$9:$MG$41,START!$B$3,($L45))*-44/12)+($I45*INDEX('DEFAULT DATA'!$DZ$9:$MG$41,START!$B$3,($L45+1))*-44/12)+($I45*INDEX('DEFAULT DATA'!$DZ$9:$MG$41,START!$B$3,($L45+2))*-44/12)+($I45*INDEX('DEFAULT DATA'!$DZ$9:$MG$41,START!$B$3,($L45+3))*-44/12)+($J45*INDEX('DEFAULT DATA'!$DZ$9:$MG$41,START!$B$3,($L45+4))*-44/12)+($K45*INDEX('DEFAULT DATA'!$DZ$9:$MG$41,START!$B$3,($L45+5))*-44/12)</f>
        <v>0</v>
      </c>
      <c r="AE45" s="221">
        <f>($I45*INDEX('DEFAULT DATA'!$DZ$9:$MG$41,START!$B$3,($L45))*-44/12)+($I45*INDEX('DEFAULT DATA'!$DZ$9:$MG$41,START!$B$3,($L45+1))*-44/12)+($I45*INDEX('DEFAULT DATA'!$DZ$9:$MG$41,START!$B$3,($L45+2))*-44/12)+($I45*INDEX('DEFAULT DATA'!$DZ$9:$MG$41,START!$B$3,($L45+3))*-44/12)+($J45*INDEX('DEFAULT DATA'!$DZ$9:$MG$41,START!$B$3,($L45+4))*-44/12)+($K45*INDEX('DEFAULT DATA'!$DZ$9:$MG$41,START!$B$3,($L45+5))*-44/12)</f>
        <v>0</v>
      </c>
      <c r="AF45" s="221">
        <f>($I45*INDEX('DEFAULT DATA'!$DZ$9:$MG$41,START!$B$3,($L45))*-44/12)+($I45*INDEX('DEFAULT DATA'!$DZ$9:$MG$41,START!$B$3,($L45+1))*-44/12)+($I45*INDEX('DEFAULT DATA'!$DZ$9:$MG$41,START!$B$3,($L45+2))*-44/12)+($I45*INDEX('DEFAULT DATA'!$DZ$9:$MG$41,START!$B$3,($L45+3))*-44/12)+($J45*INDEX('DEFAULT DATA'!$DZ$9:$MG$41,START!$B$3,($L45+4))*-44/12)+($K45*INDEX('DEFAULT DATA'!$DZ$9:$MG$41,START!$B$3,($L45+5))*-44/12)</f>
        <v>0</v>
      </c>
      <c r="AG45" s="221">
        <f>($I45*INDEX('DEFAULT DATA'!$DZ$9:$MG$41,START!$B$3,($L45))*-44/12)+($I45*INDEX('DEFAULT DATA'!$DZ$9:$MG$41,START!$B$3,($L45+1))*-44/12)+($I45*INDEX('DEFAULT DATA'!$DZ$9:$MG$41,START!$B$3,($L45+2))*-44/12)+($I45*INDEX('DEFAULT DATA'!$DZ$9:$MG$41,START!$B$3,($L45+3))*-44/12)+($J45*INDEX('DEFAULT DATA'!$DZ$9:$MG$41,START!$B$3,($L45+4))*-44/12)+($K45*INDEX('DEFAULT DATA'!$DZ$9:$MG$41,START!$B$3,($L45+5))*-44/12)</f>
        <v>0</v>
      </c>
      <c r="AH45" s="221">
        <f>($I45*INDEX('DEFAULT DATA'!$DZ$9:$MG$41,START!$B$3,($L45))*-44/12)+($I45*INDEX('DEFAULT DATA'!$DZ$9:$MG$41,START!$B$3,($L45+1))*-44/12)+($I45*INDEX('DEFAULT DATA'!$DZ$9:$MG$41,START!$B$3,($L45+2))*-44/12)+($I45*INDEX('DEFAULT DATA'!$DZ$9:$MG$41,START!$B$3,($L45+3))*-44/12)+($J45*INDEX('DEFAULT DATA'!$DZ$9:$MG$41,START!$B$3,($L45+4))*-44/12)+($K45*INDEX('DEFAULT DATA'!$DZ$9:$MG$41,START!$B$3,($L45+5))*-44/12)</f>
        <v>0</v>
      </c>
      <c r="AI45" s="307">
        <f>(($I45*INDEX('DEFAULT DATA'!$LJ$9:$LO$41,START!$B$3,1)*-44/12)+($I45*INDEX('DEFAULT DATA'!$LJ$9:$LO$41,START!$B$3,2)*-44/12)+($I45*INDEX('DEFAULT DATA'!$LJ$9:$LO$41,START!$B$3,3)*-44/12)+($I45*INDEX('DEFAULT DATA'!$LJ$9:$LO$41,START!$B$3,4)*-44/12)+($J45*INDEX('DEFAULT DATA'!$LJ$9:$LO$41,START!$B$3,5)*-44/12)+($K45*INDEX('DEFAULT DATA'!$LJ$9:$LO$41,START!$B$3,6)*-44/12))</f>
        <v>24.274250134003282</v>
      </c>
      <c r="AJ45" s="307">
        <f>(($I45*INDEX('DEFAULT DATA'!$LJ$9:$LO$41,START!$B$3,1)*-44/12)+($I45*INDEX('DEFAULT DATA'!$LJ$9:$LO$41,START!$B$3,2)*-44/12)+($I45*INDEX('DEFAULT DATA'!$LJ$9:$LO$41,START!$B$3,3)*-44/12)+($I45*INDEX('DEFAULT DATA'!$LJ$9:$LO$41,START!$B$3,4)*-44/12)+($J45*INDEX('DEFAULT DATA'!$LJ$9:$LO$41,START!$B$3,5)*-44/12)+($K45*INDEX('DEFAULT DATA'!$LJ$9:$LO$41,START!$B$3,6)*-44/12))</f>
        <v>24.274250134003282</v>
      </c>
      <c r="AK45" s="307">
        <f>(($I45*INDEX('DEFAULT DATA'!$LJ$9:$LO$41,START!$B$3,1)*-44/12)+($I45*INDEX('DEFAULT DATA'!$LJ$9:$LO$41,START!$B$3,2)*-44/12)+($I45*INDEX('DEFAULT DATA'!$LJ$9:$LO$41,START!$B$3,3)*-44/12)+($I45*INDEX('DEFAULT DATA'!$LJ$9:$LO$41,START!$B$3,4)*-44/12)+($J45*INDEX('DEFAULT DATA'!$LJ$9:$LO$41,START!$B$3,5)*-44/12)+($K45*INDEX('DEFAULT DATA'!$LJ$9:$LO$41,START!$B$3,6)*-44/12))</f>
        <v>24.274250134003282</v>
      </c>
      <c r="AL45" s="307">
        <f>(($I45*INDEX('DEFAULT DATA'!$LJ$9:$LO$41,START!$B$3,1)*-44/12)+($I45*INDEX('DEFAULT DATA'!$LJ$9:$LO$41,START!$B$3,2)*-44/12)+($I45*INDEX('DEFAULT DATA'!$LJ$9:$LO$41,START!$B$3,3)*-44/12)+($I45*INDEX('DEFAULT DATA'!$LJ$9:$LO$41,START!$B$3,4)*-44/12)+($J45*INDEX('DEFAULT DATA'!$LJ$9:$LO$41,START!$B$3,5)*-44/12)+($K45*INDEX('DEFAULT DATA'!$LJ$9:$LO$41,START!$B$3,6)*-44/12))</f>
        <v>24.274250134003282</v>
      </c>
      <c r="AM45" s="307">
        <f>(($I45*INDEX('DEFAULT DATA'!$LJ$9:$LO$41,START!$B$3,1)*-44/12)+($I45*INDEX('DEFAULT DATA'!$LJ$9:$LO$41,START!$B$3,2)*-44/12)+($I45*INDEX('DEFAULT DATA'!$LJ$9:$LO$41,START!$B$3,3)*-44/12)+($I45*INDEX('DEFAULT DATA'!$LJ$9:$LO$41,START!$B$3,4)*-44/12)+($J45*INDEX('DEFAULT DATA'!$LJ$9:$LO$41,START!$B$3,5)*-44/12)+($K45*INDEX('DEFAULT DATA'!$LJ$9:$LO$41,START!$B$3,6)*-44/12))</f>
        <v>24.274250134003282</v>
      </c>
      <c r="AN45" s="307">
        <f>(($I45*INDEX('DEFAULT DATA'!$LJ$9:$LO$41,START!$B$3,1)*-44/12)+($I45*INDEX('DEFAULT DATA'!$LJ$9:$LO$41,START!$B$3,2)*-44/12)+($I45*INDEX('DEFAULT DATA'!$LJ$9:$LO$41,START!$B$3,3)*-44/12)+($I45*INDEX('DEFAULT DATA'!$LJ$9:$LO$41,START!$B$3,4)*-44/12)+($J45*INDEX('DEFAULT DATA'!$LJ$9:$LO$41,START!$B$3,5)*-44/12)+($K45*INDEX('DEFAULT DATA'!$LJ$9:$LO$41,START!$B$3,6)*-44/12))</f>
        <v>24.274250134003282</v>
      </c>
      <c r="AO45" s="307">
        <f>(($I45*INDEX('DEFAULT DATA'!$LJ$9:$LO$41,START!$B$3,1)*-44/12)+($I45*INDEX('DEFAULT DATA'!$LJ$9:$LO$41,START!$B$3,2)*-44/12)+($I45*INDEX('DEFAULT DATA'!$LJ$9:$LO$41,START!$B$3,3)*-44/12)+($I45*INDEX('DEFAULT DATA'!$LJ$9:$LO$41,START!$B$3,4)*-44/12)+($J45*INDEX('DEFAULT DATA'!$LJ$9:$LO$41,START!$B$3,5)*-44/12)+($K45*INDEX('DEFAULT DATA'!$LJ$9:$LO$41,START!$B$3,6)*-44/12))</f>
        <v>24.274250134003282</v>
      </c>
      <c r="AP45" s="307">
        <f>(($I45*INDEX('DEFAULT DATA'!$LJ$9:$LO$41,START!$B$3,1)*-44/12)+($I45*INDEX('DEFAULT DATA'!$LJ$9:$LO$41,START!$B$3,2)*-44/12)+($I45*INDEX('DEFAULT DATA'!$LJ$9:$LO$41,START!$B$3,3)*-44/12)+($I45*INDEX('DEFAULT DATA'!$LJ$9:$LO$41,START!$B$3,4)*-44/12)+($J45*INDEX('DEFAULT DATA'!$LJ$9:$LO$41,START!$B$3,5)*-44/12)+($K45*INDEX('DEFAULT DATA'!$LJ$9:$LO$41,START!$B$3,6)*-44/12))</f>
        <v>24.274250134003282</v>
      </c>
      <c r="AQ45" s="307">
        <f>(($I45*INDEX('DEFAULT DATA'!$LJ$9:$LO$41,START!$B$3,1)*-44/12)+($I45*INDEX('DEFAULT DATA'!$LJ$9:$LO$41,START!$B$3,2)*-44/12)+($I45*INDEX('DEFAULT DATA'!$LJ$9:$LO$41,START!$B$3,3)*-44/12)+($I45*INDEX('DEFAULT DATA'!$LJ$9:$LO$41,START!$B$3,4)*-44/12)+($J45*INDEX('DEFAULT DATA'!$LJ$9:$LO$41,START!$B$3,5)*-44/12)+($K45*INDEX('DEFAULT DATA'!$LJ$9:$LO$41,START!$B$3,6)*-44/12))</f>
        <v>24.274250134003282</v>
      </c>
      <c r="AR45" s="557">
        <f>(($I45*INDEX('DEFAULT DATA'!$LJ$9:$LO$41,START!$B$3,1)*-44/12)+($I45*INDEX('DEFAULT DATA'!$LJ$9:$LO$41,START!$B$3,2)*-44/12)+($I45*INDEX('DEFAULT DATA'!$LJ$9:$LO$41,START!$B$3,3)*-44/12)+($I45*INDEX('DEFAULT DATA'!$LJ$9:$LO$41,START!$B$3,4)*-44/12)+($J45*INDEX('DEFAULT DATA'!$LJ$9:$LO$41,START!$B$3,5)*-44/12)+($K45*INDEX('DEFAULT DATA'!$LJ$9:$LO$41,START!$B$3,6)*-44/12))</f>
        <v>24.274250134003282</v>
      </c>
    </row>
    <row r="46" spans="1:44" ht="20.100000000000001" customHeight="1">
      <c r="A46" s="507" t="s">
        <v>1006</v>
      </c>
      <c r="B46" s="134"/>
      <c r="C46" s="134"/>
      <c r="D46" s="508">
        <v>2</v>
      </c>
      <c r="E46" s="508">
        <v>1</v>
      </c>
      <c r="F46" s="522">
        <v>1</v>
      </c>
      <c r="G46" s="134">
        <v>1</v>
      </c>
      <c r="H46" s="37"/>
      <c r="I46" s="514">
        <f t="shared" si="36"/>
        <v>2</v>
      </c>
      <c r="J46" s="511">
        <f t="shared" si="37"/>
        <v>1</v>
      </c>
      <c r="K46" s="511">
        <f t="shared" si="38"/>
        <v>1</v>
      </c>
      <c r="L46" s="384">
        <f t="shared" si="40"/>
        <v>73</v>
      </c>
      <c r="M46" s="535" t="s">
        <v>943</v>
      </c>
      <c r="N46" s="539">
        <f t="shared" si="39"/>
        <v>2022</v>
      </c>
      <c r="O46" s="221">
        <f>($I46*INDEX('DEFAULT DATA'!$DZ$9:$MG$41,START!$B$3,($L46))*-44/12)+($I46*INDEX('DEFAULT DATA'!$DZ$9:$MG$41,START!$B$3,($L46+1))*-44/12)+($I46*INDEX('DEFAULT DATA'!$DZ$9:$MG$41,START!$B$3,($L46+2))*-44/12)+($I46*INDEX('DEFAULT DATA'!$DZ$9:$MG$41,START!$B$3,($L46+3))*-44/12)+($J46*INDEX('DEFAULT DATA'!$DZ$9:$MG$41,START!$B$3,($L46+4))*-44/12)+($K46*INDEX('DEFAULT DATA'!$DZ$9:$MG$41,START!$B$3,($L46+5))*-44/12)</f>
        <v>0</v>
      </c>
      <c r="P46" s="221">
        <f>($I46*INDEX('DEFAULT DATA'!$DZ$9:$MG$41,START!$B$3,($L46))*-44/12)+($I46*INDEX('DEFAULT DATA'!$DZ$9:$MG$41,START!$B$3,($L46+1))*-44/12)+($I46*INDEX('DEFAULT DATA'!$DZ$9:$MG$41,START!$B$3,($L46+2))*-44/12)+($I46*INDEX('DEFAULT DATA'!$DZ$9:$MG$41,START!$B$3,($L46+3))*-44/12)+($J46*INDEX('DEFAULT DATA'!$DZ$9:$MG$41,START!$B$3,($L46+4))*-44/12)+($K46*INDEX('DEFAULT DATA'!$DZ$9:$MG$41,START!$B$3,($L46+5))*-44/12)</f>
        <v>0</v>
      </c>
      <c r="Q46" s="221">
        <f>($I46*INDEX('DEFAULT DATA'!$DZ$9:$MG$41,START!$B$3,($L46))*-44/12)+($I46*INDEX('DEFAULT DATA'!$DZ$9:$MG$41,START!$B$3,($L46+1))*-44/12)+($I46*INDEX('DEFAULT DATA'!$DZ$9:$MG$41,START!$B$3,($L46+2))*-44/12)+($I46*INDEX('DEFAULT DATA'!$DZ$9:$MG$41,START!$B$3,($L46+3))*-44/12)+($J46*INDEX('DEFAULT DATA'!$DZ$9:$MG$41,START!$B$3,($L46+4))*-44/12)+($K46*INDEX('DEFAULT DATA'!$DZ$9:$MG$41,START!$B$3,($L46+5))*-44/12)</f>
        <v>0</v>
      </c>
      <c r="R46" s="221">
        <f>($I46*INDEX('DEFAULT DATA'!$DZ$9:$MG$41,START!$B$3,($L46))*-44/12)+($I46*INDEX('DEFAULT DATA'!$DZ$9:$MG$41,START!$B$3,($L46+1))*-44/12)+($I46*INDEX('DEFAULT DATA'!$DZ$9:$MG$41,START!$B$3,($L46+2))*-44/12)+($I46*INDEX('DEFAULT DATA'!$DZ$9:$MG$41,START!$B$3,($L46+3))*-44/12)+($J46*INDEX('DEFAULT DATA'!$DZ$9:$MG$41,START!$B$3,($L46+4))*-44/12)+($K46*INDEX('DEFAULT DATA'!$DZ$9:$MG$41,START!$B$3,($L46+5))*-44/12)</f>
        <v>0</v>
      </c>
      <c r="S46" s="221">
        <f>($I46*INDEX('DEFAULT DATA'!$DZ$9:$MG$41,START!$B$3,($L46))*-44/12)+($I46*INDEX('DEFAULT DATA'!$DZ$9:$MG$41,START!$B$3,($L46+1))*-44/12)+($I46*INDEX('DEFAULT DATA'!$DZ$9:$MG$41,START!$B$3,($L46+2))*-44/12)+($I46*INDEX('DEFAULT DATA'!$DZ$9:$MG$41,START!$B$3,($L46+3))*-44/12)+($J46*INDEX('DEFAULT DATA'!$DZ$9:$MG$41,START!$B$3,($L46+4))*-44/12)+($K46*INDEX('DEFAULT DATA'!$DZ$9:$MG$41,START!$B$3,($L46+5))*-44/12)</f>
        <v>0</v>
      </c>
      <c r="T46" s="221">
        <f>($I46*INDEX('DEFAULT DATA'!$DZ$9:$MG$41,START!$B$3,($L46))*-44/12)+($I46*INDEX('DEFAULT DATA'!$DZ$9:$MG$41,START!$B$3,($L46+1))*-44/12)+($I46*INDEX('DEFAULT DATA'!$DZ$9:$MG$41,START!$B$3,($L46+2))*-44/12)+($I46*INDEX('DEFAULT DATA'!$DZ$9:$MG$41,START!$B$3,($L46+3))*-44/12)+($J46*INDEX('DEFAULT DATA'!$DZ$9:$MG$41,START!$B$3,($L46+4))*-44/12)+($K46*INDEX('DEFAULT DATA'!$DZ$9:$MG$41,START!$B$3,($L46+5))*-44/12)</f>
        <v>0</v>
      </c>
      <c r="U46" s="221">
        <f>($I46*INDEX('DEFAULT DATA'!$DZ$9:$MG$41,START!$B$3,($L46))*-44/12)+($I46*INDEX('DEFAULT DATA'!$DZ$9:$MG$41,START!$B$3,($L46+1))*-44/12)+($I46*INDEX('DEFAULT DATA'!$DZ$9:$MG$41,START!$B$3,($L46+2))*-44/12)+($I46*INDEX('DEFAULT DATA'!$DZ$9:$MG$41,START!$B$3,($L46+3))*-44/12)+($J46*INDEX('DEFAULT DATA'!$DZ$9:$MG$41,START!$B$3,($L46+4))*-44/12)+($K46*INDEX('DEFAULT DATA'!$DZ$9:$MG$41,START!$B$3,($L46+5))*-44/12)</f>
        <v>0</v>
      </c>
      <c r="V46" s="221">
        <f>($I46*INDEX('DEFAULT DATA'!$DZ$9:$MG$41,START!$B$3,($L46))*-44/12)+($I46*INDEX('DEFAULT DATA'!$DZ$9:$MG$41,START!$B$3,($L46+1))*-44/12)+($I46*INDEX('DEFAULT DATA'!$DZ$9:$MG$41,START!$B$3,($L46+2))*-44/12)+($I46*INDEX('DEFAULT DATA'!$DZ$9:$MG$41,START!$B$3,($L46+3))*-44/12)+($J46*INDEX('DEFAULT DATA'!$DZ$9:$MG$41,START!$B$3,($L46+4))*-44/12)+($K46*INDEX('DEFAULT DATA'!$DZ$9:$MG$41,START!$B$3,($L46+5))*-44/12)</f>
        <v>0</v>
      </c>
      <c r="W46" s="221">
        <f>($I46*INDEX('DEFAULT DATA'!$DZ$9:$MG$41,START!$B$3,($L46))*-44/12)+($I46*INDEX('DEFAULT DATA'!$DZ$9:$MG$41,START!$B$3,($L46+1))*-44/12)+($I46*INDEX('DEFAULT DATA'!$DZ$9:$MG$41,START!$B$3,($L46+2))*-44/12)+($I46*INDEX('DEFAULT DATA'!$DZ$9:$MG$41,START!$B$3,($L46+3))*-44/12)+($J46*INDEX('DEFAULT DATA'!$DZ$9:$MG$41,START!$B$3,($L46+4))*-44/12)+($K46*INDEX('DEFAULT DATA'!$DZ$9:$MG$41,START!$B$3,($L46+5))*-44/12)</f>
        <v>0</v>
      </c>
      <c r="X46" s="221">
        <f>($I46*INDEX('DEFAULT DATA'!$DZ$9:$MG$41,START!$B$3,($L46))*-44/12)+($I46*INDEX('DEFAULT DATA'!$DZ$9:$MG$41,START!$B$3,($L46+1))*-44/12)+($I46*INDEX('DEFAULT DATA'!$DZ$9:$MG$41,START!$B$3,($L46+2))*-44/12)+($I46*INDEX('DEFAULT DATA'!$DZ$9:$MG$41,START!$B$3,($L46+3))*-44/12)+($J46*INDEX('DEFAULT DATA'!$DZ$9:$MG$41,START!$B$3,($L46+4))*-44/12)+($K46*INDEX('DEFAULT DATA'!$DZ$9:$MG$41,START!$B$3,($L46+5))*-44/12)</f>
        <v>0</v>
      </c>
      <c r="Y46" s="221">
        <f>($I46*INDEX('DEFAULT DATA'!$DZ$9:$MG$41,START!$B$3,($L46))*-44/12)+($I46*INDEX('DEFAULT DATA'!$DZ$9:$MG$41,START!$B$3,($L46+1))*-44/12)+($I46*INDEX('DEFAULT DATA'!$DZ$9:$MG$41,START!$B$3,($L46+2))*-44/12)+($I46*INDEX('DEFAULT DATA'!$DZ$9:$MG$41,START!$B$3,($L46+3))*-44/12)+($J46*INDEX('DEFAULT DATA'!$DZ$9:$MG$41,START!$B$3,($L46+4))*-44/12)+($K46*INDEX('DEFAULT DATA'!$DZ$9:$MG$41,START!$B$3,($L46+5))*-44/12)</f>
        <v>0</v>
      </c>
      <c r="Z46" s="221">
        <f>($I46*INDEX('DEFAULT DATA'!$DZ$9:$MG$41,START!$B$3,($L46))*-44/12)+($I46*INDEX('DEFAULT DATA'!$DZ$9:$MG$41,START!$B$3,($L46+1))*-44/12)+($I46*INDEX('DEFAULT DATA'!$DZ$9:$MG$41,START!$B$3,($L46+2))*-44/12)+($I46*INDEX('DEFAULT DATA'!$DZ$9:$MG$41,START!$B$3,($L46+3))*-44/12)+($J46*INDEX('DEFAULT DATA'!$DZ$9:$MG$41,START!$B$3,($L46+4))*-44/12)+($K46*INDEX('DEFAULT DATA'!$DZ$9:$MG$41,START!$B$3,($L46+5))*-44/12)</f>
        <v>0</v>
      </c>
      <c r="AA46" s="221">
        <f>($I46*INDEX('DEFAULT DATA'!$DZ$9:$MG$41,START!$B$3,($L46))*-44/12)+($I46*INDEX('DEFAULT DATA'!$DZ$9:$MG$41,START!$B$3,($L46+1))*-44/12)+($I46*INDEX('DEFAULT DATA'!$DZ$9:$MG$41,START!$B$3,($L46+2))*-44/12)+($I46*INDEX('DEFAULT DATA'!$DZ$9:$MG$41,START!$B$3,($L46+3))*-44/12)+($J46*INDEX('DEFAULT DATA'!$DZ$9:$MG$41,START!$B$3,($L46+4))*-44/12)+($K46*INDEX('DEFAULT DATA'!$DZ$9:$MG$41,START!$B$3,($L46+5))*-44/12)</f>
        <v>0</v>
      </c>
      <c r="AB46" s="221">
        <f>($I46*INDEX('DEFAULT DATA'!$DZ$9:$MG$41,START!$B$3,($L46))*-44/12)+($I46*INDEX('DEFAULT DATA'!$DZ$9:$MG$41,START!$B$3,($L46+1))*-44/12)+($I46*INDEX('DEFAULT DATA'!$DZ$9:$MG$41,START!$B$3,($L46+2))*-44/12)+($I46*INDEX('DEFAULT DATA'!$DZ$9:$MG$41,START!$B$3,($L46+3))*-44/12)+($J46*INDEX('DEFAULT DATA'!$DZ$9:$MG$41,START!$B$3,($L46+4))*-44/12)+($K46*INDEX('DEFAULT DATA'!$DZ$9:$MG$41,START!$B$3,($L46+5))*-44/12)</f>
        <v>0</v>
      </c>
      <c r="AC46" s="221">
        <f>($I46*INDEX('DEFAULT DATA'!$DZ$9:$MG$41,START!$B$3,($L46))*-44/12)+($I46*INDEX('DEFAULT DATA'!$DZ$9:$MG$41,START!$B$3,($L46+1))*-44/12)+($I46*INDEX('DEFAULT DATA'!$DZ$9:$MG$41,START!$B$3,($L46+2))*-44/12)+($I46*INDEX('DEFAULT DATA'!$DZ$9:$MG$41,START!$B$3,($L46+3))*-44/12)+($J46*INDEX('DEFAULT DATA'!$DZ$9:$MG$41,START!$B$3,($L46+4))*-44/12)+($K46*INDEX('DEFAULT DATA'!$DZ$9:$MG$41,START!$B$3,($L46+5))*-44/12)</f>
        <v>0</v>
      </c>
      <c r="AD46" s="221">
        <f>($I46*INDEX('DEFAULT DATA'!$DZ$9:$MG$41,START!$B$3,($L46))*-44/12)+($I46*INDEX('DEFAULT DATA'!$DZ$9:$MG$41,START!$B$3,($L46+1))*-44/12)+($I46*INDEX('DEFAULT DATA'!$DZ$9:$MG$41,START!$B$3,($L46+2))*-44/12)+($I46*INDEX('DEFAULT DATA'!$DZ$9:$MG$41,START!$B$3,($L46+3))*-44/12)+($J46*INDEX('DEFAULT DATA'!$DZ$9:$MG$41,START!$B$3,($L46+4))*-44/12)+($K46*INDEX('DEFAULT DATA'!$DZ$9:$MG$41,START!$B$3,($L46+5))*-44/12)</f>
        <v>0</v>
      </c>
      <c r="AE46" s="221">
        <f>($I46*INDEX('DEFAULT DATA'!$DZ$9:$MG$41,START!$B$3,($L46))*-44/12)+($I46*INDEX('DEFAULT DATA'!$DZ$9:$MG$41,START!$B$3,($L46+1))*-44/12)+($I46*INDEX('DEFAULT DATA'!$DZ$9:$MG$41,START!$B$3,($L46+2))*-44/12)+($I46*INDEX('DEFAULT DATA'!$DZ$9:$MG$41,START!$B$3,($L46+3))*-44/12)+($J46*INDEX('DEFAULT DATA'!$DZ$9:$MG$41,START!$B$3,($L46+4))*-44/12)+($K46*INDEX('DEFAULT DATA'!$DZ$9:$MG$41,START!$B$3,($L46+5))*-44/12)</f>
        <v>0</v>
      </c>
      <c r="AF46" s="221">
        <f>($I46*INDEX('DEFAULT DATA'!$DZ$9:$MG$41,START!$B$3,($L46))*-44/12)+($I46*INDEX('DEFAULT DATA'!$DZ$9:$MG$41,START!$B$3,($L46+1))*-44/12)+($I46*INDEX('DEFAULT DATA'!$DZ$9:$MG$41,START!$B$3,($L46+2))*-44/12)+($I46*INDEX('DEFAULT DATA'!$DZ$9:$MG$41,START!$B$3,($L46+3))*-44/12)+($J46*INDEX('DEFAULT DATA'!$DZ$9:$MG$41,START!$B$3,($L46+4))*-44/12)+($K46*INDEX('DEFAULT DATA'!$DZ$9:$MG$41,START!$B$3,($L46+5))*-44/12)</f>
        <v>0</v>
      </c>
      <c r="AG46" s="221">
        <f>($I46*INDEX('DEFAULT DATA'!$DZ$9:$MG$41,START!$B$3,($L46))*-44/12)+($I46*INDEX('DEFAULT DATA'!$DZ$9:$MG$41,START!$B$3,($L46+1))*-44/12)+($I46*INDEX('DEFAULT DATA'!$DZ$9:$MG$41,START!$B$3,($L46+2))*-44/12)+($I46*INDEX('DEFAULT DATA'!$DZ$9:$MG$41,START!$B$3,($L46+3))*-44/12)+($J46*INDEX('DEFAULT DATA'!$DZ$9:$MG$41,START!$B$3,($L46+4))*-44/12)+($K46*INDEX('DEFAULT DATA'!$DZ$9:$MG$41,START!$B$3,($L46+5))*-44/12)</f>
        <v>0</v>
      </c>
      <c r="AH46" s="221">
        <f>($I46*INDEX('DEFAULT DATA'!$DZ$9:$MG$41,START!$B$3,($L46))*-44/12)+($I46*INDEX('DEFAULT DATA'!$DZ$9:$MG$41,START!$B$3,($L46+1))*-44/12)+($I46*INDEX('DEFAULT DATA'!$DZ$9:$MG$41,START!$B$3,($L46+2))*-44/12)+($I46*INDEX('DEFAULT DATA'!$DZ$9:$MG$41,START!$B$3,($L46+3))*-44/12)+($J46*INDEX('DEFAULT DATA'!$DZ$9:$MG$41,START!$B$3,($L46+4))*-44/12)+($K46*INDEX('DEFAULT DATA'!$DZ$9:$MG$41,START!$B$3,($L46+5))*-44/12)</f>
        <v>0</v>
      </c>
      <c r="AI46" s="307">
        <f>(($I46*INDEX('DEFAULT DATA'!$LJ$9:$LO$41,START!$B$3,1)*-44/12)+($I46*INDEX('DEFAULT DATA'!$LJ$9:$LO$41,START!$B$3,2)*-44/12)+($I46*INDEX('DEFAULT DATA'!$LJ$9:$LO$41,START!$B$3,3)*-44/12)+($I46*INDEX('DEFAULT DATA'!$LJ$9:$LO$41,START!$B$3,4)*-44/12)+($J46*INDEX('DEFAULT DATA'!$LJ$9:$LO$41,START!$B$3,5)*-44/12)+($K46*INDEX('DEFAULT DATA'!$LJ$9:$LO$41,START!$B$3,6)*-44/12))</f>
        <v>24.274250134003282</v>
      </c>
      <c r="AJ46" s="307">
        <f>(($I46*INDEX('DEFAULT DATA'!$LJ$9:$LO$41,START!$B$3,1)*-44/12)+($I46*INDEX('DEFAULT DATA'!$LJ$9:$LO$41,START!$B$3,2)*-44/12)+($I46*INDEX('DEFAULT DATA'!$LJ$9:$LO$41,START!$B$3,3)*-44/12)+($I46*INDEX('DEFAULT DATA'!$LJ$9:$LO$41,START!$B$3,4)*-44/12)+($J46*INDEX('DEFAULT DATA'!$LJ$9:$LO$41,START!$B$3,5)*-44/12)+($K46*INDEX('DEFAULT DATA'!$LJ$9:$LO$41,START!$B$3,6)*-44/12))</f>
        <v>24.274250134003282</v>
      </c>
      <c r="AK46" s="307">
        <f>(($I46*INDEX('DEFAULT DATA'!$LJ$9:$LO$41,START!$B$3,1)*-44/12)+($I46*INDEX('DEFAULT DATA'!$LJ$9:$LO$41,START!$B$3,2)*-44/12)+($I46*INDEX('DEFAULT DATA'!$LJ$9:$LO$41,START!$B$3,3)*-44/12)+($I46*INDEX('DEFAULT DATA'!$LJ$9:$LO$41,START!$B$3,4)*-44/12)+($J46*INDEX('DEFAULT DATA'!$LJ$9:$LO$41,START!$B$3,5)*-44/12)+($K46*INDEX('DEFAULT DATA'!$LJ$9:$LO$41,START!$B$3,6)*-44/12))</f>
        <v>24.274250134003282</v>
      </c>
      <c r="AL46" s="307">
        <f>(($I46*INDEX('DEFAULT DATA'!$LJ$9:$LO$41,START!$B$3,1)*-44/12)+($I46*INDEX('DEFAULT DATA'!$LJ$9:$LO$41,START!$B$3,2)*-44/12)+($I46*INDEX('DEFAULT DATA'!$LJ$9:$LO$41,START!$B$3,3)*-44/12)+($I46*INDEX('DEFAULT DATA'!$LJ$9:$LO$41,START!$B$3,4)*-44/12)+($J46*INDEX('DEFAULT DATA'!$LJ$9:$LO$41,START!$B$3,5)*-44/12)+($K46*INDEX('DEFAULT DATA'!$LJ$9:$LO$41,START!$B$3,6)*-44/12))</f>
        <v>24.274250134003282</v>
      </c>
      <c r="AM46" s="307">
        <f>(($I46*INDEX('DEFAULT DATA'!$LJ$9:$LO$41,START!$B$3,1)*-44/12)+($I46*INDEX('DEFAULT DATA'!$LJ$9:$LO$41,START!$B$3,2)*-44/12)+($I46*INDEX('DEFAULT DATA'!$LJ$9:$LO$41,START!$B$3,3)*-44/12)+($I46*INDEX('DEFAULT DATA'!$LJ$9:$LO$41,START!$B$3,4)*-44/12)+($J46*INDEX('DEFAULT DATA'!$LJ$9:$LO$41,START!$B$3,5)*-44/12)+($K46*INDEX('DEFAULT DATA'!$LJ$9:$LO$41,START!$B$3,6)*-44/12))</f>
        <v>24.274250134003282</v>
      </c>
      <c r="AN46" s="307">
        <f>(($I46*INDEX('DEFAULT DATA'!$LJ$9:$LO$41,START!$B$3,1)*-44/12)+($I46*INDEX('DEFAULT DATA'!$LJ$9:$LO$41,START!$B$3,2)*-44/12)+($I46*INDEX('DEFAULT DATA'!$LJ$9:$LO$41,START!$B$3,3)*-44/12)+($I46*INDEX('DEFAULT DATA'!$LJ$9:$LO$41,START!$B$3,4)*-44/12)+($J46*INDEX('DEFAULT DATA'!$LJ$9:$LO$41,START!$B$3,5)*-44/12)+($K46*INDEX('DEFAULT DATA'!$LJ$9:$LO$41,START!$B$3,6)*-44/12))</f>
        <v>24.274250134003282</v>
      </c>
      <c r="AO46" s="307">
        <f>(($I46*INDEX('DEFAULT DATA'!$LJ$9:$LO$41,START!$B$3,1)*-44/12)+($I46*INDEX('DEFAULT DATA'!$LJ$9:$LO$41,START!$B$3,2)*-44/12)+($I46*INDEX('DEFAULT DATA'!$LJ$9:$LO$41,START!$B$3,3)*-44/12)+($I46*INDEX('DEFAULT DATA'!$LJ$9:$LO$41,START!$B$3,4)*-44/12)+($J46*INDEX('DEFAULT DATA'!$LJ$9:$LO$41,START!$B$3,5)*-44/12)+($K46*INDEX('DEFAULT DATA'!$LJ$9:$LO$41,START!$B$3,6)*-44/12))</f>
        <v>24.274250134003282</v>
      </c>
      <c r="AP46" s="307">
        <f>(($I46*INDEX('DEFAULT DATA'!$LJ$9:$LO$41,START!$B$3,1)*-44/12)+($I46*INDEX('DEFAULT DATA'!$LJ$9:$LO$41,START!$B$3,2)*-44/12)+($I46*INDEX('DEFAULT DATA'!$LJ$9:$LO$41,START!$B$3,3)*-44/12)+($I46*INDEX('DEFAULT DATA'!$LJ$9:$LO$41,START!$B$3,4)*-44/12)+($J46*INDEX('DEFAULT DATA'!$LJ$9:$LO$41,START!$B$3,5)*-44/12)+($K46*INDEX('DEFAULT DATA'!$LJ$9:$LO$41,START!$B$3,6)*-44/12))</f>
        <v>24.274250134003282</v>
      </c>
      <c r="AQ46" s="307">
        <f>(($I46*INDEX('DEFAULT DATA'!$LJ$9:$LO$41,START!$B$3,1)*-44/12)+($I46*INDEX('DEFAULT DATA'!$LJ$9:$LO$41,START!$B$3,2)*-44/12)+($I46*INDEX('DEFAULT DATA'!$LJ$9:$LO$41,START!$B$3,3)*-44/12)+($I46*INDEX('DEFAULT DATA'!$LJ$9:$LO$41,START!$B$3,4)*-44/12)+($J46*INDEX('DEFAULT DATA'!$LJ$9:$LO$41,START!$B$3,5)*-44/12)+($K46*INDEX('DEFAULT DATA'!$LJ$9:$LO$41,START!$B$3,6)*-44/12))</f>
        <v>24.274250134003282</v>
      </c>
      <c r="AR46" s="557">
        <f>(($I46*INDEX('DEFAULT DATA'!$LJ$9:$LO$41,START!$B$3,1)*-44/12)+($I46*INDEX('DEFAULT DATA'!$LJ$9:$LO$41,START!$B$3,2)*-44/12)+($I46*INDEX('DEFAULT DATA'!$LJ$9:$LO$41,START!$B$3,3)*-44/12)+($I46*INDEX('DEFAULT DATA'!$LJ$9:$LO$41,START!$B$3,4)*-44/12)+($J46*INDEX('DEFAULT DATA'!$LJ$9:$LO$41,START!$B$3,5)*-44/12)+($K46*INDEX('DEFAULT DATA'!$LJ$9:$LO$41,START!$B$3,6)*-44/12))</f>
        <v>24.274250134003282</v>
      </c>
    </row>
    <row r="47" spans="1:44" ht="20.100000000000001" customHeight="1">
      <c r="A47" s="501" t="s">
        <v>1007</v>
      </c>
      <c r="B47" s="65"/>
      <c r="C47" s="65"/>
      <c r="D47" s="505">
        <v>50</v>
      </c>
      <c r="E47" s="505">
        <v>1</v>
      </c>
      <c r="F47" s="506">
        <v>1</v>
      </c>
      <c r="G47" s="65">
        <v>1</v>
      </c>
      <c r="H47" s="44"/>
      <c r="I47" s="514">
        <f t="shared" si="36"/>
        <v>2</v>
      </c>
      <c r="J47" s="511">
        <f t="shared" si="37"/>
        <v>1</v>
      </c>
      <c r="K47" s="511">
        <f t="shared" si="38"/>
        <v>1</v>
      </c>
      <c r="L47" s="384">
        <f t="shared" si="40"/>
        <v>79</v>
      </c>
      <c r="M47" s="535" t="s">
        <v>944</v>
      </c>
      <c r="N47" s="539">
        <f t="shared" si="39"/>
        <v>2022</v>
      </c>
      <c r="O47" s="221">
        <f>($I47*INDEX('DEFAULT DATA'!$DZ$9:$MG$41,START!$B$3,($L47))*-44/12)+($I47*INDEX('DEFAULT DATA'!$DZ$9:$MG$41,START!$B$3,($L47+1))*-44/12)+($I47*INDEX('DEFAULT DATA'!$DZ$9:$MG$41,START!$B$3,($L47+2))*-44/12)+($I47*INDEX('DEFAULT DATA'!$DZ$9:$MG$41,START!$B$3,($L47+3))*-44/12)+($J47*INDEX('DEFAULT DATA'!$DZ$9:$MG$41,START!$B$3,($L47+4))*-44/12)+($K47*INDEX('DEFAULT DATA'!$DZ$9:$MG$41,START!$B$3,($L47+5))*-44/12)</f>
        <v>0</v>
      </c>
      <c r="P47" s="221">
        <f>($I47*INDEX('DEFAULT DATA'!$DZ$9:$MG$41,START!$B$3,($L47))*-44/12)+($I47*INDEX('DEFAULT DATA'!$DZ$9:$MG$41,START!$B$3,($L47+1))*-44/12)+($I47*INDEX('DEFAULT DATA'!$DZ$9:$MG$41,START!$B$3,($L47+2))*-44/12)+($I47*INDEX('DEFAULT DATA'!$DZ$9:$MG$41,START!$B$3,($L47+3))*-44/12)+($J47*INDEX('DEFAULT DATA'!$DZ$9:$MG$41,START!$B$3,($L47+4))*-44/12)+($K47*INDEX('DEFAULT DATA'!$DZ$9:$MG$41,START!$B$3,($L47+5))*-44/12)</f>
        <v>0</v>
      </c>
      <c r="Q47" s="221">
        <f>($I47*INDEX('DEFAULT DATA'!$DZ$9:$MG$41,START!$B$3,($L47))*-44/12)+($I47*INDEX('DEFAULT DATA'!$DZ$9:$MG$41,START!$B$3,($L47+1))*-44/12)+($I47*INDEX('DEFAULT DATA'!$DZ$9:$MG$41,START!$B$3,($L47+2))*-44/12)+($I47*INDEX('DEFAULT DATA'!$DZ$9:$MG$41,START!$B$3,($L47+3))*-44/12)+($J47*INDEX('DEFAULT DATA'!$DZ$9:$MG$41,START!$B$3,($L47+4))*-44/12)+($K47*INDEX('DEFAULT DATA'!$DZ$9:$MG$41,START!$B$3,($L47+5))*-44/12)</f>
        <v>0</v>
      </c>
      <c r="R47" s="221">
        <f>($I47*INDEX('DEFAULT DATA'!$DZ$9:$MG$41,START!$B$3,($L47))*-44/12)+($I47*INDEX('DEFAULT DATA'!$DZ$9:$MG$41,START!$B$3,($L47+1))*-44/12)+($I47*INDEX('DEFAULT DATA'!$DZ$9:$MG$41,START!$B$3,($L47+2))*-44/12)+($I47*INDEX('DEFAULT DATA'!$DZ$9:$MG$41,START!$B$3,($L47+3))*-44/12)+($J47*INDEX('DEFAULT DATA'!$DZ$9:$MG$41,START!$B$3,($L47+4))*-44/12)+($K47*INDEX('DEFAULT DATA'!$DZ$9:$MG$41,START!$B$3,($L47+5))*-44/12)</f>
        <v>0</v>
      </c>
      <c r="S47" s="221">
        <f>($I47*INDEX('DEFAULT DATA'!$DZ$9:$MG$41,START!$B$3,($L47))*-44/12)+($I47*INDEX('DEFAULT DATA'!$DZ$9:$MG$41,START!$B$3,($L47+1))*-44/12)+($I47*INDEX('DEFAULT DATA'!$DZ$9:$MG$41,START!$B$3,($L47+2))*-44/12)+($I47*INDEX('DEFAULT DATA'!$DZ$9:$MG$41,START!$B$3,($L47+3))*-44/12)+($J47*INDEX('DEFAULT DATA'!$DZ$9:$MG$41,START!$B$3,($L47+4))*-44/12)+($K47*INDEX('DEFAULT DATA'!$DZ$9:$MG$41,START!$B$3,($L47+5))*-44/12)</f>
        <v>0</v>
      </c>
      <c r="T47" s="221">
        <f>($I47*INDEX('DEFAULT DATA'!$DZ$9:$MG$41,START!$B$3,($L47))*-44/12)+($I47*INDEX('DEFAULT DATA'!$DZ$9:$MG$41,START!$B$3,($L47+1))*-44/12)+($I47*INDEX('DEFAULT DATA'!$DZ$9:$MG$41,START!$B$3,($L47+2))*-44/12)+($I47*INDEX('DEFAULT DATA'!$DZ$9:$MG$41,START!$B$3,($L47+3))*-44/12)+($J47*INDEX('DEFAULT DATA'!$DZ$9:$MG$41,START!$B$3,($L47+4))*-44/12)+($K47*INDEX('DEFAULT DATA'!$DZ$9:$MG$41,START!$B$3,($L47+5))*-44/12)</f>
        <v>0</v>
      </c>
      <c r="U47" s="221">
        <f>($I47*INDEX('DEFAULT DATA'!$DZ$9:$MG$41,START!$B$3,($L47))*-44/12)+($I47*INDEX('DEFAULT DATA'!$DZ$9:$MG$41,START!$B$3,($L47+1))*-44/12)+($I47*INDEX('DEFAULT DATA'!$DZ$9:$MG$41,START!$B$3,($L47+2))*-44/12)+($I47*INDEX('DEFAULT DATA'!$DZ$9:$MG$41,START!$B$3,($L47+3))*-44/12)+($J47*INDEX('DEFAULT DATA'!$DZ$9:$MG$41,START!$B$3,($L47+4))*-44/12)+($K47*INDEX('DEFAULT DATA'!$DZ$9:$MG$41,START!$B$3,($L47+5))*-44/12)</f>
        <v>0</v>
      </c>
      <c r="V47" s="221">
        <f>($I47*INDEX('DEFAULT DATA'!$DZ$9:$MG$41,START!$B$3,($L47))*-44/12)+($I47*INDEX('DEFAULT DATA'!$DZ$9:$MG$41,START!$B$3,($L47+1))*-44/12)+($I47*INDEX('DEFAULT DATA'!$DZ$9:$MG$41,START!$B$3,($L47+2))*-44/12)+($I47*INDEX('DEFAULT DATA'!$DZ$9:$MG$41,START!$B$3,($L47+3))*-44/12)+($J47*INDEX('DEFAULT DATA'!$DZ$9:$MG$41,START!$B$3,($L47+4))*-44/12)+($K47*INDEX('DEFAULT DATA'!$DZ$9:$MG$41,START!$B$3,($L47+5))*-44/12)</f>
        <v>0</v>
      </c>
      <c r="W47" s="221">
        <f>($I47*INDEX('DEFAULT DATA'!$DZ$9:$MG$41,START!$B$3,($L47))*-44/12)+($I47*INDEX('DEFAULT DATA'!$DZ$9:$MG$41,START!$B$3,($L47+1))*-44/12)+($I47*INDEX('DEFAULT DATA'!$DZ$9:$MG$41,START!$B$3,($L47+2))*-44/12)+($I47*INDEX('DEFAULT DATA'!$DZ$9:$MG$41,START!$B$3,($L47+3))*-44/12)+($J47*INDEX('DEFAULT DATA'!$DZ$9:$MG$41,START!$B$3,($L47+4))*-44/12)+($K47*INDEX('DEFAULT DATA'!$DZ$9:$MG$41,START!$B$3,($L47+5))*-44/12)</f>
        <v>0</v>
      </c>
      <c r="X47" s="221">
        <f>($I47*INDEX('DEFAULT DATA'!$DZ$9:$MG$41,START!$B$3,($L47))*-44/12)+($I47*INDEX('DEFAULT DATA'!$DZ$9:$MG$41,START!$B$3,($L47+1))*-44/12)+($I47*INDEX('DEFAULT DATA'!$DZ$9:$MG$41,START!$B$3,($L47+2))*-44/12)+($I47*INDEX('DEFAULT DATA'!$DZ$9:$MG$41,START!$B$3,($L47+3))*-44/12)+($J47*INDEX('DEFAULT DATA'!$DZ$9:$MG$41,START!$B$3,($L47+4))*-44/12)+($K47*INDEX('DEFAULT DATA'!$DZ$9:$MG$41,START!$B$3,($L47+5))*-44/12)</f>
        <v>0</v>
      </c>
      <c r="Y47" s="221">
        <f>($I47*INDEX('DEFAULT DATA'!$DZ$9:$MG$41,START!$B$3,($L47))*-44/12)+($I47*INDEX('DEFAULT DATA'!$DZ$9:$MG$41,START!$B$3,($L47+1))*-44/12)+($I47*INDEX('DEFAULT DATA'!$DZ$9:$MG$41,START!$B$3,($L47+2))*-44/12)+($I47*INDEX('DEFAULT DATA'!$DZ$9:$MG$41,START!$B$3,($L47+3))*-44/12)+($J47*INDEX('DEFAULT DATA'!$DZ$9:$MG$41,START!$B$3,($L47+4))*-44/12)+($K47*INDEX('DEFAULT DATA'!$DZ$9:$MG$41,START!$B$3,($L47+5))*-44/12)</f>
        <v>0</v>
      </c>
      <c r="Z47" s="221">
        <f>($I47*INDEX('DEFAULT DATA'!$DZ$9:$MG$41,START!$B$3,($L47))*-44/12)+($I47*INDEX('DEFAULT DATA'!$DZ$9:$MG$41,START!$B$3,($L47+1))*-44/12)+($I47*INDEX('DEFAULT DATA'!$DZ$9:$MG$41,START!$B$3,($L47+2))*-44/12)+($I47*INDEX('DEFAULT DATA'!$DZ$9:$MG$41,START!$B$3,($L47+3))*-44/12)+($J47*INDEX('DEFAULT DATA'!$DZ$9:$MG$41,START!$B$3,($L47+4))*-44/12)+($K47*INDEX('DEFAULT DATA'!$DZ$9:$MG$41,START!$B$3,($L47+5))*-44/12)</f>
        <v>0</v>
      </c>
      <c r="AA47" s="221">
        <f>($I47*INDEX('DEFAULT DATA'!$DZ$9:$MG$41,START!$B$3,($L47))*-44/12)+($I47*INDEX('DEFAULT DATA'!$DZ$9:$MG$41,START!$B$3,($L47+1))*-44/12)+($I47*INDEX('DEFAULT DATA'!$DZ$9:$MG$41,START!$B$3,($L47+2))*-44/12)+($I47*INDEX('DEFAULT DATA'!$DZ$9:$MG$41,START!$B$3,($L47+3))*-44/12)+($J47*INDEX('DEFAULT DATA'!$DZ$9:$MG$41,START!$B$3,($L47+4))*-44/12)+($K47*INDEX('DEFAULT DATA'!$DZ$9:$MG$41,START!$B$3,($L47+5))*-44/12)</f>
        <v>0</v>
      </c>
      <c r="AB47" s="221">
        <f>($I47*INDEX('DEFAULT DATA'!$DZ$9:$MG$41,START!$B$3,($L47))*-44/12)+($I47*INDEX('DEFAULT DATA'!$DZ$9:$MG$41,START!$B$3,($L47+1))*-44/12)+($I47*INDEX('DEFAULT DATA'!$DZ$9:$MG$41,START!$B$3,($L47+2))*-44/12)+($I47*INDEX('DEFAULT DATA'!$DZ$9:$MG$41,START!$B$3,($L47+3))*-44/12)+($J47*INDEX('DEFAULT DATA'!$DZ$9:$MG$41,START!$B$3,($L47+4))*-44/12)+($K47*INDEX('DEFAULT DATA'!$DZ$9:$MG$41,START!$B$3,($L47+5))*-44/12)</f>
        <v>0</v>
      </c>
      <c r="AC47" s="221">
        <f>($I47*INDEX('DEFAULT DATA'!$DZ$9:$MG$41,START!$B$3,($L47))*-44/12)+($I47*INDEX('DEFAULT DATA'!$DZ$9:$MG$41,START!$B$3,($L47+1))*-44/12)+($I47*INDEX('DEFAULT DATA'!$DZ$9:$MG$41,START!$B$3,($L47+2))*-44/12)+($I47*INDEX('DEFAULT DATA'!$DZ$9:$MG$41,START!$B$3,($L47+3))*-44/12)+($J47*INDEX('DEFAULT DATA'!$DZ$9:$MG$41,START!$B$3,($L47+4))*-44/12)+($K47*INDEX('DEFAULT DATA'!$DZ$9:$MG$41,START!$B$3,($L47+5))*-44/12)</f>
        <v>0</v>
      </c>
      <c r="AD47" s="221">
        <f>($I47*INDEX('DEFAULT DATA'!$DZ$9:$MG$41,START!$B$3,($L47))*-44/12)+($I47*INDEX('DEFAULT DATA'!$DZ$9:$MG$41,START!$B$3,($L47+1))*-44/12)+($I47*INDEX('DEFAULT DATA'!$DZ$9:$MG$41,START!$B$3,($L47+2))*-44/12)+($I47*INDEX('DEFAULT DATA'!$DZ$9:$MG$41,START!$B$3,($L47+3))*-44/12)+($J47*INDEX('DEFAULT DATA'!$DZ$9:$MG$41,START!$B$3,($L47+4))*-44/12)+($K47*INDEX('DEFAULT DATA'!$DZ$9:$MG$41,START!$B$3,($L47+5))*-44/12)</f>
        <v>0</v>
      </c>
      <c r="AE47" s="221">
        <f>($I47*INDEX('DEFAULT DATA'!$DZ$9:$MG$41,START!$B$3,($L47))*-44/12)+($I47*INDEX('DEFAULT DATA'!$DZ$9:$MG$41,START!$B$3,($L47+1))*-44/12)+($I47*INDEX('DEFAULT DATA'!$DZ$9:$MG$41,START!$B$3,($L47+2))*-44/12)+($I47*INDEX('DEFAULT DATA'!$DZ$9:$MG$41,START!$B$3,($L47+3))*-44/12)+($J47*INDEX('DEFAULT DATA'!$DZ$9:$MG$41,START!$B$3,($L47+4))*-44/12)+($K47*INDEX('DEFAULT DATA'!$DZ$9:$MG$41,START!$B$3,($L47+5))*-44/12)</f>
        <v>0</v>
      </c>
      <c r="AF47" s="221">
        <f>($I47*INDEX('DEFAULT DATA'!$DZ$9:$MG$41,START!$B$3,($L47))*-44/12)+($I47*INDEX('DEFAULT DATA'!$DZ$9:$MG$41,START!$B$3,($L47+1))*-44/12)+($I47*INDEX('DEFAULT DATA'!$DZ$9:$MG$41,START!$B$3,($L47+2))*-44/12)+($I47*INDEX('DEFAULT DATA'!$DZ$9:$MG$41,START!$B$3,($L47+3))*-44/12)+($J47*INDEX('DEFAULT DATA'!$DZ$9:$MG$41,START!$B$3,($L47+4))*-44/12)+($K47*INDEX('DEFAULT DATA'!$DZ$9:$MG$41,START!$B$3,($L47+5))*-44/12)</f>
        <v>0</v>
      </c>
      <c r="AG47" s="221">
        <f>($I47*INDEX('DEFAULT DATA'!$DZ$9:$MG$41,START!$B$3,($L47))*-44/12)+($I47*INDEX('DEFAULT DATA'!$DZ$9:$MG$41,START!$B$3,($L47+1))*-44/12)+($I47*INDEX('DEFAULT DATA'!$DZ$9:$MG$41,START!$B$3,($L47+2))*-44/12)+($I47*INDEX('DEFAULT DATA'!$DZ$9:$MG$41,START!$B$3,($L47+3))*-44/12)+($J47*INDEX('DEFAULT DATA'!$DZ$9:$MG$41,START!$B$3,($L47+4))*-44/12)+($K47*INDEX('DEFAULT DATA'!$DZ$9:$MG$41,START!$B$3,($L47+5))*-44/12)</f>
        <v>0</v>
      </c>
      <c r="AH47" s="221">
        <f>($I47*INDEX('DEFAULT DATA'!$DZ$9:$MG$41,START!$B$3,($L47))*-44/12)+($I47*INDEX('DEFAULT DATA'!$DZ$9:$MG$41,START!$B$3,($L47+1))*-44/12)+($I47*INDEX('DEFAULT DATA'!$DZ$9:$MG$41,START!$B$3,($L47+2))*-44/12)+($I47*INDEX('DEFAULT DATA'!$DZ$9:$MG$41,START!$B$3,($L47+3))*-44/12)+($J47*INDEX('DEFAULT DATA'!$DZ$9:$MG$41,START!$B$3,($L47+4))*-44/12)+($K47*INDEX('DEFAULT DATA'!$DZ$9:$MG$41,START!$B$3,($L47+5))*-44/12)</f>
        <v>0</v>
      </c>
      <c r="AI47" s="307">
        <f>(($I47*INDEX('DEFAULT DATA'!$LJ$9:$LO$41,START!$B$3,1)*-44/12)+($I47*INDEX('DEFAULT DATA'!$LJ$9:$LO$41,START!$B$3,2)*-44/12)+($I47*INDEX('DEFAULT DATA'!$LJ$9:$LO$41,START!$B$3,3)*-44/12)+($I47*INDEX('DEFAULT DATA'!$LJ$9:$LO$41,START!$B$3,4)*-44/12)+($J47*INDEX('DEFAULT DATA'!$LJ$9:$LO$41,START!$B$3,5)*-44/12)+($K47*INDEX('DEFAULT DATA'!$LJ$9:$LO$41,START!$B$3,6)*-44/12))</f>
        <v>24.274250134003282</v>
      </c>
      <c r="AJ47" s="307">
        <f>(($I47*INDEX('DEFAULT DATA'!$LJ$9:$LO$41,START!$B$3,1)*-44/12)+($I47*INDEX('DEFAULT DATA'!$LJ$9:$LO$41,START!$B$3,2)*-44/12)+($I47*INDEX('DEFAULT DATA'!$LJ$9:$LO$41,START!$B$3,3)*-44/12)+($I47*INDEX('DEFAULT DATA'!$LJ$9:$LO$41,START!$B$3,4)*-44/12)+($J47*INDEX('DEFAULT DATA'!$LJ$9:$LO$41,START!$B$3,5)*-44/12)+($K47*INDEX('DEFAULT DATA'!$LJ$9:$LO$41,START!$B$3,6)*-44/12))</f>
        <v>24.274250134003282</v>
      </c>
      <c r="AK47" s="307">
        <f>(($I47*INDEX('DEFAULT DATA'!$LJ$9:$LO$41,START!$B$3,1)*-44/12)+($I47*INDEX('DEFAULT DATA'!$LJ$9:$LO$41,START!$B$3,2)*-44/12)+($I47*INDEX('DEFAULT DATA'!$LJ$9:$LO$41,START!$B$3,3)*-44/12)+($I47*INDEX('DEFAULT DATA'!$LJ$9:$LO$41,START!$B$3,4)*-44/12)+($J47*INDEX('DEFAULT DATA'!$LJ$9:$LO$41,START!$B$3,5)*-44/12)+($K47*INDEX('DEFAULT DATA'!$LJ$9:$LO$41,START!$B$3,6)*-44/12))</f>
        <v>24.274250134003282</v>
      </c>
      <c r="AL47" s="307">
        <f>(($I47*INDEX('DEFAULT DATA'!$LJ$9:$LO$41,START!$B$3,1)*-44/12)+($I47*INDEX('DEFAULT DATA'!$LJ$9:$LO$41,START!$B$3,2)*-44/12)+($I47*INDEX('DEFAULT DATA'!$LJ$9:$LO$41,START!$B$3,3)*-44/12)+($I47*INDEX('DEFAULT DATA'!$LJ$9:$LO$41,START!$B$3,4)*-44/12)+($J47*INDEX('DEFAULT DATA'!$LJ$9:$LO$41,START!$B$3,5)*-44/12)+($K47*INDEX('DEFAULT DATA'!$LJ$9:$LO$41,START!$B$3,6)*-44/12))</f>
        <v>24.274250134003282</v>
      </c>
      <c r="AM47" s="307">
        <f>(($I47*INDEX('DEFAULT DATA'!$LJ$9:$LO$41,START!$B$3,1)*-44/12)+($I47*INDEX('DEFAULT DATA'!$LJ$9:$LO$41,START!$B$3,2)*-44/12)+($I47*INDEX('DEFAULT DATA'!$LJ$9:$LO$41,START!$B$3,3)*-44/12)+($I47*INDEX('DEFAULT DATA'!$LJ$9:$LO$41,START!$B$3,4)*-44/12)+($J47*INDEX('DEFAULT DATA'!$LJ$9:$LO$41,START!$B$3,5)*-44/12)+($K47*INDEX('DEFAULT DATA'!$LJ$9:$LO$41,START!$B$3,6)*-44/12))</f>
        <v>24.274250134003282</v>
      </c>
      <c r="AN47" s="307">
        <f>(($I47*INDEX('DEFAULT DATA'!$LJ$9:$LO$41,START!$B$3,1)*-44/12)+($I47*INDEX('DEFAULT DATA'!$LJ$9:$LO$41,START!$B$3,2)*-44/12)+($I47*INDEX('DEFAULT DATA'!$LJ$9:$LO$41,START!$B$3,3)*-44/12)+($I47*INDEX('DEFAULT DATA'!$LJ$9:$LO$41,START!$B$3,4)*-44/12)+($J47*INDEX('DEFAULT DATA'!$LJ$9:$LO$41,START!$B$3,5)*-44/12)+($K47*INDEX('DEFAULT DATA'!$LJ$9:$LO$41,START!$B$3,6)*-44/12))</f>
        <v>24.274250134003282</v>
      </c>
      <c r="AO47" s="307">
        <f>(($I47*INDEX('DEFAULT DATA'!$LJ$9:$LO$41,START!$B$3,1)*-44/12)+($I47*INDEX('DEFAULT DATA'!$LJ$9:$LO$41,START!$B$3,2)*-44/12)+($I47*INDEX('DEFAULT DATA'!$LJ$9:$LO$41,START!$B$3,3)*-44/12)+($I47*INDEX('DEFAULT DATA'!$LJ$9:$LO$41,START!$B$3,4)*-44/12)+($J47*INDEX('DEFAULT DATA'!$LJ$9:$LO$41,START!$B$3,5)*-44/12)+($K47*INDEX('DEFAULT DATA'!$LJ$9:$LO$41,START!$B$3,6)*-44/12))</f>
        <v>24.274250134003282</v>
      </c>
      <c r="AP47" s="307">
        <f>(($I47*INDEX('DEFAULT DATA'!$LJ$9:$LO$41,START!$B$3,1)*-44/12)+($I47*INDEX('DEFAULT DATA'!$LJ$9:$LO$41,START!$B$3,2)*-44/12)+($I47*INDEX('DEFAULT DATA'!$LJ$9:$LO$41,START!$B$3,3)*-44/12)+($I47*INDEX('DEFAULT DATA'!$LJ$9:$LO$41,START!$B$3,4)*-44/12)+($J47*INDEX('DEFAULT DATA'!$LJ$9:$LO$41,START!$B$3,5)*-44/12)+($K47*INDEX('DEFAULT DATA'!$LJ$9:$LO$41,START!$B$3,6)*-44/12))</f>
        <v>24.274250134003282</v>
      </c>
      <c r="AQ47" s="307">
        <f>(($I47*INDEX('DEFAULT DATA'!$LJ$9:$LO$41,START!$B$3,1)*-44/12)+($I47*INDEX('DEFAULT DATA'!$LJ$9:$LO$41,START!$B$3,2)*-44/12)+($I47*INDEX('DEFAULT DATA'!$LJ$9:$LO$41,START!$B$3,3)*-44/12)+($I47*INDEX('DEFAULT DATA'!$LJ$9:$LO$41,START!$B$3,4)*-44/12)+($J47*INDEX('DEFAULT DATA'!$LJ$9:$LO$41,START!$B$3,5)*-44/12)+($K47*INDEX('DEFAULT DATA'!$LJ$9:$LO$41,START!$B$3,6)*-44/12))</f>
        <v>24.274250134003282</v>
      </c>
      <c r="AR47" s="557">
        <f>(($I47*INDEX('DEFAULT DATA'!$LJ$9:$LO$41,START!$B$3,1)*-44/12)+($I47*INDEX('DEFAULT DATA'!$LJ$9:$LO$41,START!$B$3,2)*-44/12)+($I47*INDEX('DEFAULT DATA'!$LJ$9:$LO$41,START!$B$3,3)*-44/12)+($I47*INDEX('DEFAULT DATA'!$LJ$9:$LO$41,START!$B$3,4)*-44/12)+($J47*INDEX('DEFAULT DATA'!$LJ$9:$LO$41,START!$B$3,5)*-44/12)+($K47*INDEX('DEFAULT DATA'!$LJ$9:$LO$41,START!$B$3,6)*-44/12))</f>
        <v>24.274250134003282</v>
      </c>
    </row>
    <row r="48" spans="1:44" ht="20.100000000000001" customHeight="1" thickBot="1">
      <c r="A48" s="501" t="s">
        <v>1008</v>
      </c>
      <c r="B48" s="65"/>
      <c r="C48" s="65"/>
      <c r="D48" s="503">
        <v>50</v>
      </c>
      <c r="E48" s="505">
        <v>1</v>
      </c>
      <c r="F48" s="504">
        <v>1</v>
      </c>
      <c r="G48" s="65">
        <v>1</v>
      </c>
      <c r="H48" s="44"/>
      <c r="I48" s="515">
        <f t="shared" si="36"/>
        <v>0</v>
      </c>
      <c r="J48" s="516">
        <f t="shared" si="37"/>
        <v>0</v>
      </c>
      <c r="K48" s="516">
        <f t="shared" si="38"/>
        <v>0</v>
      </c>
      <c r="L48" s="385">
        <f t="shared" si="40"/>
        <v>85</v>
      </c>
      <c r="M48" s="536" t="s">
        <v>945</v>
      </c>
      <c r="N48" s="540">
        <f t="shared" si="39"/>
        <v>2022</v>
      </c>
      <c r="O48" s="553">
        <f>($I48*INDEX('DEFAULT DATA'!$DZ$9:$MG$41,START!$B$3,($L48))*-44/12)+($I48*INDEX('DEFAULT DATA'!$DZ$9:$MG$41,START!$B$3,($L48+1))*-44/12)+($I48*INDEX('DEFAULT DATA'!$DZ$9:$MG$41,START!$B$3,($L48+2))*-44/12)+($I48*INDEX('DEFAULT DATA'!$DZ$9:$MG$41,START!$B$3,($L48+3))*-44/12)+($J48*INDEX('DEFAULT DATA'!$DZ$9:$MG$41,START!$B$3,($L48+4))*-44/12)+($K48*INDEX('DEFAULT DATA'!$DZ$9:$MG$41,START!$B$3,($L48+5))*-44/12)</f>
        <v>0</v>
      </c>
      <c r="P48" s="553">
        <f>($I48*INDEX('DEFAULT DATA'!$DZ$9:$MG$41,START!$B$3,($L48))*-44/12)+($I48*INDEX('DEFAULT DATA'!$DZ$9:$MG$41,START!$B$3,($L48+1))*-44/12)+($I48*INDEX('DEFAULT DATA'!$DZ$9:$MG$41,START!$B$3,($L48+2))*-44/12)+($I48*INDEX('DEFAULT DATA'!$DZ$9:$MG$41,START!$B$3,($L48+3))*-44/12)+($J48*INDEX('DEFAULT DATA'!$DZ$9:$MG$41,START!$B$3,($L48+4))*-44/12)+($K48*INDEX('DEFAULT DATA'!$DZ$9:$MG$41,START!$B$3,($L48+5))*-44/12)</f>
        <v>0</v>
      </c>
      <c r="Q48" s="553">
        <f>($I48*INDEX('DEFAULT DATA'!$DZ$9:$MG$41,START!$B$3,($L48))*-44/12)+($I48*INDEX('DEFAULT DATA'!$DZ$9:$MG$41,START!$B$3,($L48+1))*-44/12)+($I48*INDEX('DEFAULT DATA'!$DZ$9:$MG$41,START!$B$3,($L48+2))*-44/12)+($I48*INDEX('DEFAULT DATA'!$DZ$9:$MG$41,START!$B$3,($L48+3))*-44/12)+($J48*INDEX('DEFAULT DATA'!$DZ$9:$MG$41,START!$B$3,($L48+4))*-44/12)+($K48*INDEX('DEFAULT DATA'!$DZ$9:$MG$41,START!$B$3,($L48+5))*-44/12)</f>
        <v>0</v>
      </c>
      <c r="R48" s="553">
        <f>($I48*INDEX('DEFAULT DATA'!$DZ$9:$MG$41,START!$B$3,($L48))*-44/12)+($I48*INDEX('DEFAULT DATA'!$DZ$9:$MG$41,START!$B$3,($L48+1))*-44/12)+($I48*INDEX('DEFAULT DATA'!$DZ$9:$MG$41,START!$B$3,($L48+2))*-44/12)+($I48*INDEX('DEFAULT DATA'!$DZ$9:$MG$41,START!$B$3,($L48+3))*-44/12)+($J48*INDEX('DEFAULT DATA'!$DZ$9:$MG$41,START!$B$3,($L48+4))*-44/12)+($K48*INDEX('DEFAULT DATA'!$DZ$9:$MG$41,START!$B$3,($L48+5))*-44/12)</f>
        <v>0</v>
      </c>
      <c r="S48" s="553">
        <f>($I48*INDEX('DEFAULT DATA'!$DZ$9:$MG$41,START!$B$3,($L48))*-44/12)+($I48*INDEX('DEFAULT DATA'!$DZ$9:$MG$41,START!$B$3,($L48+1))*-44/12)+($I48*INDEX('DEFAULT DATA'!$DZ$9:$MG$41,START!$B$3,($L48+2))*-44/12)+($I48*INDEX('DEFAULT DATA'!$DZ$9:$MG$41,START!$B$3,($L48+3))*-44/12)+($J48*INDEX('DEFAULT DATA'!$DZ$9:$MG$41,START!$B$3,($L48+4))*-44/12)+($K48*INDEX('DEFAULT DATA'!$DZ$9:$MG$41,START!$B$3,($L48+5))*-44/12)</f>
        <v>0</v>
      </c>
      <c r="T48" s="553">
        <f>($I48*INDEX('DEFAULT DATA'!$DZ$9:$MG$41,START!$B$3,($L48))*-44/12)+($I48*INDEX('DEFAULT DATA'!$DZ$9:$MG$41,START!$B$3,($L48+1))*-44/12)+($I48*INDEX('DEFAULT DATA'!$DZ$9:$MG$41,START!$B$3,($L48+2))*-44/12)+($I48*INDEX('DEFAULT DATA'!$DZ$9:$MG$41,START!$B$3,($L48+3))*-44/12)+($J48*INDEX('DEFAULT DATA'!$DZ$9:$MG$41,START!$B$3,($L48+4))*-44/12)+($K48*INDEX('DEFAULT DATA'!$DZ$9:$MG$41,START!$B$3,($L48+5))*-44/12)</f>
        <v>0</v>
      </c>
      <c r="U48" s="553">
        <f>($I48*INDEX('DEFAULT DATA'!$DZ$9:$MG$41,START!$B$3,($L48))*-44/12)+($I48*INDEX('DEFAULT DATA'!$DZ$9:$MG$41,START!$B$3,($L48+1))*-44/12)+($I48*INDEX('DEFAULT DATA'!$DZ$9:$MG$41,START!$B$3,($L48+2))*-44/12)+($I48*INDEX('DEFAULT DATA'!$DZ$9:$MG$41,START!$B$3,($L48+3))*-44/12)+($J48*INDEX('DEFAULT DATA'!$DZ$9:$MG$41,START!$B$3,($L48+4))*-44/12)+($K48*INDEX('DEFAULT DATA'!$DZ$9:$MG$41,START!$B$3,($L48+5))*-44/12)</f>
        <v>0</v>
      </c>
      <c r="V48" s="553">
        <f>($I48*INDEX('DEFAULT DATA'!$DZ$9:$MG$41,START!$B$3,($L48))*-44/12)+($I48*INDEX('DEFAULT DATA'!$DZ$9:$MG$41,START!$B$3,($L48+1))*-44/12)+($I48*INDEX('DEFAULT DATA'!$DZ$9:$MG$41,START!$B$3,($L48+2))*-44/12)+($I48*INDEX('DEFAULT DATA'!$DZ$9:$MG$41,START!$B$3,($L48+3))*-44/12)+($J48*INDEX('DEFAULT DATA'!$DZ$9:$MG$41,START!$B$3,($L48+4))*-44/12)+($K48*INDEX('DEFAULT DATA'!$DZ$9:$MG$41,START!$B$3,($L48+5))*-44/12)</f>
        <v>0</v>
      </c>
      <c r="W48" s="553">
        <f>($I48*INDEX('DEFAULT DATA'!$DZ$9:$MG$41,START!$B$3,($L48))*-44/12)+($I48*INDEX('DEFAULT DATA'!$DZ$9:$MG$41,START!$B$3,($L48+1))*-44/12)+($I48*INDEX('DEFAULT DATA'!$DZ$9:$MG$41,START!$B$3,($L48+2))*-44/12)+($I48*INDEX('DEFAULT DATA'!$DZ$9:$MG$41,START!$B$3,($L48+3))*-44/12)+($J48*INDEX('DEFAULT DATA'!$DZ$9:$MG$41,START!$B$3,($L48+4))*-44/12)+($K48*INDEX('DEFAULT DATA'!$DZ$9:$MG$41,START!$B$3,($L48+5))*-44/12)</f>
        <v>0</v>
      </c>
      <c r="X48" s="553">
        <f>($I48*INDEX('DEFAULT DATA'!$DZ$9:$MG$41,START!$B$3,($L48))*-44/12)+($I48*INDEX('DEFAULT DATA'!$DZ$9:$MG$41,START!$B$3,($L48+1))*-44/12)+($I48*INDEX('DEFAULT DATA'!$DZ$9:$MG$41,START!$B$3,($L48+2))*-44/12)+($I48*INDEX('DEFAULT DATA'!$DZ$9:$MG$41,START!$B$3,($L48+3))*-44/12)+($J48*INDEX('DEFAULT DATA'!$DZ$9:$MG$41,START!$B$3,($L48+4))*-44/12)+($K48*INDEX('DEFAULT DATA'!$DZ$9:$MG$41,START!$B$3,($L48+5))*-44/12)</f>
        <v>0</v>
      </c>
      <c r="Y48" s="553">
        <f>($I48*INDEX('DEFAULT DATA'!$DZ$9:$MG$41,START!$B$3,($L48))*-44/12)+($I48*INDEX('DEFAULT DATA'!$DZ$9:$MG$41,START!$B$3,($L48+1))*-44/12)+($I48*INDEX('DEFAULT DATA'!$DZ$9:$MG$41,START!$B$3,($L48+2))*-44/12)+($I48*INDEX('DEFAULT DATA'!$DZ$9:$MG$41,START!$B$3,($L48+3))*-44/12)+($J48*INDEX('DEFAULT DATA'!$DZ$9:$MG$41,START!$B$3,($L48+4))*-44/12)+($K48*INDEX('DEFAULT DATA'!$DZ$9:$MG$41,START!$B$3,($L48+5))*-44/12)</f>
        <v>0</v>
      </c>
      <c r="Z48" s="553">
        <f>($I48*INDEX('DEFAULT DATA'!$DZ$9:$MG$41,START!$B$3,($L48))*-44/12)+($I48*INDEX('DEFAULT DATA'!$DZ$9:$MG$41,START!$B$3,($L48+1))*-44/12)+($I48*INDEX('DEFAULT DATA'!$DZ$9:$MG$41,START!$B$3,($L48+2))*-44/12)+($I48*INDEX('DEFAULT DATA'!$DZ$9:$MG$41,START!$B$3,($L48+3))*-44/12)+($J48*INDEX('DEFAULT DATA'!$DZ$9:$MG$41,START!$B$3,($L48+4))*-44/12)+($K48*INDEX('DEFAULT DATA'!$DZ$9:$MG$41,START!$B$3,($L48+5))*-44/12)</f>
        <v>0</v>
      </c>
      <c r="AA48" s="553">
        <f>($I48*INDEX('DEFAULT DATA'!$DZ$9:$MG$41,START!$B$3,($L48))*-44/12)+($I48*INDEX('DEFAULT DATA'!$DZ$9:$MG$41,START!$B$3,($L48+1))*-44/12)+($I48*INDEX('DEFAULT DATA'!$DZ$9:$MG$41,START!$B$3,($L48+2))*-44/12)+($I48*INDEX('DEFAULT DATA'!$DZ$9:$MG$41,START!$B$3,($L48+3))*-44/12)+($J48*INDEX('DEFAULT DATA'!$DZ$9:$MG$41,START!$B$3,($L48+4))*-44/12)+($K48*INDEX('DEFAULT DATA'!$DZ$9:$MG$41,START!$B$3,($L48+5))*-44/12)</f>
        <v>0</v>
      </c>
      <c r="AB48" s="553">
        <f>($I48*INDEX('DEFAULT DATA'!$DZ$9:$MG$41,START!$B$3,($L48))*-44/12)+($I48*INDEX('DEFAULT DATA'!$DZ$9:$MG$41,START!$B$3,($L48+1))*-44/12)+($I48*INDEX('DEFAULT DATA'!$DZ$9:$MG$41,START!$B$3,($L48+2))*-44/12)+($I48*INDEX('DEFAULT DATA'!$DZ$9:$MG$41,START!$B$3,($L48+3))*-44/12)+($J48*INDEX('DEFAULT DATA'!$DZ$9:$MG$41,START!$B$3,($L48+4))*-44/12)+($K48*INDEX('DEFAULT DATA'!$DZ$9:$MG$41,START!$B$3,($L48+5))*-44/12)</f>
        <v>0</v>
      </c>
      <c r="AC48" s="553">
        <f>($I48*INDEX('DEFAULT DATA'!$DZ$9:$MG$41,START!$B$3,($L48))*-44/12)+($I48*INDEX('DEFAULT DATA'!$DZ$9:$MG$41,START!$B$3,($L48+1))*-44/12)+($I48*INDEX('DEFAULT DATA'!$DZ$9:$MG$41,START!$B$3,($L48+2))*-44/12)+($I48*INDEX('DEFAULT DATA'!$DZ$9:$MG$41,START!$B$3,($L48+3))*-44/12)+($J48*INDEX('DEFAULT DATA'!$DZ$9:$MG$41,START!$B$3,($L48+4))*-44/12)+($K48*INDEX('DEFAULT DATA'!$DZ$9:$MG$41,START!$B$3,($L48+5))*-44/12)</f>
        <v>0</v>
      </c>
      <c r="AD48" s="553">
        <f>($I48*INDEX('DEFAULT DATA'!$DZ$9:$MG$41,START!$B$3,($L48))*-44/12)+($I48*INDEX('DEFAULT DATA'!$DZ$9:$MG$41,START!$B$3,($L48+1))*-44/12)+($I48*INDEX('DEFAULT DATA'!$DZ$9:$MG$41,START!$B$3,($L48+2))*-44/12)+($I48*INDEX('DEFAULT DATA'!$DZ$9:$MG$41,START!$B$3,($L48+3))*-44/12)+($J48*INDEX('DEFAULT DATA'!$DZ$9:$MG$41,START!$B$3,($L48+4))*-44/12)+($K48*INDEX('DEFAULT DATA'!$DZ$9:$MG$41,START!$B$3,($L48+5))*-44/12)</f>
        <v>0</v>
      </c>
      <c r="AE48" s="553">
        <f>($I48*INDEX('DEFAULT DATA'!$DZ$9:$MG$41,START!$B$3,($L48))*-44/12)+($I48*INDEX('DEFAULT DATA'!$DZ$9:$MG$41,START!$B$3,($L48+1))*-44/12)+($I48*INDEX('DEFAULT DATA'!$DZ$9:$MG$41,START!$B$3,($L48+2))*-44/12)+($I48*INDEX('DEFAULT DATA'!$DZ$9:$MG$41,START!$B$3,($L48+3))*-44/12)+($J48*INDEX('DEFAULT DATA'!$DZ$9:$MG$41,START!$B$3,($L48+4))*-44/12)+($K48*INDEX('DEFAULT DATA'!$DZ$9:$MG$41,START!$B$3,($L48+5))*-44/12)</f>
        <v>0</v>
      </c>
      <c r="AF48" s="553">
        <f>($I48*INDEX('DEFAULT DATA'!$DZ$9:$MG$41,START!$B$3,($L48))*-44/12)+($I48*INDEX('DEFAULT DATA'!$DZ$9:$MG$41,START!$B$3,($L48+1))*-44/12)+($I48*INDEX('DEFAULT DATA'!$DZ$9:$MG$41,START!$B$3,($L48+2))*-44/12)+($I48*INDEX('DEFAULT DATA'!$DZ$9:$MG$41,START!$B$3,($L48+3))*-44/12)+($J48*INDEX('DEFAULT DATA'!$DZ$9:$MG$41,START!$B$3,($L48+4))*-44/12)+($K48*INDEX('DEFAULT DATA'!$DZ$9:$MG$41,START!$B$3,($L48+5))*-44/12)</f>
        <v>0</v>
      </c>
      <c r="AG48" s="553">
        <f>($I48*INDEX('DEFAULT DATA'!$DZ$9:$MG$41,START!$B$3,($L48))*-44/12)+($I48*INDEX('DEFAULT DATA'!$DZ$9:$MG$41,START!$B$3,($L48+1))*-44/12)+($I48*INDEX('DEFAULT DATA'!$DZ$9:$MG$41,START!$B$3,($L48+2))*-44/12)+($I48*INDEX('DEFAULT DATA'!$DZ$9:$MG$41,START!$B$3,($L48+3))*-44/12)+($J48*INDEX('DEFAULT DATA'!$DZ$9:$MG$41,START!$B$3,($L48+4))*-44/12)+($K48*INDEX('DEFAULT DATA'!$DZ$9:$MG$41,START!$B$3,($L48+5))*-44/12)</f>
        <v>0</v>
      </c>
      <c r="AH48" s="553">
        <f>($I48*INDEX('DEFAULT DATA'!$DZ$9:$MG$41,START!$B$3,($L48))*-44/12)+($I48*INDEX('DEFAULT DATA'!$DZ$9:$MG$41,START!$B$3,($L48+1))*-44/12)+($I48*INDEX('DEFAULT DATA'!$DZ$9:$MG$41,START!$B$3,($L48+2))*-44/12)+($I48*INDEX('DEFAULT DATA'!$DZ$9:$MG$41,START!$B$3,($L48+3))*-44/12)+($J48*INDEX('DEFAULT DATA'!$DZ$9:$MG$41,START!$B$3,($L48+4))*-44/12)+($K48*INDEX('DEFAULT DATA'!$DZ$9:$MG$41,START!$B$3,($L48+5))*-44/12)</f>
        <v>0</v>
      </c>
      <c r="AI48" s="563">
        <f>(($I48*INDEX('DEFAULT DATA'!$LJ$9:$LO$41,START!$B$3,1)*-44/12)+($I48*INDEX('DEFAULT DATA'!$LJ$9:$LO$41,START!$B$3,2)*-44/12)+($I48*INDEX('DEFAULT DATA'!$LJ$9:$LO$41,START!$B$3,3)*-44/12)+($I48*INDEX('DEFAULT DATA'!$LJ$9:$LO$41,START!$B$3,4)*-44/12)+($J48*INDEX('DEFAULT DATA'!$LJ$9:$LO$41,START!$B$3,5)*-44/12)+($K48*INDEX('DEFAULT DATA'!$LJ$9:$LO$41,START!$B$3,6)*-44/12))</f>
        <v>0</v>
      </c>
      <c r="AJ48" s="563">
        <f>(($I48*INDEX('DEFAULT DATA'!$LJ$9:$LO$41,START!$B$3,1)*-44/12)+($I48*INDEX('DEFAULT DATA'!$LJ$9:$LO$41,START!$B$3,2)*-44/12)+($I48*INDEX('DEFAULT DATA'!$LJ$9:$LO$41,START!$B$3,3)*-44/12)+($I48*INDEX('DEFAULT DATA'!$LJ$9:$LO$41,START!$B$3,4)*-44/12)+($J48*INDEX('DEFAULT DATA'!$LJ$9:$LO$41,START!$B$3,5)*-44/12)+($K48*INDEX('DEFAULT DATA'!$LJ$9:$LO$41,START!$B$3,6)*-44/12))</f>
        <v>0</v>
      </c>
      <c r="AK48" s="563">
        <f>(($I48*INDEX('DEFAULT DATA'!$LJ$9:$LO$41,START!$B$3,1)*-44/12)+($I48*INDEX('DEFAULT DATA'!$LJ$9:$LO$41,START!$B$3,2)*-44/12)+($I48*INDEX('DEFAULT DATA'!$LJ$9:$LO$41,START!$B$3,3)*-44/12)+($I48*INDEX('DEFAULT DATA'!$LJ$9:$LO$41,START!$B$3,4)*-44/12)+($J48*INDEX('DEFAULT DATA'!$LJ$9:$LO$41,START!$B$3,5)*-44/12)+($K48*INDEX('DEFAULT DATA'!$LJ$9:$LO$41,START!$B$3,6)*-44/12))</f>
        <v>0</v>
      </c>
      <c r="AL48" s="563">
        <f>(($I48*INDEX('DEFAULT DATA'!$LJ$9:$LO$41,START!$B$3,1)*-44/12)+($I48*INDEX('DEFAULT DATA'!$LJ$9:$LO$41,START!$B$3,2)*-44/12)+($I48*INDEX('DEFAULT DATA'!$LJ$9:$LO$41,START!$B$3,3)*-44/12)+($I48*INDEX('DEFAULT DATA'!$LJ$9:$LO$41,START!$B$3,4)*-44/12)+($J48*INDEX('DEFAULT DATA'!$LJ$9:$LO$41,START!$B$3,5)*-44/12)+($K48*INDEX('DEFAULT DATA'!$LJ$9:$LO$41,START!$B$3,6)*-44/12))</f>
        <v>0</v>
      </c>
      <c r="AM48" s="563">
        <f>(($I48*INDEX('DEFAULT DATA'!$LJ$9:$LO$41,START!$B$3,1)*-44/12)+($I48*INDEX('DEFAULT DATA'!$LJ$9:$LO$41,START!$B$3,2)*-44/12)+($I48*INDEX('DEFAULT DATA'!$LJ$9:$LO$41,START!$B$3,3)*-44/12)+($I48*INDEX('DEFAULT DATA'!$LJ$9:$LO$41,START!$B$3,4)*-44/12)+($J48*INDEX('DEFAULT DATA'!$LJ$9:$LO$41,START!$B$3,5)*-44/12)+($K48*INDEX('DEFAULT DATA'!$LJ$9:$LO$41,START!$B$3,6)*-44/12))</f>
        <v>0</v>
      </c>
      <c r="AN48" s="563">
        <f>(($I48*INDEX('DEFAULT DATA'!$LJ$9:$LO$41,START!$B$3,1)*-44/12)+($I48*INDEX('DEFAULT DATA'!$LJ$9:$LO$41,START!$B$3,2)*-44/12)+($I48*INDEX('DEFAULT DATA'!$LJ$9:$LO$41,START!$B$3,3)*-44/12)+($I48*INDEX('DEFAULT DATA'!$LJ$9:$LO$41,START!$B$3,4)*-44/12)+($J48*INDEX('DEFAULT DATA'!$LJ$9:$LO$41,START!$B$3,5)*-44/12)+($K48*INDEX('DEFAULT DATA'!$LJ$9:$LO$41,START!$B$3,6)*-44/12))</f>
        <v>0</v>
      </c>
      <c r="AO48" s="563">
        <f>(($I48*INDEX('DEFAULT DATA'!$LJ$9:$LO$41,START!$B$3,1)*-44/12)+($I48*INDEX('DEFAULT DATA'!$LJ$9:$LO$41,START!$B$3,2)*-44/12)+($I48*INDEX('DEFAULT DATA'!$LJ$9:$LO$41,START!$B$3,3)*-44/12)+($I48*INDEX('DEFAULT DATA'!$LJ$9:$LO$41,START!$B$3,4)*-44/12)+($J48*INDEX('DEFAULT DATA'!$LJ$9:$LO$41,START!$B$3,5)*-44/12)+($K48*INDEX('DEFAULT DATA'!$LJ$9:$LO$41,START!$B$3,6)*-44/12))</f>
        <v>0</v>
      </c>
      <c r="AP48" s="563">
        <f>(($I48*INDEX('DEFAULT DATA'!$LJ$9:$LO$41,START!$B$3,1)*-44/12)+($I48*INDEX('DEFAULT DATA'!$LJ$9:$LO$41,START!$B$3,2)*-44/12)+($I48*INDEX('DEFAULT DATA'!$LJ$9:$LO$41,START!$B$3,3)*-44/12)+($I48*INDEX('DEFAULT DATA'!$LJ$9:$LO$41,START!$B$3,4)*-44/12)+($J48*INDEX('DEFAULT DATA'!$LJ$9:$LO$41,START!$B$3,5)*-44/12)+($K48*INDEX('DEFAULT DATA'!$LJ$9:$LO$41,START!$B$3,6)*-44/12))</f>
        <v>0</v>
      </c>
      <c r="AQ48" s="563">
        <f>(($I48*INDEX('DEFAULT DATA'!$LJ$9:$LO$41,START!$B$3,1)*-44/12)+($I48*INDEX('DEFAULT DATA'!$LJ$9:$LO$41,START!$B$3,2)*-44/12)+($I48*INDEX('DEFAULT DATA'!$LJ$9:$LO$41,START!$B$3,3)*-44/12)+($I48*INDEX('DEFAULT DATA'!$LJ$9:$LO$41,START!$B$3,4)*-44/12)+($J48*INDEX('DEFAULT DATA'!$LJ$9:$LO$41,START!$B$3,5)*-44/12)+($K48*INDEX('DEFAULT DATA'!$LJ$9:$LO$41,START!$B$3,6)*-44/12))</f>
        <v>0</v>
      </c>
      <c r="AR48" s="564">
        <f>(($I48*INDEX('DEFAULT DATA'!$LJ$9:$LO$41,START!$B$3,1)*-44/12)+($I48*INDEX('DEFAULT DATA'!$LJ$9:$LO$41,START!$B$3,2)*-44/12)+($I48*INDEX('DEFAULT DATA'!$LJ$9:$LO$41,START!$B$3,3)*-44/12)+($I48*INDEX('DEFAULT DATA'!$LJ$9:$LO$41,START!$B$3,4)*-44/12)+($J48*INDEX('DEFAULT DATA'!$LJ$9:$LO$41,START!$B$3,5)*-44/12)+($K48*INDEX('DEFAULT DATA'!$LJ$9:$LO$41,START!$B$3,6)*-44/12))</f>
        <v>0</v>
      </c>
    </row>
    <row r="49" spans="1:44" ht="20.100000000000001" customHeight="1">
      <c r="A49" s="501" t="s">
        <v>1009</v>
      </c>
      <c r="B49" s="65"/>
      <c r="C49" s="65"/>
      <c r="D49" s="503">
        <v>2</v>
      </c>
      <c r="E49" s="505">
        <v>1</v>
      </c>
      <c r="F49" s="504">
        <v>1</v>
      </c>
      <c r="G49" s="65">
        <v>1</v>
      </c>
      <c r="H49" s="44"/>
      <c r="I49" s="382">
        <f t="shared" si="36"/>
        <v>2</v>
      </c>
      <c r="J49" s="555">
        <f t="shared" si="37"/>
        <v>1</v>
      </c>
      <c r="K49" s="555">
        <f t="shared" si="38"/>
        <v>1</v>
      </c>
      <c r="L49" s="383">
        <f t="shared" si="40"/>
        <v>91</v>
      </c>
      <c r="M49" s="537" t="s">
        <v>993</v>
      </c>
      <c r="N49" s="538">
        <f t="shared" si="39"/>
        <v>2022</v>
      </c>
      <c r="O49" s="550">
        <f>($I49*INDEX('DEFAULT DATA'!$DZ$9:$MG$41,START!$B$3,($L49))*-44/12)+($I49*INDEX('DEFAULT DATA'!$DZ$9:$MG$41,START!$B$3,($L49+1))*-44/12)+($I49*INDEX('DEFAULT DATA'!$DZ$9:$MG$41,START!$B$3,($L49+2))*-44/12)+($I49*INDEX('DEFAULT DATA'!$DZ$9:$MG$41,START!$B$3,($L49+3))*-44/12)+($J49*INDEX('DEFAULT DATA'!$DZ$9:$MG$41,START!$B$3,($L49+4))*-44/12)+($K49*INDEX('DEFAULT DATA'!$DZ$9:$MG$41,START!$B$3,($L49+5))*-44/12)</f>
        <v>15.806568321513016</v>
      </c>
      <c r="P49" s="550">
        <f>($I49*INDEX('DEFAULT DATA'!$DZ$9:$MG$41,START!$B$3,($L49))*-44/12)+($I49*INDEX('DEFAULT DATA'!$DZ$9:$MG$41,START!$B$3,($L49+1))*-44/12)+($I49*INDEX('DEFAULT DATA'!$DZ$9:$MG$41,START!$B$3,($L49+2))*-44/12)+($I49*INDEX('DEFAULT DATA'!$DZ$9:$MG$41,START!$B$3,($L49+3))*-44/12)+($J49*INDEX('DEFAULT DATA'!$DZ$9:$MG$41,START!$B$3,($L49+4))*-44/12)+($K49*INDEX('DEFAULT DATA'!$DZ$9:$MG$41,START!$B$3,($L49+5))*-44/12)</f>
        <v>15.806568321513016</v>
      </c>
      <c r="Q49" s="550">
        <f>($I49*INDEX('DEFAULT DATA'!$DZ$9:$MG$41,START!$B$3,($L49))*-44/12)+($I49*INDEX('DEFAULT DATA'!$DZ$9:$MG$41,START!$B$3,($L49+1))*-44/12)+($I49*INDEX('DEFAULT DATA'!$DZ$9:$MG$41,START!$B$3,($L49+2))*-44/12)+($I49*INDEX('DEFAULT DATA'!$DZ$9:$MG$41,START!$B$3,($L49+3))*-44/12)+($J49*INDEX('DEFAULT DATA'!$DZ$9:$MG$41,START!$B$3,($L49+4))*-44/12)+($K49*INDEX('DEFAULT DATA'!$DZ$9:$MG$41,START!$B$3,($L49+5))*-44/12)</f>
        <v>15.806568321513016</v>
      </c>
      <c r="R49" s="550">
        <f>($I49*INDEX('DEFAULT DATA'!$DZ$9:$MG$41,START!$B$3,($L49))*-44/12)+($I49*INDEX('DEFAULT DATA'!$DZ$9:$MG$41,START!$B$3,($L49+1))*-44/12)+($I49*INDEX('DEFAULT DATA'!$DZ$9:$MG$41,START!$B$3,($L49+2))*-44/12)+($I49*INDEX('DEFAULT DATA'!$DZ$9:$MG$41,START!$B$3,($L49+3))*-44/12)+($J49*INDEX('DEFAULT DATA'!$DZ$9:$MG$41,START!$B$3,($L49+4))*-44/12)+($K49*INDEX('DEFAULT DATA'!$DZ$9:$MG$41,START!$B$3,($L49+5))*-44/12)</f>
        <v>15.806568321513016</v>
      </c>
      <c r="S49" s="550">
        <f>($I49*INDEX('DEFAULT DATA'!$DZ$9:$MG$41,START!$B$3,($L49))*-44/12)+($I49*INDEX('DEFAULT DATA'!$DZ$9:$MG$41,START!$B$3,($L49+1))*-44/12)+($I49*INDEX('DEFAULT DATA'!$DZ$9:$MG$41,START!$B$3,($L49+2))*-44/12)+($I49*INDEX('DEFAULT DATA'!$DZ$9:$MG$41,START!$B$3,($L49+3))*-44/12)+($J49*INDEX('DEFAULT DATA'!$DZ$9:$MG$41,START!$B$3,($L49+4))*-44/12)+($K49*INDEX('DEFAULT DATA'!$DZ$9:$MG$41,START!$B$3,($L49+5))*-44/12)</f>
        <v>15.806568321513016</v>
      </c>
      <c r="T49" s="550">
        <f>($I49*INDEX('DEFAULT DATA'!$LP$9:$LU$41,START!$B$3,1)*-44/12)+($I49*INDEX('DEFAULT DATA'!$LP$9:$LU$41,START!$B$3,2)*-44/12)+($I49*INDEX('DEFAULT DATA'!$LP$9:$LU$41,START!$B$3,3)*-44/12)+($I49*INDEX('DEFAULT DATA'!$LP$9:$LU$41,START!$B$3,4)*-44/12)+($J49*INDEX('DEFAULT DATA'!$LP$9:$LU$41,START!$B$3,5)*-44/12)+($K49*INDEX('DEFAULT DATA'!$LP$9:$LU$41,START!$B$3,6)*-44/12)</f>
        <v>10.521834177239661</v>
      </c>
      <c r="U49" s="550">
        <f>($I49*INDEX('DEFAULT DATA'!$LP$9:$LU$41,START!$B$3,1)*-44/12)+($I49*INDEX('DEFAULT DATA'!$LP$9:$LU$41,START!$B$3,2)*-44/12)+($I49*INDEX('DEFAULT DATA'!$LP$9:$LU$41,START!$B$3,3)*-44/12)+($I49*INDEX('DEFAULT DATA'!$LP$9:$LU$41,START!$B$3,4)*-44/12)+($J49*INDEX('DEFAULT DATA'!$LP$9:$LU$41,START!$B$3,5)*-44/12)+($K49*INDEX('DEFAULT DATA'!$LP$9:$LU$41,START!$B$3,6)*-44/12)</f>
        <v>10.521834177239661</v>
      </c>
      <c r="V49" s="550">
        <f>($I49*INDEX('DEFAULT DATA'!$LP$9:$LU$41,START!$B$3,1)*-44/12)+($I49*INDEX('DEFAULT DATA'!$LP$9:$LU$41,START!$B$3,2)*-44/12)+($I49*INDEX('DEFAULT DATA'!$LP$9:$LU$41,START!$B$3,3)*-44/12)+($I49*INDEX('DEFAULT DATA'!$LP$9:$LU$41,START!$B$3,4)*-44/12)+($J49*INDEX('DEFAULT DATA'!$LP$9:$LU$41,START!$B$3,5)*-44/12)+($K49*INDEX('DEFAULT DATA'!$LP$9:$LU$41,START!$B$3,6)*-44/12)</f>
        <v>10.521834177239661</v>
      </c>
      <c r="W49" s="550">
        <f>($I49*INDEX('DEFAULT DATA'!$LP$9:$LU$41,START!$B$3,1)*-44/12)+($I49*INDEX('DEFAULT DATA'!$LP$9:$LU$41,START!$B$3,2)*-44/12)+($I49*INDEX('DEFAULT DATA'!$LP$9:$LU$41,START!$B$3,3)*-44/12)+($I49*INDEX('DEFAULT DATA'!$LP$9:$LU$41,START!$B$3,4)*-44/12)+($J49*INDEX('DEFAULT DATA'!$LP$9:$LU$41,START!$B$3,5)*-44/12)+($K49*INDEX('DEFAULT DATA'!$LP$9:$LU$41,START!$B$3,6)*-44/12)</f>
        <v>10.521834177239661</v>
      </c>
      <c r="X49" s="550">
        <f>($I49*INDEX('DEFAULT DATA'!$LP$9:$LU$41,START!$B$3,1)*-44/12)+($I49*INDEX('DEFAULT DATA'!$LP$9:$LU$41,START!$B$3,2)*-44/12)+($I49*INDEX('DEFAULT DATA'!$LP$9:$LU$41,START!$B$3,3)*-44/12)+($I49*INDEX('DEFAULT DATA'!$LP$9:$LU$41,START!$B$3,4)*-44/12)+($J49*INDEX('DEFAULT DATA'!$LP$9:$LU$41,START!$B$3,5)*-44/12)+($K49*INDEX('DEFAULT DATA'!$LP$9:$LU$41,START!$B$3,6)*-44/12)</f>
        <v>10.521834177239661</v>
      </c>
      <c r="Y49" s="550">
        <f>($I49*INDEX('DEFAULT DATA'!$LP$9:$LU$41,START!$B$3,1)*-44/12)+($I49*INDEX('DEFAULT DATA'!$LP$9:$LU$41,START!$B$3,2)*-44/12)+($I49*INDEX('DEFAULT DATA'!$LP$9:$LU$41,START!$B$3,3)*-44/12)+($I49*INDEX('DEFAULT DATA'!$LP$9:$LU$41,START!$B$3,4)*-44/12)+($J49*INDEX('DEFAULT DATA'!$LP$9:$LU$41,START!$B$3,5)*-44/12)+($K49*INDEX('DEFAULT DATA'!$LP$9:$LU$41,START!$B$3,6)*-44/12)</f>
        <v>10.521834177239661</v>
      </c>
      <c r="Z49" s="550">
        <f>($I49*INDEX('DEFAULT DATA'!$LP$9:$LU$41,START!$B$3,1)*-44/12)+($I49*INDEX('DEFAULT DATA'!$LP$9:$LU$41,START!$B$3,2)*-44/12)+($I49*INDEX('DEFAULT DATA'!$LP$9:$LU$41,START!$B$3,3)*-44/12)+($I49*INDEX('DEFAULT DATA'!$LP$9:$LU$41,START!$B$3,4)*-44/12)+($J49*INDEX('DEFAULT DATA'!$LP$9:$LU$41,START!$B$3,5)*-44/12)+($K49*INDEX('DEFAULT DATA'!$LP$9:$LU$41,START!$B$3,6)*-44/12)</f>
        <v>10.521834177239661</v>
      </c>
      <c r="AA49" s="550">
        <f>($I49*INDEX('DEFAULT DATA'!$LP$9:$LU$41,START!$B$3,1)*-44/12)+($I49*INDEX('DEFAULT DATA'!$LP$9:$LU$41,START!$B$3,2)*-44/12)+($I49*INDEX('DEFAULT DATA'!$LP$9:$LU$41,START!$B$3,3)*-44/12)+($I49*INDEX('DEFAULT DATA'!$LP$9:$LU$41,START!$B$3,4)*-44/12)+($J49*INDEX('DEFAULT DATA'!$LP$9:$LU$41,START!$B$3,5)*-44/12)+($K49*INDEX('DEFAULT DATA'!$LP$9:$LU$41,START!$B$3,6)*-44/12)</f>
        <v>10.521834177239661</v>
      </c>
      <c r="AB49" s="550">
        <f>($I49*INDEX('DEFAULT DATA'!$LP$9:$LU$41,START!$B$3,1)*-44/12)+($I49*INDEX('DEFAULT DATA'!$LP$9:$LU$41,START!$B$3,2)*-44/12)+($I49*INDEX('DEFAULT DATA'!$LP$9:$LU$41,START!$B$3,3)*-44/12)+($I49*INDEX('DEFAULT DATA'!$LP$9:$LU$41,START!$B$3,4)*-44/12)+($J49*INDEX('DEFAULT DATA'!$LP$9:$LU$41,START!$B$3,5)*-44/12)+($K49*INDEX('DEFAULT DATA'!$LP$9:$LU$41,START!$B$3,6)*-44/12)</f>
        <v>10.521834177239661</v>
      </c>
      <c r="AC49" s="550">
        <f>($I49*INDEX('DEFAULT DATA'!$LP$9:$LU$41,START!$B$3,1)*-44/12)+($I49*INDEX('DEFAULT DATA'!$LP$9:$LU$41,START!$B$3,2)*-44/12)+($I49*INDEX('DEFAULT DATA'!$LP$9:$LU$41,START!$B$3,3)*-44/12)+($I49*INDEX('DEFAULT DATA'!$LP$9:$LU$41,START!$B$3,4)*-44/12)+($J49*INDEX('DEFAULT DATA'!$LP$9:$LU$41,START!$B$3,5)*-44/12)+($K49*INDEX('DEFAULT DATA'!$LP$9:$LU$41,START!$B$3,6)*-44/12)</f>
        <v>10.521834177239661</v>
      </c>
      <c r="AD49" s="550">
        <f>($I49*INDEX('DEFAULT DATA'!$LP$9:$LU$41,START!$B$3,1)*-44/12)+($I49*INDEX('DEFAULT DATA'!$LP$9:$LU$41,START!$B$3,2)*-44/12)+($I49*INDEX('DEFAULT DATA'!$LP$9:$LU$41,START!$B$3,3)*-44/12)+($I49*INDEX('DEFAULT DATA'!$LP$9:$LU$41,START!$B$3,4)*-44/12)+($J49*INDEX('DEFAULT DATA'!$LP$9:$LU$41,START!$B$3,5)*-44/12)+($K49*INDEX('DEFAULT DATA'!$LP$9:$LU$41,START!$B$3,6)*-44/12)</f>
        <v>10.521834177239661</v>
      </c>
      <c r="AE49" s="550">
        <f>($I49*INDEX('DEFAULT DATA'!$LP$9:$LU$41,START!$B$3,1)*-44/12)+($I49*INDEX('DEFAULT DATA'!$LP$9:$LU$41,START!$B$3,2)*-44/12)+($I49*INDEX('DEFAULT DATA'!$LP$9:$LU$41,START!$B$3,3)*-44/12)+($I49*INDEX('DEFAULT DATA'!$LP$9:$LU$41,START!$B$3,4)*-44/12)+($J49*INDEX('DEFAULT DATA'!$LP$9:$LU$41,START!$B$3,5)*-44/12)+($K49*INDEX('DEFAULT DATA'!$LP$9:$LU$41,START!$B$3,6)*-44/12)</f>
        <v>10.521834177239661</v>
      </c>
      <c r="AF49" s="550">
        <f>($I49*INDEX('DEFAULT DATA'!$LP$9:$LU$41,START!$B$3,1)*-44/12)+($I49*INDEX('DEFAULT DATA'!$LP$9:$LU$41,START!$B$3,2)*-44/12)+($I49*INDEX('DEFAULT DATA'!$LP$9:$LU$41,START!$B$3,3)*-44/12)+($I49*INDEX('DEFAULT DATA'!$LP$9:$LU$41,START!$B$3,4)*-44/12)+($J49*INDEX('DEFAULT DATA'!$LP$9:$LU$41,START!$B$3,5)*-44/12)+($K49*INDEX('DEFAULT DATA'!$LP$9:$LU$41,START!$B$3,6)*-44/12)</f>
        <v>10.521834177239661</v>
      </c>
      <c r="AG49" s="550">
        <f>($I49*INDEX('DEFAULT DATA'!$LP$9:$LU$41,START!$B$3,1)*-44/12)+($I49*INDEX('DEFAULT DATA'!$LP$9:$LU$41,START!$B$3,2)*-44/12)+($I49*INDEX('DEFAULT DATA'!$LP$9:$LU$41,START!$B$3,3)*-44/12)+($I49*INDEX('DEFAULT DATA'!$LP$9:$LU$41,START!$B$3,4)*-44/12)+($J49*INDEX('DEFAULT DATA'!$LP$9:$LU$41,START!$B$3,5)*-44/12)+($K49*INDEX('DEFAULT DATA'!$LP$9:$LU$41,START!$B$3,6)*-44/12)</f>
        <v>10.521834177239661</v>
      </c>
      <c r="AH49" s="550">
        <f>($I49*INDEX('DEFAULT DATA'!$LP$9:$LU$41,START!$B$3,1)*-44/12)+($I49*INDEX('DEFAULT DATA'!$LP$9:$LU$41,START!$B$3,2)*-44/12)+($I49*INDEX('DEFAULT DATA'!$LP$9:$LU$41,START!$B$3,3)*-44/12)+($I49*INDEX('DEFAULT DATA'!$LP$9:$LU$41,START!$B$3,4)*-44/12)+($J49*INDEX('DEFAULT DATA'!$LP$9:$LU$41,START!$B$3,5)*-44/12)+($K49*INDEX('DEFAULT DATA'!$LP$9:$LU$41,START!$B$3,6)*-44/12)</f>
        <v>10.521834177239661</v>
      </c>
      <c r="AI49" s="550">
        <f>($I49*INDEX('DEFAULT DATA'!$LP$9:$LU$41,START!$B$3,1)*-44/12)+($I49*INDEX('DEFAULT DATA'!$LP$9:$LU$41,START!$B$3,2)*-44/12)+($I49*INDEX('DEFAULT DATA'!$LP$9:$LU$41,START!$B$3,3)*-44/12)+($I49*INDEX('DEFAULT DATA'!$LP$9:$LU$41,START!$B$3,4)*-44/12)+($J49*INDEX('DEFAULT DATA'!$LP$9:$LU$41,START!$B$3,5)*-44/12)+($K49*INDEX('DEFAULT DATA'!$LP$9:$LU$41,START!$B$3,6)*-44/12)</f>
        <v>10.521834177239661</v>
      </c>
      <c r="AJ49" s="550">
        <f>($I49*INDEX('DEFAULT DATA'!$LP$9:$LU$41,START!$B$3,1)*-44/12)+($I49*INDEX('DEFAULT DATA'!$LP$9:$LU$41,START!$B$3,2)*-44/12)+($I49*INDEX('DEFAULT DATA'!$LP$9:$LU$41,START!$B$3,3)*-44/12)+($I49*INDEX('DEFAULT DATA'!$LP$9:$LU$41,START!$B$3,4)*-44/12)+($J49*INDEX('DEFAULT DATA'!$LP$9:$LU$41,START!$B$3,5)*-44/12)+($K49*INDEX('DEFAULT DATA'!$LP$9:$LU$41,START!$B$3,6)*-44/12)</f>
        <v>10.521834177239661</v>
      </c>
      <c r="AK49" s="550">
        <f>($I49*INDEX('DEFAULT DATA'!$LP$9:$LU$41,START!$B$3,1)*-44/12)+($I49*INDEX('DEFAULT DATA'!$LP$9:$LU$41,START!$B$3,2)*-44/12)+($I49*INDEX('DEFAULT DATA'!$LP$9:$LU$41,START!$B$3,3)*-44/12)+($I49*INDEX('DEFAULT DATA'!$LP$9:$LU$41,START!$B$3,4)*-44/12)+($J49*INDEX('DEFAULT DATA'!$LP$9:$LU$41,START!$B$3,5)*-44/12)+($K49*INDEX('DEFAULT DATA'!$LP$9:$LU$41,START!$B$3,6)*-44/12)</f>
        <v>10.521834177239661</v>
      </c>
      <c r="AL49" s="550">
        <f>($I49*INDEX('DEFAULT DATA'!$LP$9:$LU$41,START!$B$3,1)*-44/12)+($I49*INDEX('DEFAULT DATA'!$LP$9:$LU$41,START!$B$3,2)*-44/12)+($I49*INDEX('DEFAULT DATA'!$LP$9:$LU$41,START!$B$3,3)*-44/12)+($I49*INDEX('DEFAULT DATA'!$LP$9:$LU$41,START!$B$3,4)*-44/12)+($J49*INDEX('DEFAULT DATA'!$LP$9:$LU$41,START!$B$3,5)*-44/12)+($K49*INDEX('DEFAULT DATA'!$LP$9:$LU$41,START!$B$3,6)*-44/12)</f>
        <v>10.521834177239661</v>
      </c>
      <c r="AM49" s="550">
        <f>($I49*INDEX('DEFAULT DATA'!$LP$9:$LU$41,START!$B$3,1)*-44/12)+($I49*INDEX('DEFAULT DATA'!$LP$9:$LU$41,START!$B$3,2)*-44/12)+($I49*INDEX('DEFAULT DATA'!$LP$9:$LU$41,START!$B$3,3)*-44/12)+($I49*INDEX('DEFAULT DATA'!$LP$9:$LU$41,START!$B$3,4)*-44/12)+($J49*INDEX('DEFAULT DATA'!$LP$9:$LU$41,START!$B$3,5)*-44/12)+($K49*INDEX('DEFAULT DATA'!$LP$9:$LU$41,START!$B$3,6)*-44/12)</f>
        <v>10.521834177239661</v>
      </c>
      <c r="AN49" s="550">
        <f>($I49*INDEX('DEFAULT DATA'!$LP$9:$LU$41,START!$B$3,1)*-44/12)+($I49*INDEX('DEFAULT DATA'!$LP$9:$LU$41,START!$B$3,2)*-44/12)+($I49*INDEX('DEFAULT DATA'!$LP$9:$LU$41,START!$B$3,3)*-44/12)+($I49*INDEX('DEFAULT DATA'!$LP$9:$LU$41,START!$B$3,4)*-44/12)+($J49*INDEX('DEFAULT DATA'!$LP$9:$LU$41,START!$B$3,5)*-44/12)+($K49*INDEX('DEFAULT DATA'!$LP$9:$LU$41,START!$B$3,6)*-44/12)</f>
        <v>10.521834177239661</v>
      </c>
      <c r="AO49" s="550">
        <f>($I49*INDEX('DEFAULT DATA'!$LP$9:$LU$41,START!$B$3,1)*-44/12)+($I49*INDEX('DEFAULT DATA'!$LP$9:$LU$41,START!$B$3,2)*-44/12)+($I49*INDEX('DEFAULT DATA'!$LP$9:$LU$41,START!$B$3,3)*-44/12)+($I49*INDEX('DEFAULT DATA'!$LP$9:$LU$41,START!$B$3,4)*-44/12)+($J49*INDEX('DEFAULT DATA'!$LP$9:$LU$41,START!$B$3,5)*-44/12)+($K49*INDEX('DEFAULT DATA'!$LP$9:$LU$41,START!$B$3,6)*-44/12)</f>
        <v>10.521834177239661</v>
      </c>
      <c r="AP49" s="550">
        <f>($I49*INDEX('DEFAULT DATA'!$LP$9:$LU$41,START!$B$3,1)*-44/12)+($I49*INDEX('DEFAULT DATA'!$LP$9:$LU$41,START!$B$3,2)*-44/12)+($I49*INDEX('DEFAULT DATA'!$LP$9:$LU$41,START!$B$3,3)*-44/12)+($I49*INDEX('DEFAULT DATA'!$LP$9:$LU$41,START!$B$3,4)*-44/12)+($J49*INDEX('DEFAULT DATA'!$LP$9:$LU$41,START!$B$3,5)*-44/12)+($K49*INDEX('DEFAULT DATA'!$LP$9:$LU$41,START!$B$3,6)*-44/12)</f>
        <v>10.521834177239661</v>
      </c>
      <c r="AQ49" s="550">
        <f>($I49*INDEX('DEFAULT DATA'!$LP$9:$LU$41,START!$B$3,1)*-44/12)+($I49*INDEX('DEFAULT DATA'!$LP$9:$LU$41,START!$B$3,2)*-44/12)+($I49*INDEX('DEFAULT DATA'!$LP$9:$LU$41,START!$B$3,3)*-44/12)+($I49*INDEX('DEFAULT DATA'!$LP$9:$LU$41,START!$B$3,4)*-44/12)+($J49*INDEX('DEFAULT DATA'!$LP$9:$LU$41,START!$B$3,5)*-44/12)+($K49*INDEX('DEFAULT DATA'!$LP$9:$LU$41,START!$B$3,6)*-44/12)</f>
        <v>10.521834177239661</v>
      </c>
      <c r="AR49" s="551">
        <f>($I49*INDEX('DEFAULT DATA'!$LP$9:$LU$41,START!$B$3,1)*-44/12)+($I49*INDEX('DEFAULT DATA'!$LP$9:$LU$41,START!$B$3,2)*-44/12)+($I49*INDEX('DEFAULT DATA'!$LP$9:$LU$41,START!$B$3,3)*-44/12)+($I49*INDEX('DEFAULT DATA'!$LP$9:$LU$41,START!$B$3,4)*-44/12)+($J49*INDEX('DEFAULT DATA'!$LP$9:$LU$41,START!$B$3,5)*-44/12)+($K49*INDEX('DEFAULT DATA'!$LP$9:$LU$41,START!$B$3,6)*-44/12)</f>
        <v>10.521834177239661</v>
      </c>
    </row>
    <row r="50" spans="1:44" ht="20.100000000000001" customHeight="1" thickBot="1">
      <c r="A50" s="509" t="s">
        <v>1010</v>
      </c>
      <c r="B50" s="75"/>
      <c r="C50" s="75"/>
      <c r="D50" s="510">
        <v>2</v>
      </c>
      <c r="E50" s="517">
        <v>1</v>
      </c>
      <c r="F50" s="523">
        <v>1</v>
      </c>
      <c r="G50" s="75">
        <v>1</v>
      </c>
      <c r="H50" s="76"/>
      <c r="I50" s="514">
        <f t="shared" si="36"/>
        <v>2</v>
      </c>
      <c r="J50" s="511">
        <f t="shared" si="37"/>
        <v>1</v>
      </c>
      <c r="K50" s="511">
        <f t="shared" si="38"/>
        <v>1</v>
      </c>
      <c r="L50" s="384">
        <f t="shared" si="40"/>
        <v>97</v>
      </c>
      <c r="M50" s="535" t="s">
        <v>965</v>
      </c>
      <c r="N50" s="539">
        <f t="shared" si="39"/>
        <v>2022</v>
      </c>
      <c r="O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P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Q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R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S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T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U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V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W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X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Y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Z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AA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AB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AC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AD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AE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AF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AG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AH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AI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AJ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AK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AL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AM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AN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AO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AP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AQ50" s="221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  <c r="AR50" s="552">
        <f>($I50*INDEX('DEFAULT DATA'!$DZ$9:$MG$41,START!$B$3,($L50))*-44/12)+($I50*INDEX('DEFAULT DATA'!$DZ$9:$MG$41,START!$B$3,($L50+1))*-44/12)+($I50*INDEX('DEFAULT DATA'!$DZ$9:$MG$41,START!$B$3,($L50+2))*-44/12)+($I50*INDEX('DEFAULT DATA'!$DZ$9:$MG$41,START!$B$3,($L50+3))*-44/12)+($J50*INDEX('DEFAULT DATA'!$DZ$9:$MG$41,START!$B$3,($L50+4))*-44/12)+($K50*INDEX('DEFAULT DATA'!$DZ$9:$MG$41,START!$B$3,($L50+5))*-44/12)</f>
        <v>-1.5766666666666667</v>
      </c>
    </row>
    <row r="51" spans="1:44" ht="20.100000000000001" customHeight="1">
      <c r="A51" s="507" t="s">
        <v>1011</v>
      </c>
      <c r="B51" s="134"/>
      <c r="C51" s="134"/>
      <c r="D51" s="508">
        <v>2</v>
      </c>
      <c r="E51" s="518">
        <v>1</v>
      </c>
      <c r="F51" s="522">
        <v>1</v>
      </c>
      <c r="G51" s="134">
        <v>1</v>
      </c>
      <c r="H51" s="37"/>
      <c r="I51" s="514">
        <f t="shared" si="36"/>
        <v>2</v>
      </c>
      <c r="J51" s="511">
        <f t="shared" si="37"/>
        <v>1</v>
      </c>
      <c r="K51" s="511">
        <f t="shared" si="38"/>
        <v>1</v>
      </c>
      <c r="L51" s="384">
        <f t="shared" si="40"/>
        <v>103</v>
      </c>
      <c r="M51" s="535" t="s">
        <v>972</v>
      </c>
      <c r="N51" s="539">
        <f t="shared" si="39"/>
        <v>2022</v>
      </c>
      <c r="O51" s="221">
        <f>($I51*INDEX('DEFAULT DATA'!$DZ$9:$MG$41,START!$B$3,($L51))*-44/12)+($I51*INDEX('DEFAULT DATA'!$DZ$9:$MG$41,START!$B$3,($L51+1))*-44/12)+($I51*INDEX('DEFAULT DATA'!$DZ$9:$MG$41,START!$B$3,($L51+2))*-44/12)+($I51*INDEX('DEFAULT DATA'!$DZ$9:$MG$41,START!$B$3,($L51+3))*-44/12)+($J51*INDEX('DEFAULT DATA'!$DZ$9:$MG$41,START!$B$3,($L51+4))*-44/12)+($K51*INDEX('DEFAULT DATA'!$DZ$9:$MG$41,START!$B$3,($L51+5))*-44/12)</f>
        <v>1.8074630223439534</v>
      </c>
      <c r="P51" s="221">
        <f>($I51*INDEX('DEFAULT DATA'!$DZ$9:$MG$41,START!$B$3,($L51))*-44/12)+($I51*INDEX('DEFAULT DATA'!$DZ$9:$MG$41,START!$B$3,($L51+1))*-44/12)+($I51*INDEX('DEFAULT DATA'!$DZ$9:$MG$41,START!$B$3,($L51+2))*-44/12)+($I51*INDEX('DEFAULT DATA'!$DZ$9:$MG$41,START!$B$3,($L51+3))*-44/12)+($J51*INDEX('DEFAULT DATA'!$DZ$9:$MG$41,START!$B$3,($L51+4))*-44/12)+($K51*INDEX('DEFAULT DATA'!$DZ$9:$MG$41,START!$B$3,($L51+5))*-44/12)</f>
        <v>1.8074630223439534</v>
      </c>
      <c r="Q51" s="221">
        <f>($I51*INDEX('DEFAULT DATA'!$DZ$9:$MG$41,START!$B$3,($L51))*-44/12)+($I51*INDEX('DEFAULT DATA'!$DZ$9:$MG$41,START!$B$3,($L51+1))*-44/12)+($I51*INDEX('DEFAULT DATA'!$DZ$9:$MG$41,START!$B$3,($L51+2))*-44/12)+($I51*INDEX('DEFAULT DATA'!$DZ$9:$MG$41,START!$B$3,($L51+3))*-44/12)+($J51*INDEX('DEFAULT DATA'!$DZ$9:$MG$41,START!$B$3,($L51+4))*-44/12)+($K51*INDEX('DEFAULT DATA'!$DZ$9:$MG$41,START!$B$3,($L51+5))*-44/12)</f>
        <v>1.8074630223439534</v>
      </c>
      <c r="R51" s="221">
        <f>($I51*INDEX('DEFAULT DATA'!$DZ$9:$MG$41,START!$B$3,($L51))*-44/12)+($I51*INDEX('DEFAULT DATA'!$DZ$9:$MG$41,START!$B$3,($L51+1))*-44/12)+($I51*INDEX('DEFAULT DATA'!$DZ$9:$MG$41,START!$B$3,($L51+2))*-44/12)+($I51*INDEX('DEFAULT DATA'!$DZ$9:$MG$41,START!$B$3,($L51+3))*-44/12)+($J51*INDEX('DEFAULT DATA'!$DZ$9:$MG$41,START!$B$3,($L51+4))*-44/12)+($K51*INDEX('DEFAULT DATA'!$DZ$9:$MG$41,START!$B$3,($L51+5))*-44/12)</f>
        <v>1.8074630223439534</v>
      </c>
      <c r="S51" s="221">
        <f>($I51*INDEX('DEFAULT DATA'!$DZ$9:$MG$41,START!$B$3,($L51))*-44/12)+($I51*INDEX('DEFAULT DATA'!$DZ$9:$MG$41,START!$B$3,($L51+1))*-44/12)+($I51*INDEX('DEFAULT DATA'!$DZ$9:$MG$41,START!$B$3,($L51+2))*-44/12)+($I51*INDEX('DEFAULT DATA'!$DZ$9:$MG$41,START!$B$3,($L51+3))*-44/12)+($J51*INDEX('DEFAULT DATA'!$DZ$9:$MG$41,START!$B$3,($L51+4))*-44/12)+($K51*INDEX('DEFAULT DATA'!$DZ$9:$MG$41,START!$B$3,($L51+5))*-44/12)</f>
        <v>1.8074630223439534</v>
      </c>
      <c r="T51" s="221">
        <f>($I51*INDEX('DEFAULT DATA'!$DZ$9:$MG$41,START!$B$3,($L51))*-44/12)+($I51*INDEX('DEFAULT DATA'!$DZ$9:$MG$41,START!$B$3,($L51+1))*-44/12)+($I51*INDEX('DEFAULT DATA'!$DZ$9:$MG$41,START!$B$3,($L51+2))*-44/12)+($I51*INDEX('DEFAULT DATA'!$DZ$9:$MG$41,START!$B$3,($L51+3))*-44/12)+($J51*INDEX('DEFAULT DATA'!$DZ$9:$MG$41,START!$B$3,($L51+4))*-44/12)+($K51*INDEX('DEFAULT DATA'!$DZ$9:$MG$41,START!$B$3,($L51+5))*-44/12)</f>
        <v>1.8074630223439534</v>
      </c>
      <c r="U51" s="221">
        <f>($I51*INDEX('DEFAULT DATA'!$DZ$9:$MG$41,START!$B$3,($L51))*-44/12)+($I51*INDEX('DEFAULT DATA'!$DZ$9:$MG$41,START!$B$3,($L51+1))*-44/12)+($I51*INDEX('DEFAULT DATA'!$DZ$9:$MG$41,START!$B$3,($L51+2))*-44/12)+($I51*INDEX('DEFAULT DATA'!$DZ$9:$MG$41,START!$B$3,($L51+3))*-44/12)+($J51*INDEX('DEFAULT DATA'!$DZ$9:$MG$41,START!$B$3,($L51+4))*-44/12)+($K51*INDEX('DEFAULT DATA'!$DZ$9:$MG$41,START!$B$3,($L51+5))*-44/12)</f>
        <v>1.8074630223439534</v>
      </c>
      <c r="V51" s="221">
        <f>($I51*INDEX('DEFAULT DATA'!$DZ$9:$MG$41,START!$B$3,($L51))*-44/12)+($I51*INDEX('DEFAULT DATA'!$DZ$9:$MG$41,START!$B$3,($L51+1))*-44/12)+($I51*INDEX('DEFAULT DATA'!$DZ$9:$MG$41,START!$B$3,($L51+2))*-44/12)+($I51*INDEX('DEFAULT DATA'!$DZ$9:$MG$41,START!$B$3,($L51+3))*-44/12)+($J51*INDEX('DEFAULT DATA'!$DZ$9:$MG$41,START!$B$3,($L51+4))*-44/12)+($K51*INDEX('DEFAULT DATA'!$DZ$9:$MG$41,START!$B$3,($L51+5))*-44/12)</f>
        <v>1.8074630223439534</v>
      </c>
      <c r="W51" s="221">
        <f>($I51*INDEX('DEFAULT DATA'!$DZ$9:$MG$41,START!$B$3,($L51))*-44/12)+($I51*INDEX('DEFAULT DATA'!$DZ$9:$MG$41,START!$B$3,($L51+1))*-44/12)+($I51*INDEX('DEFAULT DATA'!$DZ$9:$MG$41,START!$B$3,($L51+2))*-44/12)+($I51*INDEX('DEFAULT DATA'!$DZ$9:$MG$41,START!$B$3,($L51+3))*-44/12)+($J51*INDEX('DEFAULT DATA'!$DZ$9:$MG$41,START!$B$3,($L51+4))*-44/12)+($K51*INDEX('DEFAULT DATA'!$DZ$9:$MG$41,START!$B$3,($L51+5))*-44/12)</f>
        <v>1.8074630223439534</v>
      </c>
      <c r="X51" s="221">
        <f>($I51*INDEX('DEFAULT DATA'!$DZ$9:$MG$41,START!$B$3,($L51))*-44/12)+($I51*INDEX('DEFAULT DATA'!$DZ$9:$MG$41,START!$B$3,($L51+1))*-44/12)+($I51*INDEX('DEFAULT DATA'!$DZ$9:$MG$41,START!$B$3,($L51+2))*-44/12)+($I51*INDEX('DEFAULT DATA'!$DZ$9:$MG$41,START!$B$3,($L51+3))*-44/12)+($J51*INDEX('DEFAULT DATA'!$DZ$9:$MG$41,START!$B$3,($L51+4))*-44/12)+($K51*INDEX('DEFAULT DATA'!$DZ$9:$MG$41,START!$B$3,($L51+5))*-44/12)</f>
        <v>1.8074630223439534</v>
      </c>
      <c r="Y51" s="221">
        <f>($I51*INDEX('DEFAULT DATA'!$DZ$9:$MG$41,START!$B$3,($L51))*-44/12)+($I51*INDEX('DEFAULT DATA'!$DZ$9:$MG$41,START!$B$3,($L51+1))*-44/12)+($I51*INDEX('DEFAULT DATA'!$DZ$9:$MG$41,START!$B$3,($L51+2))*-44/12)+($I51*INDEX('DEFAULT DATA'!$DZ$9:$MG$41,START!$B$3,($L51+3))*-44/12)+($J51*INDEX('DEFAULT DATA'!$DZ$9:$MG$41,START!$B$3,($L51+4))*-44/12)+($K51*INDEX('DEFAULT DATA'!$DZ$9:$MG$41,START!$B$3,($L51+5))*-44/12)</f>
        <v>1.8074630223439534</v>
      </c>
      <c r="Z51" s="221">
        <f>($I51*INDEX('DEFAULT DATA'!$DZ$9:$MG$41,START!$B$3,($L51))*-44/12)+($I51*INDEX('DEFAULT DATA'!$DZ$9:$MG$41,START!$B$3,($L51+1))*-44/12)+($I51*INDEX('DEFAULT DATA'!$DZ$9:$MG$41,START!$B$3,($L51+2))*-44/12)+($I51*INDEX('DEFAULT DATA'!$DZ$9:$MG$41,START!$B$3,($L51+3))*-44/12)+($J51*INDEX('DEFAULT DATA'!$DZ$9:$MG$41,START!$B$3,($L51+4))*-44/12)+($K51*INDEX('DEFAULT DATA'!$DZ$9:$MG$41,START!$B$3,($L51+5))*-44/12)</f>
        <v>1.8074630223439534</v>
      </c>
      <c r="AA51" s="221">
        <f>($I51*INDEX('DEFAULT DATA'!$DZ$9:$MG$41,START!$B$3,($L51))*-44/12)+($I51*INDEX('DEFAULT DATA'!$DZ$9:$MG$41,START!$B$3,($L51+1))*-44/12)+($I51*INDEX('DEFAULT DATA'!$DZ$9:$MG$41,START!$B$3,($L51+2))*-44/12)+($I51*INDEX('DEFAULT DATA'!$DZ$9:$MG$41,START!$B$3,($L51+3))*-44/12)+($J51*INDEX('DEFAULT DATA'!$DZ$9:$MG$41,START!$B$3,($L51+4))*-44/12)+($K51*INDEX('DEFAULT DATA'!$DZ$9:$MG$41,START!$B$3,($L51+5))*-44/12)</f>
        <v>1.8074630223439534</v>
      </c>
      <c r="AB51" s="221">
        <f>($I51*INDEX('DEFAULT DATA'!$DZ$9:$MG$41,START!$B$3,($L51))*-44/12)+($I51*INDEX('DEFAULT DATA'!$DZ$9:$MG$41,START!$B$3,($L51+1))*-44/12)+($I51*INDEX('DEFAULT DATA'!$DZ$9:$MG$41,START!$B$3,($L51+2))*-44/12)+($I51*INDEX('DEFAULT DATA'!$DZ$9:$MG$41,START!$B$3,($L51+3))*-44/12)+($J51*INDEX('DEFAULT DATA'!$DZ$9:$MG$41,START!$B$3,($L51+4))*-44/12)+($K51*INDEX('DEFAULT DATA'!$DZ$9:$MG$41,START!$B$3,($L51+5))*-44/12)</f>
        <v>1.8074630223439534</v>
      </c>
      <c r="AC51" s="221">
        <f>($I51*INDEX('DEFAULT DATA'!$DZ$9:$MG$41,START!$B$3,($L51))*-44/12)+($I51*INDEX('DEFAULT DATA'!$DZ$9:$MG$41,START!$B$3,($L51+1))*-44/12)+($I51*INDEX('DEFAULT DATA'!$DZ$9:$MG$41,START!$B$3,($L51+2))*-44/12)+($I51*INDEX('DEFAULT DATA'!$DZ$9:$MG$41,START!$B$3,($L51+3))*-44/12)+($J51*INDEX('DEFAULT DATA'!$DZ$9:$MG$41,START!$B$3,($L51+4))*-44/12)+($K51*INDEX('DEFAULT DATA'!$DZ$9:$MG$41,START!$B$3,($L51+5))*-44/12)</f>
        <v>1.8074630223439534</v>
      </c>
      <c r="AD51" s="221">
        <f>($I51*INDEX('DEFAULT DATA'!$DZ$9:$MG$41,START!$B$3,($L51))*-44/12)+($I51*INDEX('DEFAULT DATA'!$DZ$9:$MG$41,START!$B$3,($L51+1))*-44/12)+($I51*INDEX('DEFAULT DATA'!$DZ$9:$MG$41,START!$B$3,($L51+2))*-44/12)+($I51*INDEX('DEFAULT DATA'!$DZ$9:$MG$41,START!$B$3,($L51+3))*-44/12)+($J51*INDEX('DEFAULT DATA'!$DZ$9:$MG$41,START!$B$3,($L51+4))*-44/12)+($K51*INDEX('DEFAULT DATA'!$DZ$9:$MG$41,START!$B$3,($L51+5))*-44/12)</f>
        <v>1.8074630223439534</v>
      </c>
      <c r="AE51" s="221">
        <f>($I51*INDEX('DEFAULT DATA'!$DZ$9:$MG$41,START!$B$3,($L51))*-44/12)+($I51*INDEX('DEFAULT DATA'!$DZ$9:$MG$41,START!$B$3,($L51+1))*-44/12)+($I51*INDEX('DEFAULT DATA'!$DZ$9:$MG$41,START!$B$3,($L51+2))*-44/12)+($I51*INDEX('DEFAULT DATA'!$DZ$9:$MG$41,START!$B$3,($L51+3))*-44/12)+($J51*INDEX('DEFAULT DATA'!$DZ$9:$MG$41,START!$B$3,($L51+4))*-44/12)+($K51*INDEX('DEFAULT DATA'!$DZ$9:$MG$41,START!$B$3,($L51+5))*-44/12)</f>
        <v>1.8074630223439534</v>
      </c>
      <c r="AF51" s="221">
        <f>($I51*INDEX('DEFAULT DATA'!$DZ$9:$MG$41,START!$B$3,($L51))*-44/12)+($I51*INDEX('DEFAULT DATA'!$DZ$9:$MG$41,START!$B$3,($L51+1))*-44/12)+($I51*INDEX('DEFAULT DATA'!$DZ$9:$MG$41,START!$B$3,($L51+2))*-44/12)+($I51*INDEX('DEFAULT DATA'!$DZ$9:$MG$41,START!$B$3,($L51+3))*-44/12)+($J51*INDEX('DEFAULT DATA'!$DZ$9:$MG$41,START!$B$3,($L51+4))*-44/12)+($K51*INDEX('DEFAULT DATA'!$DZ$9:$MG$41,START!$B$3,($L51+5))*-44/12)</f>
        <v>1.8074630223439534</v>
      </c>
      <c r="AG51" s="221">
        <f>($I51*INDEX('DEFAULT DATA'!$DZ$9:$MG$41,START!$B$3,($L51))*-44/12)+($I51*INDEX('DEFAULT DATA'!$DZ$9:$MG$41,START!$B$3,($L51+1))*-44/12)+($I51*INDEX('DEFAULT DATA'!$DZ$9:$MG$41,START!$B$3,($L51+2))*-44/12)+($I51*INDEX('DEFAULT DATA'!$DZ$9:$MG$41,START!$B$3,($L51+3))*-44/12)+($J51*INDEX('DEFAULT DATA'!$DZ$9:$MG$41,START!$B$3,($L51+4))*-44/12)+($K51*INDEX('DEFAULT DATA'!$DZ$9:$MG$41,START!$B$3,($L51+5))*-44/12)</f>
        <v>1.8074630223439534</v>
      </c>
      <c r="AH51" s="221">
        <f>($I51*INDEX('DEFAULT DATA'!$DZ$9:$MG$41,START!$B$3,($L51))*-44/12)+($I51*INDEX('DEFAULT DATA'!$DZ$9:$MG$41,START!$B$3,($L51+1))*-44/12)+($I51*INDEX('DEFAULT DATA'!$DZ$9:$MG$41,START!$B$3,($L51+2))*-44/12)+($I51*INDEX('DEFAULT DATA'!$DZ$9:$MG$41,START!$B$3,($L51+3))*-44/12)+($J51*INDEX('DEFAULT DATA'!$DZ$9:$MG$41,START!$B$3,($L51+4))*-44/12)+($K51*INDEX('DEFAULT DATA'!$DZ$9:$MG$41,START!$B$3,($L51+5))*-44/12)</f>
        <v>1.8074630223439534</v>
      </c>
      <c r="AI51" s="221">
        <f>($I51*INDEX('DEFAULT DATA'!$LV$9:$MA$41,START!$B$3,1)*-44/12)+($I51*INDEX('DEFAULT DATA'!$LV$9:$MA$41,START!$B$3,2)*-44/12)+($I51*INDEX('DEFAULT DATA'!$LV$9:$MA$41,START!$B$3,3)*-44/12)+($I51*INDEX('DEFAULT DATA'!$LV$9:$MA$41,START!$B$3,4)*-44/12)+($J51*INDEX('DEFAULT DATA'!$LV$9:$MA$41,START!$B$3,5)*-44/12)+($K51*INDEX('DEFAULT DATA'!$LV$9:$MA$41,START!$B$3,6)*-44/12)</f>
        <v>1.5590450363686366</v>
      </c>
      <c r="AJ51" s="221">
        <f>($I51*INDEX('DEFAULT DATA'!$LV$9:$MA$41,START!$B$3,1)*-44/12)+($I51*INDEX('DEFAULT DATA'!$LV$9:$MA$41,START!$B$3,2)*-44/12)+($I51*INDEX('DEFAULT DATA'!$LV$9:$MA$41,START!$B$3,3)*-44/12)+($I51*INDEX('DEFAULT DATA'!$LV$9:$MA$41,START!$B$3,4)*-44/12)+($J51*INDEX('DEFAULT DATA'!$LV$9:$MA$41,START!$B$3,5)*-44/12)+($K51*INDEX('DEFAULT DATA'!$LV$9:$MA$41,START!$B$3,6)*-44/12)</f>
        <v>1.5590450363686366</v>
      </c>
      <c r="AK51" s="221">
        <f>($I51*INDEX('DEFAULT DATA'!$LV$9:$MA$41,START!$B$3,1)*-44/12)+($I51*INDEX('DEFAULT DATA'!$LV$9:$MA$41,START!$B$3,2)*-44/12)+($I51*INDEX('DEFAULT DATA'!$LV$9:$MA$41,START!$B$3,3)*-44/12)+($I51*INDEX('DEFAULT DATA'!$LV$9:$MA$41,START!$B$3,4)*-44/12)+($J51*INDEX('DEFAULT DATA'!$LV$9:$MA$41,START!$B$3,5)*-44/12)+($K51*INDEX('DEFAULT DATA'!$LV$9:$MA$41,START!$B$3,6)*-44/12)</f>
        <v>1.5590450363686366</v>
      </c>
      <c r="AL51" s="221">
        <f>($I51*INDEX('DEFAULT DATA'!$LV$9:$MA$41,START!$B$3,1)*-44/12)+($I51*INDEX('DEFAULT DATA'!$LV$9:$MA$41,START!$B$3,2)*-44/12)+($I51*INDEX('DEFAULT DATA'!$LV$9:$MA$41,START!$B$3,3)*-44/12)+($I51*INDEX('DEFAULT DATA'!$LV$9:$MA$41,START!$B$3,4)*-44/12)+($J51*INDEX('DEFAULT DATA'!$LV$9:$MA$41,START!$B$3,5)*-44/12)+($K51*INDEX('DEFAULT DATA'!$LV$9:$MA$41,START!$B$3,6)*-44/12)</f>
        <v>1.5590450363686366</v>
      </c>
      <c r="AM51" s="221">
        <f>($I51*INDEX('DEFAULT DATA'!$LV$9:$MA$41,START!$B$3,1)*-44/12)+($I51*INDEX('DEFAULT DATA'!$LV$9:$MA$41,START!$B$3,2)*-44/12)+($I51*INDEX('DEFAULT DATA'!$LV$9:$MA$41,START!$B$3,3)*-44/12)+($I51*INDEX('DEFAULT DATA'!$LV$9:$MA$41,START!$B$3,4)*-44/12)+($J51*INDEX('DEFAULT DATA'!$LV$9:$MA$41,START!$B$3,5)*-44/12)+($K51*INDEX('DEFAULT DATA'!$LV$9:$MA$41,START!$B$3,6)*-44/12)</f>
        <v>1.5590450363686366</v>
      </c>
      <c r="AN51" s="221">
        <f>($I51*INDEX('DEFAULT DATA'!$LV$9:$MA$41,START!$B$3,1)*-44/12)+($I51*INDEX('DEFAULT DATA'!$LV$9:$MA$41,START!$B$3,2)*-44/12)+($I51*INDEX('DEFAULT DATA'!$LV$9:$MA$41,START!$B$3,3)*-44/12)+($I51*INDEX('DEFAULT DATA'!$LV$9:$MA$41,START!$B$3,4)*-44/12)+($J51*INDEX('DEFAULT DATA'!$LV$9:$MA$41,START!$B$3,5)*-44/12)+($K51*INDEX('DEFAULT DATA'!$LV$9:$MA$41,START!$B$3,6)*-44/12)</f>
        <v>1.5590450363686366</v>
      </c>
      <c r="AO51" s="221">
        <f>($I51*INDEX('DEFAULT DATA'!$LV$9:$MA$41,START!$B$3,1)*-44/12)+($I51*INDEX('DEFAULT DATA'!$LV$9:$MA$41,START!$B$3,2)*-44/12)+($I51*INDEX('DEFAULT DATA'!$LV$9:$MA$41,START!$B$3,3)*-44/12)+($I51*INDEX('DEFAULT DATA'!$LV$9:$MA$41,START!$B$3,4)*-44/12)+($J51*INDEX('DEFAULT DATA'!$LV$9:$MA$41,START!$B$3,5)*-44/12)+($K51*INDEX('DEFAULT DATA'!$LV$9:$MA$41,START!$B$3,6)*-44/12)</f>
        <v>1.5590450363686366</v>
      </c>
      <c r="AP51" s="221">
        <f>($I51*INDEX('DEFAULT DATA'!$LV$9:$MA$41,START!$B$3,1)*-44/12)+($I51*INDEX('DEFAULT DATA'!$LV$9:$MA$41,START!$B$3,2)*-44/12)+($I51*INDEX('DEFAULT DATA'!$LV$9:$MA$41,START!$B$3,3)*-44/12)+($I51*INDEX('DEFAULT DATA'!$LV$9:$MA$41,START!$B$3,4)*-44/12)+($J51*INDEX('DEFAULT DATA'!$LV$9:$MA$41,START!$B$3,5)*-44/12)+($K51*INDEX('DEFAULT DATA'!$LV$9:$MA$41,START!$B$3,6)*-44/12)</f>
        <v>1.5590450363686366</v>
      </c>
      <c r="AQ51" s="221">
        <f>($I51*INDEX('DEFAULT DATA'!$LV$9:$MA$41,START!$B$3,1)*-44/12)+($I51*INDEX('DEFAULT DATA'!$LV$9:$MA$41,START!$B$3,2)*-44/12)+($I51*INDEX('DEFAULT DATA'!$LV$9:$MA$41,START!$B$3,3)*-44/12)+($I51*INDEX('DEFAULT DATA'!$LV$9:$MA$41,START!$B$3,4)*-44/12)+($J51*INDEX('DEFAULT DATA'!$LV$9:$MA$41,START!$B$3,5)*-44/12)+($K51*INDEX('DEFAULT DATA'!$LV$9:$MA$41,START!$B$3,6)*-44/12)</f>
        <v>1.5590450363686366</v>
      </c>
      <c r="AR51" s="552">
        <f>($I51*INDEX('DEFAULT DATA'!$LV$9:$MA$41,START!$B$3,1)*-44/12)+($I51*INDEX('DEFAULT DATA'!$LV$9:$MA$41,START!$B$3,2)*-44/12)+($I51*INDEX('DEFAULT DATA'!$LV$9:$MA$41,START!$B$3,3)*-44/12)+($I51*INDEX('DEFAULT DATA'!$LV$9:$MA$41,START!$B$3,4)*-44/12)+($J51*INDEX('DEFAULT DATA'!$LV$9:$MA$41,START!$B$3,5)*-44/12)+($K51*INDEX('DEFAULT DATA'!$LV$9:$MA$41,START!$B$3,6)*-44/12)</f>
        <v>1.5590450363686366</v>
      </c>
    </row>
    <row r="52" spans="1:44" ht="20.100000000000001" customHeight="1">
      <c r="A52" s="501" t="s">
        <v>1012</v>
      </c>
      <c r="B52" s="65"/>
      <c r="C52" s="65"/>
      <c r="D52" s="503">
        <v>2</v>
      </c>
      <c r="E52" s="505">
        <v>1</v>
      </c>
      <c r="F52" s="504">
        <v>1</v>
      </c>
      <c r="G52" s="65">
        <v>1</v>
      </c>
      <c r="H52" s="44"/>
      <c r="I52" s="514">
        <f t="shared" si="36"/>
        <v>2</v>
      </c>
      <c r="J52" s="511">
        <f t="shared" si="37"/>
        <v>1</v>
      </c>
      <c r="K52" s="511">
        <f t="shared" si="38"/>
        <v>1</v>
      </c>
      <c r="L52" s="384">
        <f t="shared" si="40"/>
        <v>109</v>
      </c>
      <c r="M52" s="535" t="s">
        <v>979</v>
      </c>
      <c r="N52" s="539">
        <f t="shared" si="39"/>
        <v>2022</v>
      </c>
      <c r="O52" s="221">
        <f>($I52*INDEX('DEFAULT DATA'!$DZ$9:$MG$41,START!$B$3,($L52))*-44/12)+($I52*INDEX('DEFAULT DATA'!$DZ$9:$MG$41,START!$B$3,($L52+1))*-44/12)+($I52*INDEX('DEFAULT DATA'!$DZ$9:$MG$41,START!$B$3,($L52+2))*-44/12)+($I52*INDEX('DEFAULT DATA'!$DZ$9:$MG$41,START!$B$3,($L52+3))*-44/12)+($J52*INDEX('DEFAULT DATA'!$DZ$9:$MG$41,START!$B$3,($L52+4))*-44/12)+($K52*INDEX('DEFAULT DATA'!$DZ$9:$MG$41,START!$B$3,($L52+5))*-44/12)</f>
        <v>0</v>
      </c>
      <c r="P52" s="221">
        <f>($I52*INDEX('DEFAULT DATA'!$DZ$9:$MG$41,START!$B$3,($L52))*-44/12)+($I52*INDEX('DEFAULT DATA'!$DZ$9:$MG$41,START!$B$3,($L52+1))*-44/12)+($I52*INDEX('DEFAULT DATA'!$DZ$9:$MG$41,START!$B$3,($L52+2))*-44/12)+($I52*INDEX('DEFAULT DATA'!$DZ$9:$MG$41,START!$B$3,($L52+3))*-44/12)+($J52*INDEX('DEFAULT DATA'!$DZ$9:$MG$41,START!$B$3,($L52+4))*-44/12)+($K52*INDEX('DEFAULT DATA'!$DZ$9:$MG$41,START!$B$3,($L52+5))*-44/12)</f>
        <v>0</v>
      </c>
      <c r="Q52" s="221">
        <f>($I52*INDEX('DEFAULT DATA'!$DZ$9:$MG$41,START!$B$3,($L52))*-44/12)+($I52*INDEX('DEFAULT DATA'!$DZ$9:$MG$41,START!$B$3,($L52+1))*-44/12)+($I52*INDEX('DEFAULT DATA'!$DZ$9:$MG$41,START!$B$3,($L52+2))*-44/12)+($I52*INDEX('DEFAULT DATA'!$DZ$9:$MG$41,START!$B$3,($L52+3))*-44/12)+($J52*INDEX('DEFAULT DATA'!$DZ$9:$MG$41,START!$B$3,($L52+4))*-44/12)+($K52*INDEX('DEFAULT DATA'!$DZ$9:$MG$41,START!$B$3,($L52+5))*-44/12)</f>
        <v>0</v>
      </c>
      <c r="R52" s="221">
        <f>($I52*INDEX('DEFAULT DATA'!$DZ$9:$MG$41,START!$B$3,($L52))*-44/12)+($I52*INDEX('DEFAULT DATA'!$DZ$9:$MG$41,START!$B$3,($L52+1))*-44/12)+($I52*INDEX('DEFAULT DATA'!$DZ$9:$MG$41,START!$B$3,($L52+2))*-44/12)+($I52*INDEX('DEFAULT DATA'!$DZ$9:$MG$41,START!$B$3,($L52+3))*-44/12)+($J52*INDEX('DEFAULT DATA'!$DZ$9:$MG$41,START!$B$3,($L52+4))*-44/12)+($K52*INDEX('DEFAULT DATA'!$DZ$9:$MG$41,START!$B$3,($L52+5))*-44/12)</f>
        <v>0</v>
      </c>
      <c r="S52" s="221">
        <f>($I52*INDEX('DEFAULT DATA'!$DZ$9:$MG$41,START!$B$3,($L52))*-44/12)+($I52*INDEX('DEFAULT DATA'!$DZ$9:$MG$41,START!$B$3,($L52+1))*-44/12)+($I52*INDEX('DEFAULT DATA'!$DZ$9:$MG$41,START!$B$3,($L52+2))*-44/12)+($I52*INDEX('DEFAULT DATA'!$DZ$9:$MG$41,START!$B$3,($L52+3))*-44/12)+($J52*INDEX('DEFAULT DATA'!$DZ$9:$MG$41,START!$B$3,($L52+4))*-44/12)+($K52*INDEX('DEFAULT DATA'!$DZ$9:$MG$41,START!$B$3,($L52+5))*-44/12)</f>
        <v>0</v>
      </c>
      <c r="T52" s="221">
        <f>($I52*INDEX('DEFAULT DATA'!$DZ$9:$MG$41,START!$B$3,($L52))*-44/12)+($I52*INDEX('DEFAULT DATA'!$DZ$9:$MG$41,START!$B$3,($L52+1))*-44/12)+($I52*INDEX('DEFAULT DATA'!$DZ$9:$MG$41,START!$B$3,($L52+2))*-44/12)+($I52*INDEX('DEFAULT DATA'!$DZ$9:$MG$41,START!$B$3,($L52+3))*-44/12)+($J52*INDEX('DEFAULT DATA'!$DZ$9:$MG$41,START!$B$3,($L52+4))*-44/12)+($K52*INDEX('DEFAULT DATA'!$DZ$9:$MG$41,START!$B$3,($L52+5))*-44/12)</f>
        <v>0</v>
      </c>
      <c r="U52" s="221">
        <f>($I52*INDEX('DEFAULT DATA'!$DZ$9:$MG$41,START!$B$3,($L52))*-44/12)+($I52*INDEX('DEFAULT DATA'!$DZ$9:$MG$41,START!$B$3,($L52+1))*-44/12)+($I52*INDEX('DEFAULT DATA'!$DZ$9:$MG$41,START!$B$3,($L52+2))*-44/12)+($I52*INDEX('DEFAULT DATA'!$DZ$9:$MG$41,START!$B$3,($L52+3))*-44/12)+($J52*INDEX('DEFAULT DATA'!$DZ$9:$MG$41,START!$B$3,($L52+4))*-44/12)+($K52*INDEX('DEFAULT DATA'!$DZ$9:$MG$41,START!$B$3,($L52+5))*-44/12)</f>
        <v>0</v>
      </c>
      <c r="V52" s="221">
        <f>($I52*INDEX('DEFAULT DATA'!$DZ$9:$MG$41,START!$B$3,($L52))*-44/12)+($I52*INDEX('DEFAULT DATA'!$DZ$9:$MG$41,START!$B$3,($L52+1))*-44/12)+($I52*INDEX('DEFAULT DATA'!$DZ$9:$MG$41,START!$B$3,($L52+2))*-44/12)+($I52*INDEX('DEFAULT DATA'!$DZ$9:$MG$41,START!$B$3,($L52+3))*-44/12)+($J52*INDEX('DEFAULT DATA'!$DZ$9:$MG$41,START!$B$3,($L52+4))*-44/12)+($K52*INDEX('DEFAULT DATA'!$DZ$9:$MG$41,START!$B$3,($L52+5))*-44/12)</f>
        <v>0</v>
      </c>
      <c r="W52" s="221">
        <f>($I52*INDEX('DEFAULT DATA'!$DZ$9:$MG$41,START!$B$3,($L52))*-44/12)+($I52*INDEX('DEFAULT DATA'!$DZ$9:$MG$41,START!$B$3,($L52+1))*-44/12)+($I52*INDEX('DEFAULT DATA'!$DZ$9:$MG$41,START!$B$3,($L52+2))*-44/12)+($I52*INDEX('DEFAULT DATA'!$DZ$9:$MG$41,START!$B$3,($L52+3))*-44/12)+($J52*INDEX('DEFAULT DATA'!$DZ$9:$MG$41,START!$B$3,($L52+4))*-44/12)+($K52*INDEX('DEFAULT DATA'!$DZ$9:$MG$41,START!$B$3,($L52+5))*-44/12)</f>
        <v>0</v>
      </c>
      <c r="X52" s="221">
        <f>($I52*INDEX('DEFAULT DATA'!$DZ$9:$MG$41,START!$B$3,($L52))*-44/12)+($I52*INDEX('DEFAULT DATA'!$DZ$9:$MG$41,START!$B$3,($L52+1))*-44/12)+($I52*INDEX('DEFAULT DATA'!$DZ$9:$MG$41,START!$B$3,($L52+2))*-44/12)+($I52*INDEX('DEFAULT DATA'!$DZ$9:$MG$41,START!$B$3,($L52+3))*-44/12)+($J52*INDEX('DEFAULT DATA'!$DZ$9:$MG$41,START!$B$3,($L52+4))*-44/12)+($K52*INDEX('DEFAULT DATA'!$DZ$9:$MG$41,START!$B$3,($L52+5))*-44/12)</f>
        <v>0</v>
      </c>
      <c r="Y52" s="221">
        <f>($I52*INDEX('DEFAULT DATA'!$DZ$9:$MG$41,START!$B$3,($L52))*-44/12)+($I52*INDEX('DEFAULT DATA'!$DZ$9:$MG$41,START!$B$3,($L52+1))*-44/12)+($I52*INDEX('DEFAULT DATA'!$DZ$9:$MG$41,START!$B$3,($L52+2))*-44/12)+($I52*INDEX('DEFAULT DATA'!$DZ$9:$MG$41,START!$B$3,($L52+3))*-44/12)+($J52*INDEX('DEFAULT DATA'!$DZ$9:$MG$41,START!$B$3,($L52+4))*-44/12)+($K52*INDEX('DEFAULT DATA'!$DZ$9:$MG$41,START!$B$3,($L52+5))*-44/12)</f>
        <v>0</v>
      </c>
      <c r="Z52" s="221">
        <f>($I52*INDEX('DEFAULT DATA'!$DZ$9:$MG$41,START!$B$3,($L52))*-44/12)+($I52*INDEX('DEFAULT DATA'!$DZ$9:$MG$41,START!$B$3,($L52+1))*-44/12)+($I52*INDEX('DEFAULT DATA'!$DZ$9:$MG$41,START!$B$3,($L52+2))*-44/12)+($I52*INDEX('DEFAULT DATA'!$DZ$9:$MG$41,START!$B$3,($L52+3))*-44/12)+($J52*INDEX('DEFAULT DATA'!$DZ$9:$MG$41,START!$B$3,($L52+4))*-44/12)+($K52*INDEX('DEFAULT DATA'!$DZ$9:$MG$41,START!$B$3,($L52+5))*-44/12)</f>
        <v>0</v>
      </c>
      <c r="AA52" s="221">
        <f>($I52*INDEX('DEFAULT DATA'!$DZ$9:$MG$41,START!$B$3,($L52))*-44/12)+($I52*INDEX('DEFAULT DATA'!$DZ$9:$MG$41,START!$B$3,($L52+1))*-44/12)+($I52*INDEX('DEFAULT DATA'!$DZ$9:$MG$41,START!$B$3,($L52+2))*-44/12)+($I52*INDEX('DEFAULT DATA'!$DZ$9:$MG$41,START!$B$3,($L52+3))*-44/12)+($J52*INDEX('DEFAULT DATA'!$DZ$9:$MG$41,START!$B$3,($L52+4))*-44/12)+($K52*INDEX('DEFAULT DATA'!$DZ$9:$MG$41,START!$B$3,($L52+5))*-44/12)</f>
        <v>0</v>
      </c>
      <c r="AB52" s="221">
        <f>($I52*INDEX('DEFAULT DATA'!$DZ$9:$MG$41,START!$B$3,($L52))*-44/12)+($I52*INDEX('DEFAULT DATA'!$DZ$9:$MG$41,START!$B$3,($L52+1))*-44/12)+($I52*INDEX('DEFAULT DATA'!$DZ$9:$MG$41,START!$B$3,($L52+2))*-44/12)+($I52*INDEX('DEFAULT DATA'!$DZ$9:$MG$41,START!$B$3,($L52+3))*-44/12)+($J52*INDEX('DEFAULT DATA'!$DZ$9:$MG$41,START!$B$3,($L52+4))*-44/12)+($K52*INDEX('DEFAULT DATA'!$DZ$9:$MG$41,START!$B$3,($L52+5))*-44/12)</f>
        <v>0</v>
      </c>
      <c r="AC52" s="221">
        <f>($I52*INDEX('DEFAULT DATA'!$DZ$9:$MG$41,START!$B$3,($L52))*-44/12)+($I52*INDEX('DEFAULT DATA'!$DZ$9:$MG$41,START!$B$3,($L52+1))*-44/12)+($I52*INDEX('DEFAULT DATA'!$DZ$9:$MG$41,START!$B$3,($L52+2))*-44/12)+($I52*INDEX('DEFAULT DATA'!$DZ$9:$MG$41,START!$B$3,($L52+3))*-44/12)+($J52*INDEX('DEFAULT DATA'!$DZ$9:$MG$41,START!$B$3,($L52+4))*-44/12)+($K52*INDEX('DEFAULT DATA'!$DZ$9:$MG$41,START!$B$3,($L52+5))*-44/12)</f>
        <v>0</v>
      </c>
      <c r="AD52" s="221">
        <f>($I52*INDEX('DEFAULT DATA'!$DZ$9:$MG$41,START!$B$3,($L52))*-44/12)+($I52*INDEX('DEFAULT DATA'!$DZ$9:$MG$41,START!$B$3,($L52+1))*-44/12)+($I52*INDEX('DEFAULT DATA'!$DZ$9:$MG$41,START!$B$3,($L52+2))*-44/12)+($I52*INDEX('DEFAULT DATA'!$DZ$9:$MG$41,START!$B$3,($L52+3))*-44/12)+($J52*INDEX('DEFAULT DATA'!$DZ$9:$MG$41,START!$B$3,($L52+4))*-44/12)+($K52*INDEX('DEFAULT DATA'!$DZ$9:$MG$41,START!$B$3,($L52+5))*-44/12)</f>
        <v>0</v>
      </c>
      <c r="AE52" s="221">
        <f>($I52*INDEX('DEFAULT DATA'!$DZ$9:$MG$41,START!$B$3,($L52))*-44/12)+($I52*INDEX('DEFAULT DATA'!$DZ$9:$MG$41,START!$B$3,($L52+1))*-44/12)+($I52*INDEX('DEFAULT DATA'!$DZ$9:$MG$41,START!$B$3,($L52+2))*-44/12)+($I52*INDEX('DEFAULT DATA'!$DZ$9:$MG$41,START!$B$3,($L52+3))*-44/12)+($J52*INDEX('DEFAULT DATA'!$DZ$9:$MG$41,START!$B$3,($L52+4))*-44/12)+($K52*INDEX('DEFAULT DATA'!$DZ$9:$MG$41,START!$B$3,($L52+5))*-44/12)</f>
        <v>0</v>
      </c>
      <c r="AF52" s="221">
        <f>($I52*INDEX('DEFAULT DATA'!$DZ$9:$MG$41,START!$B$3,($L52))*-44/12)+($I52*INDEX('DEFAULT DATA'!$DZ$9:$MG$41,START!$B$3,($L52+1))*-44/12)+($I52*INDEX('DEFAULT DATA'!$DZ$9:$MG$41,START!$B$3,($L52+2))*-44/12)+($I52*INDEX('DEFAULT DATA'!$DZ$9:$MG$41,START!$B$3,($L52+3))*-44/12)+($J52*INDEX('DEFAULT DATA'!$DZ$9:$MG$41,START!$B$3,($L52+4))*-44/12)+($K52*INDEX('DEFAULT DATA'!$DZ$9:$MG$41,START!$B$3,($L52+5))*-44/12)</f>
        <v>0</v>
      </c>
      <c r="AG52" s="221">
        <f>($I52*INDEX('DEFAULT DATA'!$DZ$9:$MG$41,START!$B$3,($L52))*-44/12)+($I52*INDEX('DEFAULT DATA'!$DZ$9:$MG$41,START!$B$3,($L52+1))*-44/12)+($I52*INDEX('DEFAULT DATA'!$DZ$9:$MG$41,START!$B$3,($L52+2))*-44/12)+($I52*INDEX('DEFAULT DATA'!$DZ$9:$MG$41,START!$B$3,($L52+3))*-44/12)+($J52*INDEX('DEFAULT DATA'!$DZ$9:$MG$41,START!$B$3,($L52+4))*-44/12)+($K52*INDEX('DEFAULT DATA'!$DZ$9:$MG$41,START!$B$3,($L52+5))*-44/12)</f>
        <v>0</v>
      </c>
      <c r="AH52" s="221">
        <f>($I52*INDEX('DEFAULT DATA'!$DZ$9:$MG$41,START!$B$3,($L52))*-44/12)+($I52*INDEX('DEFAULT DATA'!$DZ$9:$MG$41,START!$B$3,($L52+1))*-44/12)+($I52*INDEX('DEFAULT DATA'!$DZ$9:$MG$41,START!$B$3,($L52+2))*-44/12)+($I52*INDEX('DEFAULT DATA'!$DZ$9:$MG$41,START!$B$3,($L52+3))*-44/12)+($J52*INDEX('DEFAULT DATA'!$DZ$9:$MG$41,START!$B$3,($L52+4))*-44/12)+($K52*INDEX('DEFAULT DATA'!$DZ$9:$MG$41,START!$B$3,($L52+5))*-44/12)</f>
        <v>0</v>
      </c>
      <c r="AI52" s="221">
        <f>($I52*INDEX('DEFAULT DATA'!$LV$9:$MA$41,START!$B$3,1)*-44/12)+($I52*INDEX('DEFAULT DATA'!$LV$9:$MA$41,START!$B$3,2)*-44/12)+($I52*INDEX('DEFAULT DATA'!$LV$9:$MA$41,START!$B$3,3)*-44/12)+($I52*INDEX('DEFAULT DATA'!$LV$9:$MA$41,START!$B$3,4)*-44/12)+($J52*INDEX('DEFAULT DATA'!$LV$9:$MA$41,START!$B$3,5)*-44/12)+($K52*INDEX('DEFAULT DATA'!$LV$9:$MA$41,START!$B$3,6)*-44/12)</f>
        <v>1.5590450363686366</v>
      </c>
      <c r="AJ52" s="221">
        <f>($I52*INDEX('DEFAULT DATA'!$LV$9:$MA$41,START!$B$3,1)*-44/12)+($I52*INDEX('DEFAULT DATA'!$LV$9:$MA$41,START!$B$3,2)*-44/12)+($I52*INDEX('DEFAULT DATA'!$LV$9:$MA$41,START!$B$3,3)*-44/12)+($I52*INDEX('DEFAULT DATA'!$LV$9:$MA$41,START!$B$3,4)*-44/12)+($J52*INDEX('DEFAULT DATA'!$LV$9:$MA$41,START!$B$3,5)*-44/12)+($K52*INDEX('DEFAULT DATA'!$LV$9:$MA$41,START!$B$3,6)*-44/12)</f>
        <v>1.5590450363686366</v>
      </c>
      <c r="AK52" s="221">
        <f>($I52*INDEX('DEFAULT DATA'!$LV$9:$MA$41,START!$B$3,1)*-44/12)+($I52*INDEX('DEFAULT DATA'!$LV$9:$MA$41,START!$B$3,2)*-44/12)+($I52*INDEX('DEFAULT DATA'!$LV$9:$MA$41,START!$B$3,3)*-44/12)+($I52*INDEX('DEFAULT DATA'!$LV$9:$MA$41,START!$B$3,4)*-44/12)+($J52*INDEX('DEFAULT DATA'!$LV$9:$MA$41,START!$B$3,5)*-44/12)+($K52*INDEX('DEFAULT DATA'!$LV$9:$MA$41,START!$B$3,6)*-44/12)</f>
        <v>1.5590450363686366</v>
      </c>
      <c r="AL52" s="221">
        <f>($I52*INDEX('DEFAULT DATA'!$LV$9:$MA$41,START!$B$3,1)*-44/12)+($I52*INDEX('DEFAULT DATA'!$LV$9:$MA$41,START!$B$3,2)*-44/12)+($I52*INDEX('DEFAULT DATA'!$LV$9:$MA$41,START!$B$3,3)*-44/12)+($I52*INDEX('DEFAULT DATA'!$LV$9:$MA$41,START!$B$3,4)*-44/12)+($J52*INDEX('DEFAULT DATA'!$LV$9:$MA$41,START!$B$3,5)*-44/12)+($K52*INDEX('DEFAULT DATA'!$LV$9:$MA$41,START!$B$3,6)*-44/12)</f>
        <v>1.5590450363686366</v>
      </c>
      <c r="AM52" s="221">
        <f>($I52*INDEX('DEFAULT DATA'!$LV$9:$MA$41,START!$B$3,1)*-44/12)+($I52*INDEX('DEFAULT DATA'!$LV$9:$MA$41,START!$B$3,2)*-44/12)+($I52*INDEX('DEFAULT DATA'!$LV$9:$MA$41,START!$B$3,3)*-44/12)+($I52*INDEX('DEFAULT DATA'!$LV$9:$MA$41,START!$B$3,4)*-44/12)+($J52*INDEX('DEFAULT DATA'!$LV$9:$MA$41,START!$B$3,5)*-44/12)+($K52*INDEX('DEFAULT DATA'!$LV$9:$MA$41,START!$B$3,6)*-44/12)</f>
        <v>1.5590450363686366</v>
      </c>
      <c r="AN52" s="221">
        <f>($I52*INDEX('DEFAULT DATA'!$LV$9:$MA$41,START!$B$3,1)*-44/12)+($I52*INDEX('DEFAULT DATA'!$LV$9:$MA$41,START!$B$3,2)*-44/12)+($I52*INDEX('DEFAULT DATA'!$LV$9:$MA$41,START!$B$3,3)*-44/12)+($I52*INDEX('DEFAULT DATA'!$LV$9:$MA$41,START!$B$3,4)*-44/12)+($J52*INDEX('DEFAULT DATA'!$LV$9:$MA$41,START!$B$3,5)*-44/12)+($K52*INDEX('DEFAULT DATA'!$LV$9:$MA$41,START!$B$3,6)*-44/12)</f>
        <v>1.5590450363686366</v>
      </c>
      <c r="AO52" s="221">
        <f>($I52*INDEX('DEFAULT DATA'!$LV$9:$MA$41,START!$B$3,1)*-44/12)+($I52*INDEX('DEFAULT DATA'!$LV$9:$MA$41,START!$B$3,2)*-44/12)+($I52*INDEX('DEFAULT DATA'!$LV$9:$MA$41,START!$B$3,3)*-44/12)+($I52*INDEX('DEFAULT DATA'!$LV$9:$MA$41,START!$B$3,4)*-44/12)+($J52*INDEX('DEFAULT DATA'!$LV$9:$MA$41,START!$B$3,5)*-44/12)+($K52*INDEX('DEFAULT DATA'!$LV$9:$MA$41,START!$B$3,6)*-44/12)</f>
        <v>1.5590450363686366</v>
      </c>
      <c r="AP52" s="221">
        <f>($I52*INDEX('DEFAULT DATA'!$LV$9:$MA$41,START!$B$3,1)*-44/12)+($I52*INDEX('DEFAULT DATA'!$LV$9:$MA$41,START!$B$3,2)*-44/12)+($I52*INDEX('DEFAULT DATA'!$LV$9:$MA$41,START!$B$3,3)*-44/12)+($I52*INDEX('DEFAULT DATA'!$LV$9:$MA$41,START!$B$3,4)*-44/12)+($J52*INDEX('DEFAULT DATA'!$LV$9:$MA$41,START!$B$3,5)*-44/12)+($K52*INDEX('DEFAULT DATA'!$LV$9:$MA$41,START!$B$3,6)*-44/12)</f>
        <v>1.5590450363686366</v>
      </c>
      <c r="AQ52" s="221">
        <f>($I52*INDEX('DEFAULT DATA'!$LV$9:$MA$41,START!$B$3,1)*-44/12)+($I52*INDEX('DEFAULT DATA'!$LV$9:$MA$41,START!$B$3,2)*-44/12)+($I52*INDEX('DEFAULT DATA'!$LV$9:$MA$41,START!$B$3,3)*-44/12)+($I52*INDEX('DEFAULT DATA'!$LV$9:$MA$41,START!$B$3,4)*-44/12)+($J52*INDEX('DEFAULT DATA'!$LV$9:$MA$41,START!$B$3,5)*-44/12)+($K52*INDEX('DEFAULT DATA'!$LV$9:$MA$41,START!$B$3,6)*-44/12)</f>
        <v>1.5590450363686366</v>
      </c>
      <c r="AR52" s="552">
        <f>($I52*INDEX('DEFAULT DATA'!$LV$9:$MA$41,START!$B$3,1)*-44/12)+($I52*INDEX('DEFAULT DATA'!$LV$9:$MA$41,START!$B$3,2)*-44/12)+($I52*INDEX('DEFAULT DATA'!$LV$9:$MA$41,START!$B$3,3)*-44/12)+($I52*INDEX('DEFAULT DATA'!$LV$9:$MA$41,START!$B$3,4)*-44/12)+($J52*INDEX('DEFAULT DATA'!$LV$9:$MA$41,START!$B$3,5)*-44/12)+($K52*INDEX('DEFAULT DATA'!$LV$9:$MA$41,START!$B$3,6)*-44/12)</f>
        <v>1.5590450363686366</v>
      </c>
    </row>
    <row r="53" spans="1:44" ht="20.100000000000001" customHeight="1" thickBot="1">
      <c r="A53" s="501" t="s">
        <v>1013</v>
      </c>
      <c r="B53" s="65"/>
      <c r="C53" s="65"/>
      <c r="D53" s="503">
        <v>2</v>
      </c>
      <c r="E53" s="505">
        <v>1</v>
      </c>
      <c r="F53" s="504">
        <v>1</v>
      </c>
      <c r="G53" s="65">
        <v>1</v>
      </c>
      <c r="H53" s="44"/>
      <c r="I53" s="515">
        <f>D65</f>
        <v>2</v>
      </c>
      <c r="J53" s="516">
        <f t="shared" si="37"/>
        <v>1</v>
      </c>
      <c r="K53" s="516">
        <f t="shared" si="38"/>
        <v>1</v>
      </c>
      <c r="L53" s="385">
        <f t="shared" si="40"/>
        <v>115</v>
      </c>
      <c r="M53" s="536" t="s">
        <v>986</v>
      </c>
      <c r="N53" s="540">
        <f t="shared" si="39"/>
        <v>2022</v>
      </c>
      <c r="O53" s="553">
        <f>($I53*INDEX('DEFAULT DATA'!$DZ$9:$MG$41,START!$B$3,($L53))*-44/12)+($I53*INDEX('DEFAULT DATA'!$DZ$9:$MG$41,START!$B$3,($L53+1))*-44/12)+($I53*INDEX('DEFAULT DATA'!$DZ$9:$MG$41,START!$B$3,($L53+2))*-44/12)+($I53*INDEX('DEFAULT DATA'!$DZ$9:$MG$41,START!$B$3,($L53+3))*-44/12)+($J53*INDEX('DEFAULT DATA'!$DZ$9:$MG$41,START!$B$3,($L53+4))*-44/12)+($K53*INDEX('DEFAULT DATA'!$DZ$9:$MG$41,START!$B$3,($L53+5))*-44/12)</f>
        <v>0</v>
      </c>
      <c r="P53" s="553">
        <f>($I53*INDEX('DEFAULT DATA'!$DZ$9:$MG$41,START!$B$3,($L53))*-44/12)+($I53*INDEX('DEFAULT DATA'!$DZ$9:$MG$41,START!$B$3,($L53+1))*-44/12)+($I53*INDEX('DEFAULT DATA'!$DZ$9:$MG$41,START!$B$3,($L53+2))*-44/12)+($I53*INDEX('DEFAULT DATA'!$DZ$9:$MG$41,START!$B$3,($L53+3))*-44/12)+($J53*INDEX('DEFAULT DATA'!$DZ$9:$MG$41,START!$B$3,($L53+4))*-44/12)+($K53*INDEX('DEFAULT DATA'!$DZ$9:$MG$41,START!$B$3,($L53+5))*-44/12)</f>
        <v>0</v>
      </c>
      <c r="Q53" s="553">
        <f>($I53*INDEX('DEFAULT DATA'!$DZ$9:$MG$41,START!$B$3,($L53))*-44/12)+($I53*INDEX('DEFAULT DATA'!$DZ$9:$MG$41,START!$B$3,($L53+1))*-44/12)+($I53*INDEX('DEFAULT DATA'!$DZ$9:$MG$41,START!$B$3,($L53+2))*-44/12)+($I53*INDEX('DEFAULT DATA'!$DZ$9:$MG$41,START!$B$3,($L53+3))*-44/12)+($J53*INDEX('DEFAULT DATA'!$DZ$9:$MG$41,START!$B$3,($L53+4))*-44/12)+($K53*INDEX('DEFAULT DATA'!$DZ$9:$MG$41,START!$B$3,($L53+5))*-44/12)</f>
        <v>0</v>
      </c>
      <c r="R53" s="553">
        <f>($I53*INDEX('DEFAULT DATA'!$DZ$9:$MG$41,START!$B$3,($L53))*-44/12)+($I53*INDEX('DEFAULT DATA'!$DZ$9:$MG$41,START!$B$3,($L53+1))*-44/12)+($I53*INDEX('DEFAULT DATA'!$DZ$9:$MG$41,START!$B$3,($L53+2))*-44/12)+($I53*INDEX('DEFAULT DATA'!$DZ$9:$MG$41,START!$B$3,($L53+3))*-44/12)+($J53*INDEX('DEFAULT DATA'!$DZ$9:$MG$41,START!$B$3,($L53+4))*-44/12)+($K53*INDEX('DEFAULT DATA'!$DZ$9:$MG$41,START!$B$3,($L53+5))*-44/12)</f>
        <v>0</v>
      </c>
      <c r="S53" s="553">
        <f>($I53*INDEX('DEFAULT DATA'!$DZ$9:$MG$41,START!$B$3,($L53))*-44/12)+($I53*INDEX('DEFAULT DATA'!$DZ$9:$MG$41,START!$B$3,($L53+1))*-44/12)+($I53*INDEX('DEFAULT DATA'!$DZ$9:$MG$41,START!$B$3,($L53+2))*-44/12)+($I53*INDEX('DEFAULT DATA'!$DZ$9:$MG$41,START!$B$3,($L53+3))*-44/12)+($J53*INDEX('DEFAULT DATA'!$DZ$9:$MG$41,START!$B$3,($L53+4))*-44/12)+($K53*INDEX('DEFAULT DATA'!$DZ$9:$MG$41,START!$B$3,($L53+5))*-44/12)</f>
        <v>0</v>
      </c>
      <c r="T53" s="553">
        <f>($I53*INDEX('DEFAULT DATA'!$DZ$9:$MG$41,START!$B$3,($L53))*-44/12)+($I53*INDEX('DEFAULT DATA'!$DZ$9:$MG$41,START!$B$3,($L53+1))*-44/12)+($I53*INDEX('DEFAULT DATA'!$DZ$9:$MG$41,START!$B$3,($L53+2))*-44/12)+($I53*INDEX('DEFAULT DATA'!$DZ$9:$MG$41,START!$B$3,($L53+3))*-44/12)+($J53*INDEX('DEFAULT DATA'!$DZ$9:$MG$41,START!$B$3,($L53+4))*-44/12)+($K53*INDEX('DEFAULT DATA'!$DZ$9:$MG$41,START!$B$3,($L53+5))*-44/12)</f>
        <v>0</v>
      </c>
      <c r="U53" s="553">
        <f>($I53*INDEX('DEFAULT DATA'!$DZ$9:$MG$41,START!$B$3,($L53))*-44/12)+($I53*INDEX('DEFAULT DATA'!$DZ$9:$MG$41,START!$B$3,($L53+1))*-44/12)+($I53*INDEX('DEFAULT DATA'!$DZ$9:$MG$41,START!$B$3,($L53+2))*-44/12)+($I53*INDEX('DEFAULT DATA'!$DZ$9:$MG$41,START!$B$3,($L53+3))*-44/12)+($J53*INDEX('DEFAULT DATA'!$DZ$9:$MG$41,START!$B$3,($L53+4))*-44/12)+($K53*INDEX('DEFAULT DATA'!$DZ$9:$MG$41,START!$B$3,($L53+5))*-44/12)</f>
        <v>0</v>
      </c>
      <c r="V53" s="553">
        <f>($I53*INDEX('DEFAULT DATA'!$DZ$9:$MG$41,START!$B$3,($L53))*-44/12)+($I53*INDEX('DEFAULT DATA'!$DZ$9:$MG$41,START!$B$3,($L53+1))*-44/12)+($I53*INDEX('DEFAULT DATA'!$DZ$9:$MG$41,START!$B$3,($L53+2))*-44/12)+($I53*INDEX('DEFAULT DATA'!$DZ$9:$MG$41,START!$B$3,($L53+3))*-44/12)+($J53*INDEX('DEFAULT DATA'!$DZ$9:$MG$41,START!$B$3,($L53+4))*-44/12)+($K53*INDEX('DEFAULT DATA'!$DZ$9:$MG$41,START!$B$3,($L53+5))*-44/12)</f>
        <v>0</v>
      </c>
      <c r="W53" s="553">
        <f>($I53*INDEX('DEFAULT DATA'!$DZ$9:$MG$41,START!$B$3,($L53))*-44/12)+($I53*INDEX('DEFAULT DATA'!$DZ$9:$MG$41,START!$B$3,($L53+1))*-44/12)+($I53*INDEX('DEFAULT DATA'!$DZ$9:$MG$41,START!$B$3,($L53+2))*-44/12)+($I53*INDEX('DEFAULT DATA'!$DZ$9:$MG$41,START!$B$3,($L53+3))*-44/12)+($J53*INDEX('DEFAULT DATA'!$DZ$9:$MG$41,START!$B$3,($L53+4))*-44/12)+($K53*INDEX('DEFAULT DATA'!$DZ$9:$MG$41,START!$B$3,($L53+5))*-44/12)</f>
        <v>0</v>
      </c>
      <c r="X53" s="553">
        <f>($I53*INDEX('DEFAULT DATA'!$DZ$9:$MG$41,START!$B$3,($L53))*-44/12)+($I53*INDEX('DEFAULT DATA'!$DZ$9:$MG$41,START!$B$3,($L53+1))*-44/12)+($I53*INDEX('DEFAULT DATA'!$DZ$9:$MG$41,START!$B$3,($L53+2))*-44/12)+($I53*INDEX('DEFAULT DATA'!$DZ$9:$MG$41,START!$B$3,($L53+3))*-44/12)+($J53*INDEX('DEFAULT DATA'!$DZ$9:$MG$41,START!$B$3,($L53+4))*-44/12)+($K53*INDEX('DEFAULT DATA'!$DZ$9:$MG$41,START!$B$3,($L53+5))*-44/12)</f>
        <v>0</v>
      </c>
      <c r="Y53" s="553">
        <f>($I53*INDEX('DEFAULT DATA'!$DZ$9:$MG$41,START!$B$3,($L53))*-44/12)+($I53*INDEX('DEFAULT DATA'!$DZ$9:$MG$41,START!$B$3,($L53+1))*-44/12)+($I53*INDEX('DEFAULT DATA'!$DZ$9:$MG$41,START!$B$3,($L53+2))*-44/12)+($I53*INDEX('DEFAULT DATA'!$DZ$9:$MG$41,START!$B$3,($L53+3))*-44/12)+($J53*INDEX('DEFAULT DATA'!$DZ$9:$MG$41,START!$B$3,($L53+4))*-44/12)+($K53*INDEX('DEFAULT DATA'!$DZ$9:$MG$41,START!$B$3,($L53+5))*-44/12)</f>
        <v>0</v>
      </c>
      <c r="Z53" s="553">
        <f>($I53*INDEX('DEFAULT DATA'!$DZ$9:$MG$41,START!$B$3,($L53))*-44/12)+($I53*INDEX('DEFAULT DATA'!$DZ$9:$MG$41,START!$B$3,($L53+1))*-44/12)+($I53*INDEX('DEFAULT DATA'!$DZ$9:$MG$41,START!$B$3,($L53+2))*-44/12)+($I53*INDEX('DEFAULT DATA'!$DZ$9:$MG$41,START!$B$3,($L53+3))*-44/12)+($J53*INDEX('DEFAULT DATA'!$DZ$9:$MG$41,START!$B$3,($L53+4))*-44/12)+($K53*INDEX('DEFAULT DATA'!$DZ$9:$MG$41,START!$B$3,($L53+5))*-44/12)</f>
        <v>0</v>
      </c>
      <c r="AA53" s="553">
        <f>($I53*INDEX('DEFAULT DATA'!$DZ$9:$MG$41,START!$B$3,($L53))*-44/12)+($I53*INDEX('DEFAULT DATA'!$DZ$9:$MG$41,START!$B$3,($L53+1))*-44/12)+($I53*INDEX('DEFAULT DATA'!$DZ$9:$MG$41,START!$B$3,($L53+2))*-44/12)+($I53*INDEX('DEFAULT DATA'!$DZ$9:$MG$41,START!$B$3,($L53+3))*-44/12)+($J53*INDEX('DEFAULT DATA'!$DZ$9:$MG$41,START!$B$3,($L53+4))*-44/12)+($K53*INDEX('DEFAULT DATA'!$DZ$9:$MG$41,START!$B$3,($L53+5))*-44/12)</f>
        <v>0</v>
      </c>
      <c r="AB53" s="553">
        <f>($I53*INDEX('DEFAULT DATA'!$DZ$9:$MG$41,START!$B$3,($L53))*-44/12)+($I53*INDEX('DEFAULT DATA'!$DZ$9:$MG$41,START!$B$3,($L53+1))*-44/12)+($I53*INDEX('DEFAULT DATA'!$DZ$9:$MG$41,START!$B$3,($L53+2))*-44/12)+($I53*INDEX('DEFAULT DATA'!$DZ$9:$MG$41,START!$B$3,($L53+3))*-44/12)+($J53*INDEX('DEFAULT DATA'!$DZ$9:$MG$41,START!$B$3,($L53+4))*-44/12)+($K53*INDEX('DEFAULT DATA'!$DZ$9:$MG$41,START!$B$3,($L53+5))*-44/12)</f>
        <v>0</v>
      </c>
      <c r="AC53" s="553">
        <f>($I53*INDEX('DEFAULT DATA'!$DZ$9:$MG$41,START!$B$3,($L53))*-44/12)+($I53*INDEX('DEFAULT DATA'!$DZ$9:$MG$41,START!$B$3,($L53+1))*-44/12)+($I53*INDEX('DEFAULT DATA'!$DZ$9:$MG$41,START!$B$3,($L53+2))*-44/12)+($I53*INDEX('DEFAULT DATA'!$DZ$9:$MG$41,START!$B$3,($L53+3))*-44/12)+($J53*INDEX('DEFAULT DATA'!$DZ$9:$MG$41,START!$B$3,($L53+4))*-44/12)+($K53*INDEX('DEFAULT DATA'!$DZ$9:$MG$41,START!$B$3,($L53+5))*-44/12)</f>
        <v>0</v>
      </c>
      <c r="AD53" s="553">
        <f>($I53*INDEX('DEFAULT DATA'!$DZ$9:$MG$41,START!$B$3,($L53))*-44/12)+($I53*INDEX('DEFAULT DATA'!$DZ$9:$MG$41,START!$B$3,($L53+1))*-44/12)+($I53*INDEX('DEFAULT DATA'!$DZ$9:$MG$41,START!$B$3,($L53+2))*-44/12)+($I53*INDEX('DEFAULT DATA'!$DZ$9:$MG$41,START!$B$3,($L53+3))*-44/12)+($J53*INDEX('DEFAULT DATA'!$DZ$9:$MG$41,START!$B$3,($L53+4))*-44/12)+($K53*INDEX('DEFAULT DATA'!$DZ$9:$MG$41,START!$B$3,($L53+5))*-44/12)</f>
        <v>0</v>
      </c>
      <c r="AE53" s="553">
        <f>($I53*INDEX('DEFAULT DATA'!$DZ$9:$MG$41,START!$B$3,($L53))*-44/12)+($I53*INDEX('DEFAULT DATA'!$DZ$9:$MG$41,START!$B$3,($L53+1))*-44/12)+($I53*INDEX('DEFAULT DATA'!$DZ$9:$MG$41,START!$B$3,($L53+2))*-44/12)+($I53*INDEX('DEFAULT DATA'!$DZ$9:$MG$41,START!$B$3,($L53+3))*-44/12)+($J53*INDEX('DEFAULT DATA'!$DZ$9:$MG$41,START!$B$3,($L53+4))*-44/12)+($K53*INDEX('DEFAULT DATA'!$DZ$9:$MG$41,START!$B$3,($L53+5))*-44/12)</f>
        <v>0</v>
      </c>
      <c r="AF53" s="553">
        <f>($I53*INDEX('DEFAULT DATA'!$DZ$9:$MG$41,START!$B$3,($L53))*-44/12)+($I53*INDEX('DEFAULT DATA'!$DZ$9:$MG$41,START!$B$3,($L53+1))*-44/12)+($I53*INDEX('DEFAULT DATA'!$DZ$9:$MG$41,START!$B$3,($L53+2))*-44/12)+($I53*INDEX('DEFAULT DATA'!$DZ$9:$MG$41,START!$B$3,($L53+3))*-44/12)+($J53*INDEX('DEFAULT DATA'!$DZ$9:$MG$41,START!$B$3,($L53+4))*-44/12)+($K53*INDEX('DEFAULT DATA'!$DZ$9:$MG$41,START!$B$3,($L53+5))*-44/12)</f>
        <v>0</v>
      </c>
      <c r="AG53" s="553">
        <f>($I53*INDEX('DEFAULT DATA'!$DZ$9:$MG$41,START!$B$3,($L53))*-44/12)+($I53*INDEX('DEFAULT DATA'!$DZ$9:$MG$41,START!$B$3,($L53+1))*-44/12)+($I53*INDEX('DEFAULT DATA'!$DZ$9:$MG$41,START!$B$3,($L53+2))*-44/12)+($I53*INDEX('DEFAULT DATA'!$DZ$9:$MG$41,START!$B$3,($L53+3))*-44/12)+($J53*INDEX('DEFAULT DATA'!$DZ$9:$MG$41,START!$B$3,($L53+4))*-44/12)+($K53*INDEX('DEFAULT DATA'!$DZ$9:$MG$41,START!$B$3,($L53+5))*-44/12)</f>
        <v>0</v>
      </c>
      <c r="AH53" s="553">
        <f>($I53*INDEX('DEFAULT DATA'!$DZ$9:$MG$41,START!$B$3,($L53))*-44/12)+($I53*INDEX('DEFAULT DATA'!$DZ$9:$MG$41,START!$B$3,($L53+1))*-44/12)+($I53*INDEX('DEFAULT DATA'!$DZ$9:$MG$41,START!$B$3,($L53+2))*-44/12)+($I53*INDEX('DEFAULT DATA'!$DZ$9:$MG$41,START!$B$3,($L53+3))*-44/12)+($J53*INDEX('DEFAULT DATA'!$DZ$9:$MG$41,START!$B$3,($L53+4))*-44/12)+($K53*INDEX('DEFAULT DATA'!$DZ$9:$MG$41,START!$B$3,($L53+5))*-44/12)</f>
        <v>0</v>
      </c>
      <c r="AI53" s="553">
        <f>($I53*INDEX('DEFAULT DATA'!$LV$9:$MA$41,START!$B$3,1)*-44/12)+($I53*INDEX('DEFAULT DATA'!$LV$9:$MA$41,START!$B$3,2)*-44/12)+($I53*INDEX('DEFAULT DATA'!$LV$9:$MA$41,START!$B$3,3)*-44/12)+($I53*INDEX('DEFAULT DATA'!$LV$9:$MA$41,START!$B$3,4)*-44/12)+($J53*INDEX('DEFAULT DATA'!$LV$9:$MA$41,START!$B$3,5)*-44/12)+($K53*INDEX('DEFAULT DATA'!$LV$9:$MA$41,START!$B$3,6)*-44/12)</f>
        <v>1.5590450363686366</v>
      </c>
      <c r="AJ53" s="553">
        <f>($I53*INDEX('DEFAULT DATA'!$LV$9:$MA$41,START!$B$3,1)*-44/12)+($I53*INDEX('DEFAULT DATA'!$LV$9:$MA$41,START!$B$3,2)*-44/12)+($I53*INDEX('DEFAULT DATA'!$LV$9:$MA$41,START!$B$3,3)*-44/12)+($I53*INDEX('DEFAULT DATA'!$LV$9:$MA$41,START!$B$3,4)*-44/12)+($J53*INDEX('DEFAULT DATA'!$LV$9:$MA$41,START!$B$3,5)*-44/12)+($K53*INDEX('DEFAULT DATA'!$LV$9:$MA$41,START!$B$3,6)*-44/12)</f>
        <v>1.5590450363686366</v>
      </c>
      <c r="AK53" s="553">
        <f>($I53*INDEX('DEFAULT DATA'!$LV$9:$MA$41,START!$B$3,1)*-44/12)+($I53*INDEX('DEFAULT DATA'!$LV$9:$MA$41,START!$B$3,2)*-44/12)+($I53*INDEX('DEFAULT DATA'!$LV$9:$MA$41,START!$B$3,3)*-44/12)+($I53*INDEX('DEFAULT DATA'!$LV$9:$MA$41,START!$B$3,4)*-44/12)+($J53*INDEX('DEFAULT DATA'!$LV$9:$MA$41,START!$B$3,5)*-44/12)+($K53*INDEX('DEFAULT DATA'!$LV$9:$MA$41,START!$B$3,6)*-44/12)</f>
        <v>1.5590450363686366</v>
      </c>
      <c r="AL53" s="553">
        <f>($I53*INDEX('DEFAULT DATA'!$LV$9:$MA$41,START!$B$3,1)*-44/12)+($I53*INDEX('DEFAULT DATA'!$LV$9:$MA$41,START!$B$3,2)*-44/12)+($I53*INDEX('DEFAULT DATA'!$LV$9:$MA$41,START!$B$3,3)*-44/12)+($I53*INDEX('DEFAULT DATA'!$LV$9:$MA$41,START!$B$3,4)*-44/12)+($J53*INDEX('DEFAULT DATA'!$LV$9:$MA$41,START!$B$3,5)*-44/12)+($K53*INDEX('DEFAULT DATA'!$LV$9:$MA$41,START!$B$3,6)*-44/12)</f>
        <v>1.5590450363686366</v>
      </c>
      <c r="AM53" s="553">
        <f>($I53*INDEX('DEFAULT DATA'!$LV$9:$MA$41,START!$B$3,1)*-44/12)+($I53*INDEX('DEFAULT DATA'!$LV$9:$MA$41,START!$B$3,2)*-44/12)+($I53*INDEX('DEFAULT DATA'!$LV$9:$MA$41,START!$B$3,3)*-44/12)+($I53*INDEX('DEFAULT DATA'!$LV$9:$MA$41,START!$B$3,4)*-44/12)+($J53*INDEX('DEFAULT DATA'!$LV$9:$MA$41,START!$B$3,5)*-44/12)+($K53*INDEX('DEFAULT DATA'!$LV$9:$MA$41,START!$B$3,6)*-44/12)</f>
        <v>1.5590450363686366</v>
      </c>
      <c r="AN53" s="553">
        <f>($I53*INDEX('DEFAULT DATA'!$LV$9:$MA$41,START!$B$3,1)*-44/12)+($I53*INDEX('DEFAULT DATA'!$LV$9:$MA$41,START!$B$3,2)*-44/12)+($I53*INDEX('DEFAULT DATA'!$LV$9:$MA$41,START!$B$3,3)*-44/12)+($I53*INDEX('DEFAULT DATA'!$LV$9:$MA$41,START!$B$3,4)*-44/12)+($J53*INDEX('DEFAULT DATA'!$LV$9:$MA$41,START!$B$3,5)*-44/12)+($K53*INDEX('DEFAULT DATA'!$LV$9:$MA$41,START!$B$3,6)*-44/12)</f>
        <v>1.5590450363686366</v>
      </c>
      <c r="AO53" s="553">
        <f>($I53*INDEX('DEFAULT DATA'!$LV$9:$MA$41,START!$B$3,1)*-44/12)+($I53*INDEX('DEFAULT DATA'!$LV$9:$MA$41,START!$B$3,2)*-44/12)+($I53*INDEX('DEFAULT DATA'!$LV$9:$MA$41,START!$B$3,3)*-44/12)+($I53*INDEX('DEFAULT DATA'!$LV$9:$MA$41,START!$B$3,4)*-44/12)+($J53*INDEX('DEFAULT DATA'!$LV$9:$MA$41,START!$B$3,5)*-44/12)+($K53*INDEX('DEFAULT DATA'!$LV$9:$MA$41,START!$B$3,6)*-44/12)</f>
        <v>1.5590450363686366</v>
      </c>
      <c r="AP53" s="553">
        <f>($I53*INDEX('DEFAULT DATA'!$LV$9:$MA$41,START!$B$3,1)*-44/12)+($I53*INDEX('DEFAULT DATA'!$LV$9:$MA$41,START!$B$3,2)*-44/12)+($I53*INDEX('DEFAULT DATA'!$LV$9:$MA$41,START!$B$3,3)*-44/12)+($I53*INDEX('DEFAULT DATA'!$LV$9:$MA$41,START!$B$3,4)*-44/12)+($J53*INDEX('DEFAULT DATA'!$LV$9:$MA$41,START!$B$3,5)*-44/12)+($K53*INDEX('DEFAULT DATA'!$LV$9:$MA$41,START!$B$3,6)*-44/12)</f>
        <v>1.5590450363686366</v>
      </c>
      <c r="AQ53" s="553">
        <f>($I53*INDEX('DEFAULT DATA'!$LV$9:$MA$41,START!$B$3,1)*-44/12)+($I53*INDEX('DEFAULT DATA'!$LV$9:$MA$41,START!$B$3,2)*-44/12)+($I53*INDEX('DEFAULT DATA'!$LV$9:$MA$41,START!$B$3,3)*-44/12)+($I53*INDEX('DEFAULT DATA'!$LV$9:$MA$41,START!$B$3,4)*-44/12)+($J53*INDEX('DEFAULT DATA'!$LV$9:$MA$41,START!$B$3,5)*-44/12)+($K53*INDEX('DEFAULT DATA'!$LV$9:$MA$41,START!$B$3,6)*-44/12)</f>
        <v>1.5590450363686366</v>
      </c>
      <c r="AR53" s="554">
        <f>($I53*INDEX('DEFAULT DATA'!$LV$9:$MA$41,START!$B$3,1)*-44/12)+($I53*INDEX('DEFAULT DATA'!$LV$9:$MA$41,START!$B$3,2)*-44/12)+($I53*INDEX('DEFAULT DATA'!$LV$9:$MA$41,START!$B$3,3)*-44/12)+($I53*INDEX('DEFAULT DATA'!$LV$9:$MA$41,START!$B$3,4)*-44/12)+($J53*INDEX('DEFAULT DATA'!$LV$9:$MA$41,START!$B$3,5)*-44/12)+($K53*INDEX('DEFAULT DATA'!$LV$9:$MA$41,START!$B$3,6)*-44/12)</f>
        <v>1.5590450363686366</v>
      </c>
    </row>
    <row r="54" spans="1:44" ht="20.100000000000001" customHeight="1">
      <c r="A54" s="501" t="s">
        <v>1014</v>
      </c>
      <c r="B54" s="65"/>
      <c r="C54" s="65"/>
      <c r="D54" s="503">
        <v>2</v>
      </c>
      <c r="E54" s="505">
        <v>1</v>
      </c>
      <c r="F54" s="504">
        <v>1</v>
      </c>
      <c r="G54" s="65">
        <v>1</v>
      </c>
      <c r="H54" s="44"/>
      <c r="I54" s="382">
        <f t="shared" si="36"/>
        <v>2</v>
      </c>
      <c r="J54" s="555">
        <f t="shared" si="37"/>
        <v>1</v>
      </c>
      <c r="K54" s="555">
        <f t="shared" si="38"/>
        <v>1</v>
      </c>
      <c r="L54" s="383">
        <f t="shared" si="40"/>
        <v>121</v>
      </c>
      <c r="M54" s="537" t="s">
        <v>946</v>
      </c>
      <c r="N54" s="538">
        <f t="shared" si="39"/>
        <v>2022</v>
      </c>
      <c r="O54" s="550">
        <f>($I54*INDEX('DEFAULT DATA'!$DZ$9:$MG$41,START!$B$3,($L54))*-44/12)+($I54*INDEX('DEFAULT DATA'!$DZ$9:$MG$41,START!$B$3,($L54+1))*-44/12)+($I54*INDEX('DEFAULT DATA'!$DZ$9:$MG$41,START!$B$3,($L54+2))*-44/12)+($I54*INDEX('DEFAULT DATA'!$DZ$9:$MG$41,START!$B$3,($L54+3))*-44/12)+($J54*INDEX('DEFAULT DATA'!$DZ$9:$MG$41,START!$B$3,($L54+4))*-44/12)+($K54*INDEX('DEFAULT DATA'!$DZ$9:$MG$41,START!$B$3,($L54+5))*-44/12)</f>
        <v>741.9215968845466</v>
      </c>
      <c r="P54" s="550">
        <f>($J54*INDEX('DEFAULT DATA'!$DZ$9:$MG$41,START!$B$3,($L54+4))*-44/12)+($K54*INDEX('DEFAULT DATA'!$DZ$9:$MG$41,START!$B$3,($L54+5))*-44/12)</f>
        <v>6.0949302178800195</v>
      </c>
      <c r="Q54" s="550">
        <f>($J54*INDEX('DEFAULT DATA'!$DZ$9:$MG$41,START!$B$3,($L54+4))*-44/12)+($K54*INDEX('DEFAULT DATA'!$DZ$9:$MG$41,START!$B$3,($L54+5))*-44/12)</f>
        <v>6.0949302178800195</v>
      </c>
      <c r="R54" s="550">
        <f>($J54*INDEX('DEFAULT DATA'!$DZ$9:$MG$41,START!$B$3,($L54+4))*-44/12)+($K54*INDEX('DEFAULT DATA'!$DZ$9:$MG$41,START!$B$3,($L54+5))*-44/12)</f>
        <v>6.0949302178800195</v>
      </c>
      <c r="S54" s="550">
        <f>($J54*INDEX('DEFAULT DATA'!$DZ$9:$MG$41,START!$B$3,($L54+4))*-44/12)+($K54*INDEX('DEFAULT DATA'!$DZ$9:$MG$41,START!$B$3,($L54+5))*-44/12)</f>
        <v>6.0949302178800195</v>
      </c>
      <c r="T54" s="550">
        <f>($J54*INDEX('DEFAULT DATA'!$DZ$9:$MG$41,START!$B$3,($L54+4))*-44/12)+($K54*INDEX('DEFAULT DATA'!$DZ$9:$MG$41,START!$B$3,($L54+5))*-44/12)</f>
        <v>6.0949302178800195</v>
      </c>
      <c r="U54" s="550">
        <f>($J54*INDEX('DEFAULT DATA'!$DZ$9:$MG$41,START!$B$3,($L54+4))*-44/12)+($K54*INDEX('DEFAULT DATA'!$DZ$9:$MG$41,START!$B$3,($L54+5))*-44/12)</f>
        <v>6.0949302178800195</v>
      </c>
      <c r="V54" s="550">
        <f>($J54*INDEX('DEFAULT DATA'!$DZ$9:$MG$41,START!$B$3,($L54+4))*-44/12)+($K54*INDEX('DEFAULT DATA'!$DZ$9:$MG$41,START!$B$3,($L54+5))*-44/12)</f>
        <v>6.0949302178800195</v>
      </c>
      <c r="W54" s="550">
        <f>($J54*INDEX('DEFAULT DATA'!$DZ$9:$MG$41,START!$B$3,($L54+4))*-44/12)+($K54*INDEX('DEFAULT DATA'!$DZ$9:$MG$41,START!$B$3,($L54+5))*-44/12)</f>
        <v>6.0949302178800195</v>
      </c>
      <c r="X54" s="550">
        <f>($J54*INDEX('DEFAULT DATA'!$DZ$9:$MG$41,START!$B$3,($L54+4))*-44/12)+($K54*INDEX('DEFAULT DATA'!$DZ$9:$MG$41,START!$B$3,($L54+5))*-44/12)</f>
        <v>6.0949302178800195</v>
      </c>
      <c r="Y54" s="550">
        <f>($J54*INDEX('DEFAULT DATA'!$DZ$9:$MG$41,START!$B$3,($L54+4))*-44/12)+($K54*INDEX('DEFAULT DATA'!$DZ$9:$MG$41,START!$B$3,($L54+5))*-44/12)</f>
        <v>6.0949302178800195</v>
      </c>
      <c r="Z54" s="550">
        <f>($J54*INDEX('DEFAULT DATA'!$DZ$9:$MG$41,START!$B$3,($L54+4))*-44/12)+($K54*INDEX('DEFAULT DATA'!$DZ$9:$MG$41,START!$B$3,($L54+5))*-44/12)</f>
        <v>6.0949302178800195</v>
      </c>
      <c r="AA54" s="550">
        <f>($J54*INDEX('DEFAULT DATA'!$DZ$9:$MG$41,START!$B$3,($L54+4))*-44/12)+($K54*INDEX('DEFAULT DATA'!$DZ$9:$MG$41,START!$B$3,($L54+5))*-44/12)</f>
        <v>6.0949302178800195</v>
      </c>
      <c r="AB54" s="550">
        <f>($J54*INDEX('DEFAULT DATA'!$DZ$9:$MG$41,START!$B$3,($L54+4))*-44/12)+($K54*INDEX('DEFAULT DATA'!$DZ$9:$MG$41,START!$B$3,($L54+5))*-44/12)</f>
        <v>6.0949302178800195</v>
      </c>
      <c r="AC54" s="550">
        <f>($J54*INDEX('DEFAULT DATA'!$DZ$9:$MG$41,START!$B$3,($L54+4))*-44/12)+($K54*INDEX('DEFAULT DATA'!$DZ$9:$MG$41,START!$B$3,($L54+5))*-44/12)</f>
        <v>6.0949302178800195</v>
      </c>
      <c r="AD54" s="550">
        <f>($J54*INDEX('DEFAULT DATA'!$DZ$9:$MG$41,START!$B$3,($L54+4))*-44/12)+($K54*INDEX('DEFAULT DATA'!$DZ$9:$MG$41,START!$B$3,($L54+5))*-44/12)</f>
        <v>6.0949302178800195</v>
      </c>
      <c r="AE54" s="550">
        <f>($J54*INDEX('DEFAULT DATA'!$DZ$9:$MG$41,START!$B$3,($L54+4))*-44/12)+($K54*INDEX('DEFAULT DATA'!$DZ$9:$MG$41,START!$B$3,($L54+5))*-44/12)</f>
        <v>6.0949302178800195</v>
      </c>
      <c r="AF54" s="550">
        <f>($J54*INDEX('DEFAULT DATA'!$DZ$9:$MG$41,START!$B$3,($L54+4))*-44/12)+($K54*INDEX('DEFAULT DATA'!$DZ$9:$MG$41,START!$B$3,($L54+5))*-44/12)</f>
        <v>6.0949302178800195</v>
      </c>
      <c r="AG54" s="550">
        <f>($J54*INDEX('DEFAULT DATA'!$DZ$9:$MG$41,START!$B$3,($L54+4))*-44/12)+($K54*INDEX('DEFAULT DATA'!$DZ$9:$MG$41,START!$B$3,($L54+5))*-44/12)</f>
        <v>6.0949302178800195</v>
      </c>
      <c r="AH54" s="550">
        <f>($J54*INDEX('DEFAULT DATA'!$DZ$9:$MG$41,START!$B$3,($L54+4))*-44/12)+($K54*INDEX('DEFAULT DATA'!$DZ$9:$MG$41,START!$B$3,($L54+5))*-44/12)</f>
        <v>6.0949302178800195</v>
      </c>
      <c r="AI54" s="550">
        <f>(($I54*INDEX('DEFAULT DATA'!$MB$9:$MG$41,START!$B$3,1)*-44/12)+($I54*INDEX('DEFAULT DATA'!$MB$9:$MG$41,START!$B$3,2)*-44/12)+($I54*INDEX('DEFAULT DATA'!$MB$9:$MG$41,START!$B$3,3)*-44/12)+($I54*INDEX('DEFAULT DATA'!$MB$9:$MG$41,START!$B$3,4)*-44/12)+($J54*INDEX('DEFAULT DATA'!$MB$9:$MG$41,START!$B$3,5)*-44/12)+($K54*INDEX('DEFAULT DATA'!$MB$9:$MG$41,START!$B$3,6)*-44/12))</f>
        <v>0</v>
      </c>
      <c r="AJ54" s="550">
        <f>(($I54*INDEX('DEFAULT DATA'!$MB$9:$MG$41,START!$B$3,1)*-44/12)+($I54*INDEX('DEFAULT DATA'!$MB$9:$MG$41,START!$B$3,2)*-44/12)+($I54*INDEX('DEFAULT DATA'!$MB$9:$MG$41,START!$B$3,3)*-44/12)+($I54*INDEX('DEFAULT DATA'!$MB$9:$MG$41,START!$B$3,4)*-44/12)+($J54*INDEX('DEFAULT DATA'!$MB$9:$MG$41,START!$B$3,5)*-44/12)+($K54*INDEX('DEFAULT DATA'!$MB$9:$MG$41,START!$B$3,6)*-44/12))</f>
        <v>0</v>
      </c>
      <c r="AK54" s="550">
        <f>(($I54*INDEX('DEFAULT DATA'!$MB$9:$MG$41,START!$B$3,1)*-44/12)+($I54*INDEX('DEFAULT DATA'!$MB$9:$MG$41,START!$B$3,2)*-44/12)+($I54*INDEX('DEFAULT DATA'!$MB$9:$MG$41,START!$B$3,3)*-44/12)+($I54*INDEX('DEFAULT DATA'!$MB$9:$MG$41,START!$B$3,4)*-44/12)+($J54*INDEX('DEFAULT DATA'!$MB$9:$MG$41,START!$B$3,5)*-44/12)+($K54*INDEX('DEFAULT DATA'!$MB$9:$MG$41,START!$B$3,6)*-44/12))</f>
        <v>0</v>
      </c>
      <c r="AL54" s="550">
        <f>(($I54*INDEX('DEFAULT DATA'!$MB$9:$MG$41,START!$B$3,1)*-44/12)+($I54*INDEX('DEFAULT DATA'!$MB$9:$MG$41,START!$B$3,2)*-44/12)+($I54*INDEX('DEFAULT DATA'!$MB$9:$MG$41,START!$B$3,3)*-44/12)+($I54*INDEX('DEFAULT DATA'!$MB$9:$MG$41,START!$B$3,4)*-44/12)+($J54*INDEX('DEFAULT DATA'!$MB$9:$MG$41,START!$B$3,5)*-44/12)+($K54*INDEX('DEFAULT DATA'!$MB$9:$MG$41,START!$B$3,6)*-44/12))</f>
        <v>0</v>
      </c>
      <c r="AM54" s="550">
        <f>(($I54*INDEX('DEFAULT DATA'!$MB$9:$MG$41,START!$B$3,1)*-44/12)+($I54*INDEX('DEFAULT DATA'!$MB$9:$MG$41,START!$B$3,2)*-44/12)+($I54*INDEX('DEFAULT DATA'!$MB$9:$MG$41,START!$B$3,3)*-44/12)+($I54*INDEX('DEFAULT DATA'!$MB$9:$MG$41,START!$B$3,4)*-44/12)+($J54*INDEX('DEFAULT DATA'!$MB$9:$MG$41,START!$B$3,5)*-44/12)+($K54*INDEX('DEFAULT DATA'!$MB$9:$MG$41,START!$B$3,6)*-44/12))</f>
        <v>0</v>
      </c>
      <c r="AN54" s="550">
        <f>(($I54*INDEX('DEFAULT DATA'!$MB$9:$MG$41,START!$B$3,1)*-44/12)+($I54*INDEX('DEFAULT DATA'!$MB$9:$MG$41,START!$B$3,2)*-44/12)+($I54*INDEX('DEFAULT DATA'!$MB$9:$MG$41,START!$B$3,3)*-44/12)+($I54*INDEX('DEFAULT DATA'!$MB$9:$MG$41,START!$B$3,4)*-44/12)+($J54*INDEX('DEFAULT DATA'!$MB$9:$MG$41,START!$B$3,5)*-44/12)+($K54*INDEX('DEFAULT DATA'!$MB$9:$MG$41,START!$B$3,6)*-44/12))</f>
        <v>0</v>
      </c>
      <c r="AO54" s="550">
        <f>(($I54*INDEX('DEFAULT DATA'!$MB$9:$MG$41,START!$B$3,1)*-44/12)+($I54*INDEX('DEFAULT DATA'!$MB$9:$MG$41,START!$B$3,2)*-44/12)+($I54*INDEX('DEFAULT DATA'!$MB$9:$MG$41,START!$B$3,3)*-44/12)+($I54*INDEX('DEFAULT DATA'!$MB$9:$MG$41,START!$B$3,4)*-44/12)+($J54*INDEX('DEFAULT DATA'!$MB$9:$MG$41,START!$B$3,5)*-44/12)+($K54*INDEX('DEFAULT DATA'!$MB$9:$MG$41,START!$B$3,6)*-44/12))</f>
        <v>0</v>
      </c>
      <c r="AP54" s="550">
        <f>(($I54*INDEX('DEFAULT DATA'!$MB$9:$MG$41,START!$B$3,1)*-44/12)+($I54*INDEX('DEFAULT DATA'!$MB$9:$MG$41,START!$B$3,2)*-44/12)+($I54*INDEX('DEFAULT DATA'!$MB$9:$MG$41,START!$B$3,3)*-44/12)+($I54*INDEX('DEFAULT DATA'!$MB$9:$MG$41,START!$B$3,4)*-44/12)+($J54*INDEX('DEFAULT DATA'!$MB$9:$MG$41,START!$B$3,5)*-44/12)+($K54*INDEX('DEFAULT DATA'!$MB$9:$MG$41,START!$B$3,6)*-44/12))</f>
        <v>0</v>
      </c>
      <c r="AQ54" s="550">
        <f>(($I54*INDEX('DEFAULT DATA'!$MB$9:$MG$41,START!$B$3,1)*-44/12)+($I54*INDEX('DEFAULT DATA'!$MB$9:$MG$41,START!$B$3,2)*-44/12)+($I54*INDEX('DEFAULT DATA'!$MB$9:$MG$41,START!$B$3,3)*-44/12)+($I54*INDEX('DEFAULT DATA'!$MB$9:$MG$41,START!$B$3,4)*-44/12)+($J54*INDEX('DEFAULT DATA'!$MB$9:$MG$41,START!$B$3,5)*-44/12)+($K54*INDEX('DEFAULT DATA'!$MB$9:$MG$41,START!$B$3,6)*-44/12))</f>
        <v>0</v>
      </c>
      <c r="AR54" s="551">
        <f>(($I54*INDEX('DEFAULT DATA'!$MB$9:$MG$41,START!$B$3,1)*-44/12)+($I54*INDEX('DEFAULT DATA'!$MB$9:$MG$41,START!$B$3,2)*-44/12)+($I54*INDEX('DEFAULT DATA'!$MB$9:$MG$41,START!$B$3,3)*-44/12)+($I54*INDEX('DEFAULT DATA'!$MB$9:$MG$41,START!$B$3,4)*-44/12)+($J54*INDEX('DEFAULT DATA'!$MB$9:$MG$41,START!$B$3,5)*-44/12)+($K54*INDEX('DEFAULT DATA'!$MB$9:$MG$41,START!$B$3,6)*-44/12))</f>
        <v>0</v>
      </c>
    </row>
    <row r="55" spans="1:44" ht="20.100000000000001" customHeight="1" thickBot="1">
      <c r="A55" s="509" t="s">
        <v>1015</v>
      </c>
      <c r="B55" s="75"/>
      <c r="C55" s="75"/>
      <c r="D55" s="510">
        <v>0</v>
      </c>
      <c r="E55" s="517">
        <v>0</v>
      </c>
      <c r="F55" s="523">
        <v>0</v>
      </c>
      <c r="G55" s="75">
        <v>1</v>
      </c>
      <c r="H55" s="76"/>
      <c r="I55" s="514">
        <f t="shared" si="36"/>
        <v>2</v>
      </c>
      <c r="J55" s="511">
        <f t="shared" si="37"/>
        <v>1</v>
      </c>
      <c r="K55" s="511">
        <f t="shared" si="38"/>
        <v>1</v>
      </c>
      <c r="L55" s="384">
        <f>L54+6</f>
        <v>127</v>
      </c>
      <c r="M55" s="535" t="s">
        <v>947</v>
      </c>
      <c r="N55" s="539">
        <f t="shared" si="39"/>
        <v>2022</v>
      </c>
      <c r="O55" s="221">
        <f>($I55*INDEX('DEFAULT DATA'!$DZ$9:$MG$41,START!$B$3,($L55))*-44/12)+($I55*INDEX('DEFAULT DATA'!$DZ$9:$MG$41,START!$B$3,($L55+1))*-44/12)+($I55*INDEX('DEFAULT DATA'!$DZ$9:$MG$41,START!$B$3,($L55+2))*-44/12)+($I55*INDEX('DEFAULT DATA'!$DZ$9:$MG$41,START!$B$3,($L55+3))*-44/12)+($J55*INDEX('DEFAULT DATA'!$DZ$9:$MG$41,START!$B$3,($L55+4))*-44/12)+($K55*INDEX('DEFAULT DATA'!$DZ$9:$MG$41,START!$B$3,($L55+5))*-44/12)</f>
        <v>3.7240199912014367</v>
      </c>
      <c r="P55" s="221">
        <f>($I55*INDEX('DEFAULT DATA'!$DZ$9:$MG$41,START!$B$3,($L55))*-44/12)+($I55*INDEX('DEFAULT DATA'!$DZ$9:$MG$41,START!$B$3,($L55+1))*-44/12)+($I55*INDEX('DEFAULT DATA'!$DZ$9:$MG$41,START!$B$3,($L55+2))*-44/12)+($I55*INDEX('DEFAULT DATA'!$DZ$9:$MG$41,START!$B$3,($L55+3))*-44/12)+($J55*INDEX('DEFAULT DATA'!$DZ$9:$MG$41,START!$B$3,($L55+4))*-44/12)+($K55*INDEX('DEFAULT DATA'!$DZ$9:$MG$41,START!$B$3,($L55+5))*-44/12)</f>
        <v>3.7240199912014367</v>
      </c>
      <c r="Q55" s="221">
        <f>($I55*INDEX('DEFAULT DATA'!$DZ$9:$MG$41,START!$B$3,($L55))*-44/12)+($I55*INDEX('DEFAULT DATA'!$DZ$9:$MG$41,START!$B$3,($L55+1))*-44/12)+($I55*INDEX('DEFAULT DATA'!$DZ$9:$MG$41,START!$B$3,($L55+2))*-44/12)+($I55*INDEX('DEFAULT DATA'!$DZ$9:$MG$41,START!$B$3,($L55+3))*-44/12)+($J55*INDEX('DEFAULT DATA'!$DZ$9:$MG$41,START!$B$3,($L55+4))*-44/12)+($K55*INDEX('DEFAULT DATA'!$DZ$9:$MG$41,START!$B$3,($L55+5))*-44/12)</f>
        <v>3.7240199912014367</v>
      </c>
      <c r="R55" s="221">
        <f>($I55*INDEX('DEFAULT DATA'!$DZ$9:$MG$41,START!$B$3,($L55))*-44/12)+($I55*INDEX('DEFAULT DATA'!$DZ$9:$MG$41,START!$B$3,($L55+1))*-44/12)+($I55*INDEX('DEFAULT DATA'!$DZ$9:$MG$41,START!$B$3,($L55+2))*-44/12)+($I55*INDEX('DEFAULT DATA'!$DZ$9:$MG$41,START!$B$3,($L55+3))*-44/12)+($J55*INDEX('DEFAULT DATA'!$DZ$9:$MG$41,START!$B$3,($L55+4))*-44/12)+($K55*INDEX('DEFAULT DATA'!$DZ$9:$MG$41,START!$B$3,($L55+5))*-44/12)</f>
        <v>3.7240199912014367</v>
      </c>
      <c r="S55" s="221">
        <f>($I55*INDEX('DEFAULT DATA'!$DZ$9:$MG$41,START!$B$3,($L55))*-44/12)+($I55*INDEX('DEFAULT DATA'!$DZ$9:$MG$41,START!$B$3,($L55+1))*-44/12)+($I55*INDEX('DEFAULT DATA'!$DZ$9:$MG$41,START!$B$3,($L55+2))*-44/12)+($I55*INDEX('DEFAULT DATA'!$DZ$9:$MG$41,START!$B$3,($L55+3))*-44/12)+($J55*INDEX('DEFAULT DATA'!$DZ$9:$MG$41,START!$B$3,($L55+4))*-44/12)+($K55*INDEX('DEFAULT DATA'!$DZ$9:$MG$41,START!$B$3,($L55+5))*-44/12)</f>
        <v>3.7240199912014367</v>
      </c>
      <c r="T55" s="221">
        <f>($I55*INDEX('DEFAULT DATA'!$DZ$9:$MG$41,START!$B$3,($L55))*-44/12)+($I55*INDEX('DEFAULT DATA'!$DZ$9:$MG$41,START!$B$3,($L55+1))*-44/12)+($I55*INDEX('DEFAULT DATA'!$DZ$9:$MG$41,START!$B$3,($L55+2))*-44/12)+($I55*INDEX('DEFAULT DATA'!$DZ$9:$MG$41,START!$B$3,($L55+3))*-44/12)+($J55*INDEX('DEFAULT DATA'!$DZ$9:$MG$41,START!$B$3,($L55+4))*-44/12)+($K55*INDEX('DEFAULT DATA'!$DZ$9:$MG$41,START!$B$3,($L55+5))*-44/12)</f>
        <v>3.7240199912014367</v>
      </c>
      <c r="U55" s="221">
        <f>($I55*INDEX('DEFAULT DATA'!$DZ$9:$MG$41,START!$B$3,($L55))*-44/12)+($I55*INDEX('DEFAULT DATA'!$DZ$9:$MG$41,START!$B$3,($L55+1))*-44/12)+($I55*INDEX('DEFAULT DATA'!$DZ$9:$MG$41,START!$B$3,($L55+2))*-44/12)+($I55*INDEX('DEFAULT DATA'!$DZ$9:$MG$41,START!$B$3,($L55+3))*-44/12)+($J55*INDEX('DEFAULT DATA'!$DZ$9:$MG$41,START!$B$3,($L55+4))*-44/12)+($K55*INDEX('DEFAULT DATA'!$DZ$9:$MG$41,START!$B$3,($L55+5))*-44/12)</f>
        <v>3.7240199912014367</v>
      </c>
      <c r="V55" s="221">
        <f>($I55*INDEX('DEFAULT DATA'!$DZ$9:$MG$41,START!$B$3,($L55))*-44/12)+($I55*INDEX('DEFAULT DATA'!$DZ$9:$MG$41,START!$B$3,($L55+1))*-44/12)+($I55*INDEX('DEFAULT DATA'!$DZ$9:$MG$41,START!$B$3,($L55+2))*-44/12)+($I55*INDEX('DEFAULT DATA'!$DZ$9:$MG$41,START!$B$3,($L55+3))*-44/12)+($J55*INDEX('DEFAULT DATA'!$DZ$9:$MG$41,START!$B$3,($L55+4))*-44/12)+($K55*INDEX('DEFAULT DATA'!$DZ$9:$MG$41,START!$B$3,($L55+5))*-44/12)</f>
        <v>3.7240199912014367</v>
      </c>
      <c r="W55" s="221">
        <f>($I55*INDEX('DEFAULT DATA'!$DZ$9:$MG$41,START!$B$3,($L55))*-44/12)+($I55*INDEX('DEFAULT DATA'!$DZ$9:$MG$41,START!$B$3,($L55+1))*-44/12)+($I55*INDEX('DEFAULT DATA'!$DZ$9:$MG$41,START!$B$3,($L55+2))*-44/12)+($I55*INDEX('DEFAULT DATA'!$DZ$9:$MG$41,START!$B$3,($L55+3))*-44/12)+($J55*INDEX('DEFAULT DATA'!$DZ$9:$MG$41,START!$B$3,($L55+4))*-44/12)+($K55*INDEX('DEFAULT DATA'!$DZ$9:$MG$41,START!$B$3,($L55+5))*-44/12)</f>
        <v>3.7240199912014367</v>
      </c>
      <c r="X55" s="221">
        <f>($I55*INDEX('DEFAULT DATA'!$DZ$9:$MG$41,START!$B$3,($L55))*-44/12)+($I55*INDEX('DEFAULT DATA'!$DZ$9:$MG$41,START!$B$3,($L55+1))*-44/12)+($I55*INDEX('DEFAULT DATA'!$DZ$9:$MG$41,START!$B$3,($L55+2))*-44/12)+($I55*INDEX('DEFAULT DATA'!$DZ$9:$MG$41,START!$B$3,($L55+3))*-44/12)+($J55*INDEX('DEFAULT DATA'!$DZ$9:$MG$41,START!$B$3,($L55+4))*-44/12)+($K55*INDEX('DEFAULT DATA'!$DZ$9:$MG$41,START!$B$3,($L55+5))*-44/12)</f>
        <v>3.7240199912014367</v>
      </c>
      <c r="Y55" s="221">
        <f>($I55*INDEX('DEFAULT DATA'!$DZ$9:$MG$41,START!$B$3,($L55))*-44/12)+($I55*INDEX('DEFAULT DATA'!$DZ$9:$MG$41,START!$B$3,($L55+1))*-44/12)+($I55*INDEX('DEFAULT DATA'!$DZ$9:$MG$41,START!$B$3,($L55+2))*-44/12)+($I55*INDEX('DEFAULT DATA'!$DZ$9:$MG$41,START!$B$3,($L55+3))*-44/12)+($J55*INDEX('DEFAULT DATA'!$DZ$9:$MG$41,START!$B$3,($L55+4))*-44/12)+($K55*INDEX('DEFAULT DATA'!$DZ$9:$MG$41,START!$B$3,($L55+5))*-44/12)</f>
        <v>3.7240199912014367</v>
      </c>
      <c r="Z55" s="221">
        <f>($I55*INDEX('DEFAULT DATA'!$DZ$9:$MG$41,START!$B$3,($L55))*-44/12)+($I55*INDEX('DEFAULT DATA'!$DZ$9:$MG$41,START!$B$3,($L55+1))*-44/12)+($I55*INDEX('DEFAULT DATA'!$DZ$9:$MG$41,START!$B$3,($L55+2))*-44/12)+($I55*INDEX('DEFAULT DATA'!$DZ$9:$MG$41,START!$B$3,($L55+3))*-44/12)+($J55*INDEX('DEFAULT DATA'!$DZ$9:$MG$41,START!$B$3,($L55+4))*-44/12)+($K55*INDEX('DEFAULT DATA'!$DZ$9:$MG$41,START!$B$3,($L55+5))*-44/12)</f>
        <v>3.7240199912014367</v>
      </c>
      <c r="AA55" s="221">
        <f>($I55*INDEX('DEFAULT DATA'!$DZ$9:$MG$41,START!$B$3,($L55))*-44/12)+($I55*INDEX('DEFAULT DATA'!$DZ$9:$MG$41,START!$B$3,($L55+1))*-44/12)+($I55*INDEX('DEFAULT DATA'!$DZ$9:$MG$41,START!$B$3,($L55+2))*-44/12)+($I55*INDEX('DEFAULT DATA'!$DZ$9:$MG$41,START!$B$3,($L55+3))*-44/12)+($J55*INDEX('DEFAULT DATA'!$DZ$9:$MG$41,START!$B$3,($L55+4))*-44/12)+($K55*INDEX('DEFAULT DATA'!$DZ$9:$MG$41,START!$B$3,($L55+5))*-44/12)</f>
        <v>3.7240199912014367</v>
      </c>
      <c r="AB55" s="221">
        <f>($I55*INDEX('DEFAULT DATA'!$DZ$9:$MG$41,START!$B$3,($L55))*-44/12)+($I55*INDEX('DEFAULT DATA'!$DZ$9:$MG$41,START!$B$3,($L55+1))*-44/12)+($I55*INDEX('DEFAULT DATA'!$DZ$9:$MG$41,START!$B$3,($L55+2))*-44/12)+($I55*INDEX('DEFAULT DATA'!$DZ$9:$MG$41,START!$B$3,($L55+3))*-44/12)+($J55*INDEX('DEFAULT DATA'!$DZ$9:$MG$41,START!$B$3,($L55+4))*-44/12)+($K55*INDEX('DEFAULT DATA'!$DZ$9:$MG$41,START!$B$3,($L55+5))*-44/12)</f>
        <v>3.7240199912014367</v>
      </c>
      <c r="AC55" s="221">
        <f>($I55*INDEX('DEFAULT DATA'!$DZ$9:$MG$41,START!$B$3,($L55))*-44/12)+($I55*INDEX('DEFAULT DATA'!$DZ$9:$MG$41,START!$B$3,($L55+1))*-44/12)+($I55*INDEX('DEFAULT DATA'!$DZ$9:$MG$41,START!$B$3,($L55+2))*-44/12)+($I55*INDEX('DEFAULT DATA'!$DZ$9:$MG$41,START!$B$3,($L55+3))*-44/12)+($J55*INDEX('DEFAULT DATA'!$DZ$9:$MG$41,START!$B$3,($L55+4))*-44/12)+($K55*INDEX('DEFAULT DATA'!$DZ$9:$MG$41,START!$B$3,($L55+5))*-44/12)</f>
        <v>3.7240199912014367</v>
      </c>
      <c r="AD55" s="221">
        <f>($I55*INDEX('DEFAULT DATA'!$DZ$9:$MG$41,START!$B$3,($L55))*-44/12)+($I55*INDEX('DEFAULT DATA'!$DZ$9:$MG$41,START!$B$3,($L55+1))*-44/12)+($I55*INDEX('DEFAULT DATA'!$DZ$9:$MG$41,START!$B$3,($L55+2))*-44/12)+($I55*INDEX('DEFAULT DATA'!$DZ$9:$MG$41,START!$B$3,($L55+3))*-44/12)+($J55*INDEX('DEFAULT DATA'!$DZ$9:$MG$41,START!$B$3,($L55+4))*-44/12)+($K55*INDEX('DEFAULT DATA'!$DZ$9:$MG$41,START!$B$3,($L55+5))*-44/12)</f>
        <v>3.7240199912014367</v>
      </c>
      <c r="AE55" s="221">
        <f>($I55*INDEX('DEFAULT DATA'!$DZ$9:$MG$41,START!$B$3,($L55))*-44/12)+($I55*INDEX('DEFAULT DATA'!$DZ$9:$MG$41,START!$B$3,($L55+1))*-44/12)+($I55*INDEX('DEFAULT DATA'!$DZ$9:$MG$41,START!$B$3,($L55+2))*-44/12)+($I55*INDEX('DEFAULT DATA'!$DZ$9:$MG$41,START!$B$3,($L55+3))*-44/12)+($J55*INDEX('DEFAULT DATA'!$DZ$9:$MG$41,START!$B$3,($L55+4))*-44/12)+($K55*INDEX('DEFAULT DATA'!$DZ$9:$MG$41,START!$B$3,($L55+5))*-44/12)</f>
        <v>3.7240199912014367</v>
      </c>
      <c r="AF55" s="221">
        <f>($I55*INDEX('DEFAULT DATA'!$DZ$9:$MG$41,START!$B$3,($L55))*-44/12)+($I55*INDEX('DEFAULT DATA'!$DZ$9:$MG$41,START!$B$3,($L55+1))*-44/12)+($I55*INDEX('DEFAULT DATA'!$DZ$9:$MG$41,START!$B$3,($L55+2))*-44/12)+($I55*INDEX('DEFAULT DATA'!$DZ$9:$MG$41,START!$B$3,($L55+3))*-44/12)+($J55*INDEX('DEFAULT DATA'!$DZ$9:$MG$41,START!$B$3,($L55+4))*-44/12)+($K55*INDEX('DEFAULT DATA'!$DZ$9:$MG$41,START!$B$3,($L55+5))*-44/12)</f>
        <v>3.7240199912014367</v>
      </c>
      <c r="AG55" s="221">
        <f>($I55*INDEX('DEFAULT DATA'!$DZ$9:$MG$41,START!$B$3,($L55))*-44/12)+($I55*INDEX('DEFAULT DATA'!$DZ$9:$MG$41,START!$B$3,($L55+1))*-44/12)+($I55*INDEX('DEFAULT DATA'!$DZ$9:$MG$41,START!$B$3,($L55+2))*-44/12)+($I55*INDEX('DEFAULT DATA'!$DZ$9:$MG$41,START!$B$3,($L55+3))*-44/12)+($J55*INDEX('DEFAULT DATA'!$DZ$9:$MG$41,START!$B$3,($L55+4))*-44/12)+($K55*INDEX('DEFAULT DATA'!$DZ$9:$MG$41,START!$B$3,($L55+5))*-44/12)</f>
        <v>3.7240199912014367</v>
      </c>
      <c r="AH55" s="221">
        <f>($I55*INDEX('DEFAULT DATA'!$DZ$9:$MG$41,START!$B$3,($L55))*-44/12)+($I55*INDEX('DEFAULT DATA'!$DZ$9:$MG$41,START!$B$3,($L55+1))*-44/12)+($I55*INDEX('DEFAULT DATA'!$DZ$9:$MG$41,START!$B$3,($L55+2))*-44/12)+($I55*INDEX('DEFAULT DATA'!$DZ$9:$MG$41,START!$B$3,($L55+3))*-44/12)+($J55*INDEX('DEFAULT DATA'!$DZ$9:$MG$41,START!$B$3,($L55+4))*-44/12)+($K55*INDEX('DEFAULT DATA'!$DZ$9:$MG$41,START!$B$3,($L55+5))*-44/12)</f>
        <v>3.7240199912014367</v>
      </c>
      <c r="AI55" s="221">
        <f>(($I55*INDEX('DEFAULT DATA'!$MB$9:$MG$41,START!$B$3,1)*-44/12)+($I55*INDEX('DEFAULT DATA'!$MB$9:$MG$41,START!$B$3,2)*-44/12)+($I55*INDEX('DEFAULT DATA'!$MB$9:$MG$41,START!$B$3,3)*-44/12)+($I55*INDEX('DEFAULT DATA'!$MB$9:$MG$41,START!$B$3,4)*-44/12)+($J55*INDEX('DEFAULT DATA'!$MB$9:$MG$41,START!$B$3,5)*-44/12)+($K55*INDEX('DEFAULT DATA'!$MB$9:$MG$41,START!$B$3,6)*-44/12))</f>
        <v>0</v>
      </c>
      <c r="AJ55" s="221">
        <f>(($I55*INDEX('DEFAULT DATA'!$MB$9:$MG$41,START!$B$3,1)*-44/12)+($I55*INDEX('DEFAULT DATA'!$MB$9:$MG$41,START!$B$3,2)*-44/12)+($I55*INDEX('DEFAULT DATA'!$MB$9:$MG$41,START!$B$3,3)*-44/12)+($I55*INDEX('DEFAULT DATA'!$MB$9:$MG$41,START!$B$3,4)*-44/12)+($J55*INDEX('DEFAULT DATA'!$MB$9:$MG$41,START!$B$3,5)*-44/12)+($K55*INDEX('DEFAULT DATA'!$MB$9:$MG$41,START!$B$3,6)*-44/12))</f>
        <v>0</v>
      </c>
      <c r="AK55" s="221">
        <f>(($I55*INDEX('DEFAULT DATA'!$MB$9:$MG$41,START!$B$3,1)*-44/12)+($I55*INDEX('DEFAULT DATA'!$MB$9:$MG$41,START!$B$3,2)*-44/12)+($I55*INDEX('DEFAULT DATA'!$MB$9:$MG$41,START!$B$3,3)*-44/12)+($I55*INDEX('DEFAULT DATA'!$MB$9:$MG$41,START!$B$3,4)*-44/12)+($J55*INDEX('DEFAULT DATA'!$MB$9:$MG$41,START!$B$3,5)*-44/12)+($K55*INDEX('DEFAULT DATA'!$MB$9:$MG$41,START!$B$3,6)*-44/12))</f>
        <v>0</v>
      </c>
      <c r="AL55" s="221">
        <f>(($I55*INDEX('DEFAULT DATA'!$MB$9:$MG$41,START!$B$3,1)*-44/12)+($I55*INDEX('DEFAULT DATA'!$MB$9:$MG$41,START!$B$3,2)*-44/12)+($I55*INDEX('DEFAULT DATA'!$MB$9:$MG$41,START!$B$3,3)*-44/12)+($I55*INDEX('DEFAULT DATA'!$MB$9:$MG$41,START!$B$3,4)*-44/12)+($J55*INDEX('DEFAULT DATA'!$MB$9:$MG$41,START!$B$3,5)*-44/12)+($K55*INDEX('DEFAULT DATA'!$MB$9:$MG$41,START!$B$3,6)*-44/12))</f>
        <v>0</v>
      </c>
      <c r="AM55" s="221">
        <f>(($I55*INDEX('DEFAULT DATA'!$MB$9:$MG$41,START!$B$3,1)*-44/12)+($I55*INDEX('DEFAULT DATA'!$MB$9:$MG$41,START!$B$3,2)*-44/12)+($I55*INDEX('DEFAULT DATA'!$MB$9:$MG$41,START!$B$3,3)*-44/12)+($I55*INDEX('DEFAULT DATA'!$MB$9:$MG$41,START!$B$3,4)*-44/12)+($J55*INDEX('DEFAULT DATA'!$MB$9:$MG$41,START!$B$3,5)*-44/12)+($K55*INDEX('DEFAULT DATA'!$MB$9:$MG$41,START!$B$3,6)*-44/12))</f>
        <v>0</v>
      </c>
      <c r="AN55" s="221">
        <f>(($I55*INDEX('DEFAULT DATA'!$MB$9:$MG$41,START!$B$3,1)*-44/12)+($I55*INDEX('DEFAULT DATA'!$MB$9:$MG$41,START!$B$3,2)*-44/12)+($I55*INDEX('DEFAULT DATA'!$MB$9:$MG$41,START!$B$3,3)*-44/12)+($I55*INDEX('DEFAULT DATA'!$MB$9:$MG$41,START!$B$3,4)*-44/12)+($J55*INDEX('DEFAULT DATA'!$MB$9:$MG$41,START!$B$3,5)*-44/12)+($K55*INDEX('DEFAULT DATA'!$MB$9:$MG$41,START!$B$3,6)*-44/12))</f>
        <v>0</v>
      </c>
      <c r="AO55" s="221">
        <f>(($I55*INDEX('DEFAULT DATA'!$MB$9:$MG$41,START!$B$3,1)*-44/12)+($I55*INDEX('DEFAULT DATA'!$MB$9:$MG$41,START!$B$3,2)*-44/12)+($I55*INDEX('DEFAULT DATA'!$MB$9:$MG$41,START!$B$3,3)*-44/12)+($I55*INDEX('DEFAULT DATA'!$MB$9:$MG$41,START!$B$3,4)*-44/12)+($J55*INDEX('DEFAULT DATA'!$MB$9:$MG$41,START!$B$3,5)*-44/12)+($K55*INDEX('DEFAULT DATA'!$MB$9:$MG$41,START!$B$3,6)*-44/12))</f>
        <v>0</v>
      </c>
      <c r="AP55" s="221">
        <f>(($I55*INDEX('DEFAULT DATA'!$MB$9:$MG$41,START!$B$3,1)*-44/12)+($I55*INDEX('DEFAULT DATA'!$MB$9:$MG$41,START!$B$3,2)*-44/12)+($I55*INDEX('DEFAULT DATA'!$MB$9:$MG$41,START!$B$3,3)*-44/12)+($I55*INDEX('DEFAULT DATA'!$MB$9:$MG$41,START!$B$3,4)*-44/12)+($J55*INDEX('DEFAULT DATA'!$MB$9:$MG$41,START!$B$3,5)*-44/12)+($K55*INDEX('DEFAULT DATA'!$MB$9:$MG$41,START!$B$3,6)*-44/12))</f>
        <v>0</v>
      </c>
      <c r="AQ55" s="221">
        <f>(($I55*INDEX('DEFAULT DATA'!$MB$9:$MG$41,START!$B$3,1)*-44/12)+($I55*INDEX('DEFAULT DATA'!$MB$9:$MG$41,START!$B$3,2)*-44/12)+($I55*INDEX('DEFAULT DATA'!$MB$9:$MG$41,START!$B$3,3)*-44/12)+($I55*INDEX('DEFAULT DATA'!$MB$9:$MG$41,START!$B$3,4)*-44/12)+($J55*INDEX('DEFAULT DATA'!$MB$9:$MG$41,START!$B$3,5)*-44/12)+($K55*INDEX('DEFAULT DATA'!$MB$9:$MG$41,START!$B$3,6)*-44/12))</f>
        <v>0</v>
      </c>
      <c r="AR55" s="552">
        <f>(($I55*INDEX('DEFAULT DATA'!$MB$9:$MG$41,START!$B$3,1)*-44/12)+($I55*INDEX('DEFAULT DATA'!$MB$9:$MG$41,START!$B$3,2)*-44/12)+($I55*INDEX('DEFAULT DATA'!$MB$9:$MG$41,START!$B$3,3)*-44/12)+($I55*INDEX('DEFAULT DATA'!$MB$9:$MG$41,START!$B$3,4)*-44/12)+($J55*INDEX('DEFAULT DATA'!$MB$9:$MG$41,START!$B$3,5)*-44/12)+($K55*INDEX('DEFAULT DATA'!$MB$9:$MG$41,START!$B$3,6)*-44/12))</f>
        <v>0</v>
      </c>
    </row>
    <row r="56" spans="1:44" ht="20.100000000000001" customHeight="1">
      <c r="A56" s="507" t="s">
        <v>1016</v>
      </c>
      <c r="B56" s="134"/>
      <c r="C56" s="134"/>
      <c r="D56" s="508">
        <v>2</v>
      </c>
      <c r="E56" s="518">
        <v>1</v>
      </c>
      <c r="F56" s="522">
        <v>1</v>
      </c>
      <c r="G56" s="134">
        <v>1</v>
      </c>
      <c r="H56" s="37"/>
      <c r="I56" s="514">
        <f t="shared" si="36"/>
        <v>2</v>
      </c>
      <c r="J56" s="511">
        <f t="shared" si="37"/>
        <v>1</v>
      </c>
      <c r="K56" s="511">
        <f t="shared" si="38"/>
        <v>1</v>
      </c>
      <c r="L56" s="384">
        <f t="shared" si="40"/>
        <v>133</v>
      </c>
      <c r="M56" s="535" t="s">
        <v>948</v>
      </c>
      <c r="N56" s="539">
        <f t="shared" si="39"/>
        <v>2022</v>
      </c>
      <c r="O56" s="221">
        <f>($I56*INDEX('DEFAULT DATA'!$DZ$9:$MG$41,START!$B$3,($L56))*-44/12)+($I56*INDEX('DEFAULT DATA'!$DZ$9:$MG$41,START!$B$3,($L56+1))*-44/12)+($I56*INDEX('DEFAULT DATA'!$DZ$9:$MG$41,START!$B$3,($L56+2))*-44/12)+($I56*INDEX('DEFAULT DATA'!$DZ$9:$MG$41,START!$B$3,($L56+3))*-44/12)+($J56*INDEX('DEFAULT DATA'!$DZ$9:$MG$41,START!$B$3,($L56+4))*-44/12)+($K56*INDEX('DEFAULT DATA'!$DZ$9:$MG$41,START!$B$3,($L56+5))*-44/12)</f>
        <v>6.2465272160942567</v>
      </c>
      <c r="P56" s="221">
        <f>($I56*INDEX('DEFAULT DATA'!$DZ$9:$MG$41,START!$B$3,($L56))*-44/12)+($I56*INDEX('DEFAULT DATA'!$DZ$9:$MG$41,START!$B$3,($L56+1))*-44/12)+($I56*INDEX('DEFAULT DATA'!$DZ$9:$MG$41,START!$B$3,($L56+2))*-44/12)+($I56*INDEX('DEFAULT DATA'!$DZ$9:$MG$41,START!$B$3,($L56+3))*-44/12)+($J56*INDEX('DEFAULT DATA'!$DZ$9:$MG$41,START!$B$3,($L56+4))*-44/12)+($K56*INDEX('DEFAULT DATA'!$DZ$9:$MG$41,START!$B$3,($L56+5))*-44/12)</f>
        <v>6.2465272160942567</v>
      </c>
      <c r="Q56" s="221">
        <f>($I56*INDEX('DEFAULT DATA'!$DZ$9:$MG$41,START!$B$3,($L56))*-44/12)+($I56*INDEX('DEFAULT DATA'!$DZ$9:$MG$41,START!$B$3,($L56+1))*-44/12)+($I56*INDEX('DEFAULT DATA'!$DZ$9:$MG$41,START!$B$3,($L56+2))*-44/12)+($I56*INDEX('DEFAULT DATA'!$DZ$9:$MG$41,START!$B$3,($L56+3))*-44/12)+($J56*INDEX('DEFAULT DATA'!$DZ$9:$MG$41,START!$B$3,($L56+4))*-44/12)+($K56*INDEX('DEFAULT DATA'!$DZ$9:$MG$41,START!$B$3,($L56+5))*-44/12)</f>
        <v>6.2465272160942567</v>
      </c>
      <c r="R56" s="221">
        <f>($I56*INDEX('DEFAULT DATA'!$DZ$9:$MG$41,START!$B$3,($L56))*-44/12)+($I56*INDEX('DEFAULT DATA'!$DZ$9:$MG$41,START!$B$3,($L56+1))*-44/12)+($I56*INDEX('DEFAULT DATA'!$DZ$9:$MG$41,START!$B$3,($L56+2))*-44/12)+($I56*INDEX('DEFAULT DATA'!$DZ$9:$MG$41,START!$B$3,($L56+3))*-44/12)+($J56*INDEX('DEFAULT DATA'!$DZ$9:$MG$41,START!$B$3,($L56+4))*-44/12)+($K56*INDEX('DEFAULT DATA'!$DZ$9:$MG$41,START!$B$3,($L56+5))*-44/12)</f>
        <v>6.2465272160942567</v>
      </c>
      <c r="S56" s="221">
        <f>($I56*INDEX('DEFAULT DATA'!$DZ$9:$MG$41,START!$B$3,($L56))*-44/12)+($I56*INDEX('DEFAULT DATA'!$DZ$9:$MG$41,START!$B$3,($L56+1))*-44/12)+($I56*INDEX('DEFAULT DATA'!$DZ$9:$MG$41,START!$B$3,($L56+2))*-44/12)+($I56*INDEX('DEFAULT DATA'!$DZ$9:$MG$41,START!$B$3,($L56+3))*-44/12)+($J56*INDEX('DEFAULT DATA'!$DZ$9:$MG$41,START!$B$3,($L56+4))*-44/12)+($K56*INDEX('DEFAULT DATA'!$DZ$9:$MG$41,START!$B$3,($L56+5))*-44/12)</f>
        <v>6.2465272160942567</v>
      </c>
      <c r="T56" s="221">
        <f>($I56*INDEX('DEFAULT DATA'!$DZ$9:$MG$41,START!$B$3,($L56))*-44/12)+($I56*INDEX('DEFAULT DATA'!$DZ$9:$MG$41,START!$B$3,($L56+1))*-44/12)+($I56*INDEX('DEFAULT DATA'!$DZ$9:$MG$41,START!$B$3,($L56+2))*-44/12)+($I56*INDEX('DEFAULT DATA'!$DZ$9:$MG$41,START!$B$3,($L56+3))*-44/12)+($J56*INDEX('DEFAULT DATA'!$DZ$9:$MG$41,START!$B$3,($L56+4))*-44/12)+($K56*INDEX('DEFAULT DATA'!$DZ$9:$MG$41,START!$B$3,($L56+5))*-44/12)</f>
        <v>6.2465272160942567</v>
      </c>
      <c r="U56" s="221">
        <f>($I56*INDEX('DEFAULT DATA'!$DZ$9:$MG$41,START!$B$3,($L56))*-44/12)+($I56*INDEX('DEFAULT DATA'!$DZ$9:$MG$41,START!$B$3,($L56+1))*-44/12)+($I56*INDEX('DEFAULT DATA'!$DZ$9:$MG$41,START!$B$3,($L56+2))*-44/12)+($I56*INDEX('DEFAULT DATA'!$DZ$9:$MG$41,START!$B$3,($L56+3))*-44/12)+($J56*INDEX('DEFAULT DATA'!$DZ$9:$MG$41,START!$B$3,($L56+4))*-44/12)+($K56*INDEX('DEFAULT DATA'!$DZ$9:$MG$41,START!$B$3,($L56+5))*-44/12)</f>
        <v>6.2465272160942567</v>
      </c>
      <c r="V56" s="221">
        <f>($I56*INDEX('DEFAULT DATA'!$DZ$9:$MG$41,START!$B$3,($L56))*-44/12)+($I56*INDEX('DEFAULT DATA'!$DZ$9:$MG$41,START!$B$3,($L56+1))*-44/12)+($I56*INDEX('DEFAULT DATA'!$DZ$9:$MG$41,START!$B$3,($L56+2))*-44/12)+($I56*INDEX('DEFAULT DATA'!$DZ$9:$MG$41,START!$B$3,($L56+3))*-44/12)+($J56*INDEX('DEFAULT DATA'!$DZ$9:$MG$41,START!$B$3,($L56+4))*-44/12)+($K56*INDEX('DEFAULT DATA'!$DZ$9:$MG$41,START!$B$3,($L56+5))*-44/12)</f>
        <v>6.2465272160942567</v>
      </c>
      <c r="W56" s="221">
        <f>($I56*INDEX('DEFAULT DATA'!$DZ$9:$MG$41,START!$B$3,($L56))*-44/12)+($I56*INDEX('DEFAULT DATA'!$DZ$9:$MG$41,START!$B$3,($L56+1))*-44/12)+($I56*INDEX('DEFAULT DATA'!$DZ$9:$MG$41,START!$B$3,($L56+2))*-44/12)+($I56*INDEX('DEFAULT DATA'!$DZ$9:$MG$41,START!$B$3,($L56+3))*-44/12)+($J56*INDEX('DEFAULT DATA'!$DZ$9:$MG$41,START!$B$3,($L56+4))*-44/12)+($K56*INDEX('DEFAULT DATA'!$DZ$9:$MG$41,START!$B$3,($L56+5))*-44/12)</f>
        <v>6.2465272160942567</v>
      </c>
      <c r="X56" s="221">
        <f>($I56*INDEX('DEFAULT DATA'!$DZ$9:$MG$41,START!$B$3,($L56))*-44/12)+($I56*INDEX('DEFAULT DATA'!$DZ$9:$MG$41,START!$B$3,($L56+1))*-44/12)+($I56*INDEX('DEFAULT DATA'!$DZ$9:$MG$41,START!$B$3,($L56+2))*-44/12)+($I56*INDEX('DEFAULT DATA'!$DZ$9:$MG$41,START!$B$3,($L56+3))*-44/12)+($J56*INDEX('DEFAULT DATA'!$DZ$9:$MG$41,START!$B$3,($L56+4))*-44/12)+($K56*INDEX('DEFAULT DATA'!$DZ$9:$MG$41,START!$B$3,($L56+5))*-44/12)</f>
        <v>6.2465272160942567</v>
      </c>
      <c r="Y56" s="221">
        <f>($I56*INDEX('DEFAULT DATA'!$DZ$9:$MG$41,START!$B$3,($L56))*-44/12)+($I56*INDEX('DEFAULT DATA'!$DZ$9:$MG$41,START!$B$3,($L56+1))*-44/12)+($I56*INDEX('DEFAULT DATA'!$DZ$9:$MG$41,START!$B$3,($L56+2))*-44/12)+($I56*INDEX('DEFAULT DATA'!$DZ$9:$MG$41,START!$B$3,($L56+3))*-44/12)+($J56*INDEX('DEFAULT DATA'!$DZ$9:$MG$41,START!$B$3,($L56+4))*-44/12)+($K56*INDEX('DEFAULT DATA'!$DZ$9:$MG$41,START!$B$3,($L56+5))*-44/12)</f>
        <v>6.2465272160942567</v>
      </c>
      <c r="Z56" s="221">
        <f>($I56*INDEX('DEFAULT DATA'!$DZ$9:$MG$41,START!$B$3,($L56))*-44/12)+($I56*INDEX('DEFAULT DATA'!$DZ$9:$MG$41,START!$B$3,($L56+1))*-44/12)+($I56*INDEX('DEFAULT DATA'!$DZ$9:$MG$41,START!$B$3,($L56+2))*-44/12)+($I56*INDEX('DEFAULT DATA'!$DZ$9:$MG$41,START!$B$3,($L56+3))*-44/12)+($J56*INDEX('DEFAULT DATA'!$DZ$9:$MG$41,START!$B$3,($L56+4))*-44/12)+($K56*INDEX('DEFAULT DATA'!$DZ$9:$MG$41,START!$B$3,($L56+5))*-44/12)</f>
        <v>6.2465272160942567</v>
      </c>
      <c r="AA56" s="221">
        <f>($I56*INDEX('DEFAULT DATA'!$DZ$9:$MG$41,START!$B$3,($L56))*-44/12)+($I56*INDEX('DEFAULT DATA'!$DZ$9:$MG$41,START!$B$3,($L56+1))*-44/12)+($I56*INDEX('DEFAULT DATA'!$DZ$9:$MG$41,START!$B$3,($L56+2))*-44/12)+($I56*INDEX('DEFAULT DATA'!$DZ$9:$MG$41,START!$B$3,($L56+3))*-44/12)+($J56*INDEX('DEFAULT DATA'!$DZ$9:$MG$41,START!$B$3,($L56+4))*-44/12)+($K56*INDEX('DEFAULT DATA'!$DZ$9:$MG$41,START!$B$3,($L56+5))*-44/12)</f>
        <v>6.2465272160942567</v>
      </c>
      <c r="AB56" s="221">
        <f>($I56*INDEX('DEFAULT DATA'!$DZ$9:$MG$41,START!$B$3,($L56))*-44/12)+($I56*INDEX('DEFAULT DATA'!$DZ$9:$MG$41,START!$B$3,($L56+1))*-44/12)+($I56*INDEX('DEFAULT DATA'!$DZ$9:$MG$41,START!$B$3,($L56+2))*-44/12)+($I56*INDEX('DEFAULT DATA'!$DZ$9:$MG$41,START!$B$3,($L56+3))*-44/12)+($J56*INDEX('DEFAULT DATA'!$DZ$9:$MG$41,START!$B$3,($L56+4))*-44/12)+($K56*INDEX('DEFAULT DATA'!$DZ$9:$MG$41,START!$B$3,($L56+5))*-44/12)</f>
        <v>6.2465272160942567</v>
      </c>
      <c r="AC56" s="221">
        <f>($I56*INDEX('DEFAULT DATA'!$DZ$9:$MG$41,START!$B$3,($L56))*-44/12)+($I56*INDEX('DEFAULT DATA'!$DZ$9:$MG$41,START!$B$3,($L56+1))*-44/12)+($I56*INDEX('DEFAULT DATA'!$DZ$9:$MG$41,START!$B$3,($L56+2))*-44/12)+($I56*INDEX('DEFAULT DATA'!$DZ$9:$MG$41,START!$B$3,($L56+3))*-44/12)+($J56*INDEX('DEFAULT DATA'!$DZ$9:$MG$41,START!$B$3,($L56+4))*-44/12)+($K56*INDEX('DEFAULT DATA'!$DZ$9:$MG$41,START!$B$3,($L56+5))*-44/12)</f>
        <v>6.2465272160942567</v>
      </c>
      <c r="AD56" s="221">
        <f>($I56*INDEX('DEFAULT DATA'!$DZ$9:$MG$41,START!$B$3,($L56))*-44/12)+($I56*INDEX('DEFAULT DATA'!$DZ$9:$MG$41,START!$B$3,($L56+1))*-44/12)+($I56*INDEX('DEFAULT DATA'!$DZ$9:$MG$41,START!$B$3,($L56+2))*-44/12)+($I56*INDEX('DEFAULT DATA'!$DZ$9:$MG$41,START!$B$3,($L56+3))*-44/12)+($J56*INDEX('DEFAULT DATA'!$DZ$9:$MG$41,START!$B$3,($L56+4))*-44/12)+($K56*INDEX('DEFAULT DATA'!$DZ$9:$MG$41,START!$B$3,($L56+5))*-44/12)</f>
        <v>6.2465272160942567</v>
      </c>
      <c r="AE56" s="221">
        <f>($I56*INDEX('DEFAULT DATA'!$DZ$9:$MG$41,START!$B$3,($L56))*-44/12)+($I56*INDEX('DEFAULT DATA'!$DZ$9:$MG$41,START!$B$3,($L56+1))*-44/12)+($I56*INDEX('DEFAULT DATA'!$DZ$9:$MG$41,START!$B$3,($L56+2))*-44/12)+($I56*INDEX('DEFAULT DATA'!$DZ$9:$MG$41,START!$B$3,($L56+3))*-44/12)+($J56*INDEX('DEFAULT DATA'!$DZ$9:$MG$41,START!$B$3,($L56+4))*-44/12)+($K56*INDEX('DEFAULT DATA'!$DZ$9:$MG$41,START!$B$3,($L56+5))*-44/12)</f>
        <v>6.2465272160942567</v>
      </c>
      <c r="AF56" s="221">
        <f>($I56*INDEX('DEFAULT DATA'!$DZ$9:$MG$41,START!$B$3,($L56))*-44/12)+($I56*INDEX('DEFAULT DATA'!$DZ$9:$MG$41,START!$B$3,($L56+1))*-44/12)+($I56*INDEX('DEFAULT DATA'!$DZ$9:$MG$41,START!$B$3,($L56+2))*-44/12)+($I56*INDEX('DEFAULT DATA'!$DZ$9:$MG$41,START!$B$3,($L56+3))*-44/12)+($J56*INDEX('DEFAULT DATA'!$DZ$9:$MG$41,START!$B$3,($L56+4))*-44/12)+($K56*INDEX('DEFAULT DATA'!$DZ$9:$MG$41,START!$B$3,($L56+5))*-44/12)</f>
        <v>6.2465272160942567</v>
      </c>
      <c r="AG56" s="221">
        <f>($I56*INDEX('DEFAULT DATA'!$DZ$9:$MG$41,START!$B$3,($L56))*-44/12)+($I56*INDEX('DEFAULT DATA'!$DZ$9:$MG$41,START!$B$3,($L56+1))*-44/12)+($I56*INDEX('DEFAULT DATA'!$DZ$9:$MG$41,START!$B$3,($L56+2))*-44/12)+($I56*INDEX('DEFAULT DATA'!$DZ$9:$MG$41,START!$B$3,($L56+3))*-44/12)+($J56*INDEX('DEFAULT DATA'!$DZ$9:$MG$41,START!$B$3,($L56+4))*-44/12)+($K56*INDEX('DEFAULT DATA'!$DZ$9:$MG$41,START!$B$3,($L56+5))*-44/12)</f>
        <v>6.2465272160942567</v>
      </c>
      <c r="AH56" s="221">
        <f>($I56*INDEX('DEFAULT DATA'!$DZ$9:$MG$41,START!$B$3,($L56))*-44/12)+($I56*INDEX('DEFAULT DATA'!$DZ$9:$MG$41,START!$B$3,($L56+1))*-44/12)+($I56*INDEX('DEFAULT DATA'!$DZ$9:$MG$41,START!$B$3,($L56+2))*-44/12)+($I56*INDEX('DEFAULT DATA'!$DZ$9:$MG$41,START!$B$3,($L56+3))*-44/12)+($J56*INDEX('DEFAULT DATA'!$DZ$9:$MG$41,START!$B$3,($L56+4))*-44/12)+($K56*INDEX('DEFAULT DATA'!$DZ$9:$MG$41,START!$B$3,($L56+5))*-44/12)</f>
        <v>6.2465272160942567</v>
      </c>
      <c r="AI56" s="221">
        <f>(($I56*INDEX('DEFAULT DATA'!$MB$9:$MG$41,START!$B$3,1)*-44/12)+($I56*INDEX('DEFAULT DATA'!$MB$9:$MG$41,START!$B$3,2)*-44/12)+($I56*INDEX('DEFAULT DATA'!$MB$9:$MG$41,START!$B$3,3)*-44/12)+($I56*INDEX('DEFAULT DATA'!$MB$9:$MG$41,START!$B$3,4)*-44/12)+($J56*INDEX('DEFAULT DATA'!$MB$9:$MG$41,START!$B$3,5)*-44/12)+($K56*INDEX('DEFAULT DATA'!$MB$9:$MG$41,START!$B$3,6)*-44/12))</f>
        <v>0</v>
      </c>
      <c r="AJ56" s="221">
        <f>(($I56*INDEX('DEFAULT DATA'!$MB$9:$MG$41,START!$B$3,1)*-44/12)+($I56*INDEX('DEFAULT DATA'!$MB$9:$MG$41,START!$B$3,2)*-44/12)+($I56*INDEX('DEFAULT DATA'!$MB$9:$MG$41,START!$B$3,3)*-44/12)+($I56*INDEX('DEFAULT DATA'!$MB$9:$MG$41,START!$B$3,4)*-44/12)+($J56*INDEX('DEFAULT DATA'!$MB$9:$MG$41,START!$B$3,5)*-44/12)+($K56*INDEX('DEFAULT DATA'!$MB$9:$MG$41,START!$B$3,6)*-44/12))</f>
        <v>0</v>
      </c>
      <c r="AK56" s="221">
        <f>(($I56*INDEX('DEFAULT DATA'!$MB$9:$MG$41,START!$B$3,1)*-44/12)+($I56*INDEX('DEFAULT DATA'!$MB$9:$MG$41,START!$B$3,2)*-44/12)+($I56*INDEX('DEFAULT DATA'!$MB$9:$MG$41,START!$B$3,3)*-44/12)+($I56*INDEX('DEFAULT DATA'!$MB$9:$MG$41,START!$B$3,4)*-44/12)+($J56*INDEX('DEFAULT DATA'!$MB$9:$MG$41,START!$B$3,5)*-44/12)+($K56*INDEX('DEFAULT DATA'!$MB$9:$MG$41,START!$B$3,6)*-44/12))</f>
        <v>0</v>
      </c>
      <c r="AL56" s="221">
        <f>(($I56*INDEX('DEFAULT DATA'!$MB$9:$MG$41,START!$B$3,1)*-44/12)+($I56*INDEX('DEFAULT DATA'!$MB$9:$MG$41,START!$B$3,2)*-44/12)+($I56*INDEX('DEFAULT DATA'!$MB$9:$MG$41,START!$B$3,3)*-44/12)+($I56*INDEX('DEFAULT DATA'!$MB$9:$MG$41,START!$B$3,4)*-44/12)+($J56*INDEX('DEFAULT DATA'!$MB$9:$MG$41,START!$B$3,5)*-44/12)+($K56*INDEX('DEFAULT DATA'!$MB$9:$MG$41,START!$B$3,6)*-44/12))</f>
        <v>0</v>
      </c>
      <c r="AM56" s="221">
        <f>(($I56*INDEX('DEFAULT DATA'!$MB$9:$MG$41,START!$B$3,1)*-44/12)+($I56*INDEX('DEFAULT DATA'!$MB$9:$MG$41,START!$B$3,2)*-44/12)+($I56*INDEX('DEFAULT DATA'!$MB$9:$MG$41,START!$B$3,3)*-44/12)+($I56*INDEX('DEFAULT DATA'!$MB$9:$MG$41,START!$B$3,4)*-44/12)+($J56*INDEX('DEFAULT DATA'!$MB$9:$MG$41,START!$B$3,5)*-44/12)+($K56*INDEX('DEFAULT DATA'!$MB$9:$MG$41,START!$B$3,6)*-44/12))</f>
        <v>0</v>
      </c>
      <c r="AN56" s="221">
        <f>(($I56*INDEX('DEFAULT DATA'!$MB$9:$MG$41,START!$B$3,1)*-44/12)+($I56*INDEX('DEFAULT DATA'!$MB$9:$MG$41,START!$B$3,2)*-44/12)+($I56*INDEX('DEFAULT DATA'!$MB$9:$MG$41,START!$B$3,3)*-44/12)+($I56*INDEX('DEFAULT DATA'!$MB$9:$MG$41,START!$B$3,4)*-44/12)+($J56*INDEX('DEFAULT DATA'!$MB$9:$MG$41,START!$B$3,5)*-44/12)+($K56*INDEX('DEFAULT DATA'!$MB$9:$MG$41,START!$B$3,6)*-44/12))</f>
        <v>0</v>
      </c>
      <c r="AO56" s="221">
        <f>(($I56*INDEX('DEFAULT DATA'!$MB$9:$MG$41,START!$B$3,1)*-44/12)+($I56*INDEX('DEFAULT DATA'!$MB$9:$MG$41,START!$B$3,2)*-44/12)+($I56*INDEX('DEFAULT DATA'!$MB$9:$MG$41,START!$B$3,3)*-44/12)+($I56*INDEX('DEFAULT DATA'!$MB$9:$MG$41,START!$B$3,4)*-44/12)+($J56*INDEX('DEFAULT DATA'!$MB$9:$MG$41,START!$B$3,5)*-44/12)+($K56*INDEX('DEFAULT DATA'!$MB$9:$MG$41,START!$B$3,6)*-44/12))</f>
        <v>0</v>
      </c>
      <c r="AP56" s="221">
        <f>(($I56*INDEX('DEFAULT DATA'!$MB$9:$MG$41,START!$B$3,1)*-44/12)+($I56*INDEX('DEFAULT DATA'!$MB$9:$MG$41,START!$B$3,2)*-44/12)+($I56*INDEX('DEFAULT DATA'!$MB$9:$MG$41,START!$B$3,3)*-44/12)+($I56*INDEX('DEFAULT DATA'!$MB$9:$MG$41,START!$B$3,4)*-44/12)+($J56*INDEX('DEFAULT DATA'!$MB$9:$MG$41,START!$B$3,5)*-44/12)+($K56*INDEX('DEFAULT DATA'!$MB$9:$MG$41,START!$B$3,6)*-44/12))</f>
        <v>0</v>
      </c>
      <c r="AQ56" s="221">
        <f>(($I56*INDEX('DEFAULT DATA'!$MB$9:$MG$41,START!$B$3,1)*-44/12)+($I56*INDEX('DEFAULT DATA'!$MB$9:$MG$41,START!$B$3,2)*-44/12)+($I56*INDEX('DEFAULT DATA'!$MB$9:$MG$41,START!$B$3,3)*-44/12)+($I56*INDEX('DEFAULT DATA'!$MB$9:$MG$41,START!$B$3,4)*-44/12)+($J56*INDEX('DEFAULT DATA'!$MB$9:$MG$41,START!$B$3,5)*-44/12)+($K56*INDEX('DEFAULT DATA'!$MB$9:$MG$41,START!$B$3,6)*-44/12))</f>
        <v>0</v>
      </c>
      <c r="AR56" s="552">
        <f>(($I56*INDEX('DEFAULT DATA'!$MB$9:$MG$41,START!$B$3,1)*-44/12)+($I56*INDEX('DEFAULT DATA'!$MB$9:$MG$41,START!$B$3,2)*-44/12)+($I56*INDEX('DEFAULT DATA'!$MB$9:$MG$41,START!$B$3,3)*-44/12)+($I56*INDEX('DEFAULT DATA'!$MB$9:$MG$41,START!$B$3,4)*-44/12)+($J56*INDEX('DEFAULT DATA'!$MB$9:$MG$41,START!$B$3,5)*-44/12)+($K56*INDEX('DEFAULT DATA'!$MB$9:$MG$41,START!$B$3,6)*-44/12))</f>
        <v>0</v>
      </c>
    </row>
    <row r="57" spans="1:44" ht="20.100000000000001" customHeight="1">
      <c r="A57" s="501" t="s">
        <v>1017</v>
      </c>
      <c r="B57" s="65"/>
      <c r="C57" s="65"/>
      <c r="D57" s="503">
        <v>2</v>
      </c>
      <c r="E57" s="505">
        <v>1</v>
      </c>
      <c r="F57" s="504">
        <v>1</v>
      </c>
      <c r="G57" s="65">
        <v>1</v>
      </c>
      <c r="H57" s="44"/>
      <c r="I57" s="514">
        <f t="shared" si="36"/>
        <v>2</v>
      </c>
      <c r="J57" s="511">
        <f t="shared" si="37"/>
        <v>1</v>
      </c>
      <c r="K57" s="511">
        <f t="shared" si="38"/>
        <v>1</v>
      </c>
      <c r="L57" s="384">
        <f t="shared" si="40"/>
        <v>139</v>
      </c>
      <c r="M57" s="535" t="s">
        <v>949</v>
      </c>
      <c r="N57" s="539">
        <f t="shared" si="39"/>
        <v>2022</v>
      </c>
      <c r="O57" s="221">
        <f>($I57*INDEX('DEFAULT DATA'!$DZ$9:$MG$41,START!$B$3,($L57))*-44/12)+($I57*INDEX('DEFAULT DATA'!$DZ$9:$MG$41,START!$B$3,($L57+1))*-44/12)+($I57*INDEX('DEFAULT DATA'!$DZ$9:$MG$41,START!$B$3,($L57+2))*-44/12)+($I57*INDEX('DEFAULT DATA'!$DZ$9:$MG$41,START!$B$3,($L57+3))*-44/12)+($J57*INDEX('DEFAULT DATA'!$DZ$9:$MG$41,START!$B$3,($L57+4))*-44/12)+($K57*INDEX('DEFAULT DATA'!$DZ$9:$MG$41,START!$B$3,($L57+5))*-44/12)</f>
        <v>0</v>
      </c>
      <c r="P57" s="221">
        <f>($I57*INDEX('DEFAULT DATA'!$DZ$9:$MG$41,START!$B$3,($L57))*-44/12)+($I57*INDEX('DEFAULT DATA'!$DZ$9:$MG$41,START!$B$3,($L57+1))*-44/12)+($I57*INDEX('DEFAULT DATA'!$DZ$9:$MG$41,START!$B$3,($L57+2))*-44/12)+($I57*INDEX('DEFAULT DATA'!$DZ$9:$MG$41,START!$B$3,($L57+3))*-44/12)+($J57*INDEX('DEFAULT DATA'!$DZ$9:$MG$41,START!$B$3,($L57+4))*-44/12)+($K57*INDEX('DEFAULT DATA'!$DZ$9:$MG$41,START!$B$3,($L57+5))*-44/12)</f>
        <v>0</v>
      </c>
      <c r="Q57" s="221">
        <f>($I57*INDEX('DEFAULT DATA'!$DZ$9:$MG$41,START!$B$3,($L57))*-44/12)+($I57*INDEX('DEFAULT DATA'!$DZ$9:$MG$41,START!$B$3,($L57+1))*-44/12)+($I57*INDEX('DEFAULT DATA'!$DZ$9:$MG$41,START!$B$3,($L57+2))*-44/12)+($I57*INDEX('DEFAULT DATA'!$DZ$9:$MG$41,START!$B$3,($L57+3))*-44/12)+($J57*INDEX('DEFAULT DATA'!$DZ$9:$MG$41,START!$B$3,($L57+4))*-44/12)+($K57*INDEX('DEFAULT DATA'!$DZ$9:$MG$41,START!$B$3,($L57+5))*-44/12)</f>
        <v>0</v>
      </c>
      <c r="R57" s="221">
        <f>($I57*INDEX('DEFAULT DATA'!$DZ$9:$MG$41,START!$B$3,($L57))*-44/12)+($I57*INDEX('DEFAULT DATA'!$DZ$9:$MG$41,START!$B$3,($L57+1))*-44/12)+($I57*INDEX('DEFAULT DATA'!$DZ$9:$MG$41,START!$B$3,($L57+2))*-44/12)+($I57*INDEX('DEFAULT DATA'!$DZ$9:$MG$41,START!$B$3,($L57+3))*-44/12)+($J57*INDEX('DEFAULT DATA'!$DZ$9:$MG$41,START!$B$3,($L57+4))*-44/12)+($K57*INDEX('DEFAULT DATA'!$DZ$9:$MG$41,START!$B$3,($L57+5))*-44/12)</f>
        <v>0</v>
      </c>
      <c r="S57" s="221">
        <f>($I57*INDEX('DEFAULT DATA'!$DZ$9:$MG$41,START!$B$3,($L57))*-44/12)+($I57*INDEX('DEFAULT DATA'!$DZ$9:$MG$41,START!$B$3,($L57+1))*-44/12)+($I57*INDEX('DEFAULT DATA'!$DZ$9:$MG$41,START!$B$3,($L57+2))*-44/12)+($I57*INDEX('DEFAULT DATA'!$DZ$9:$MG$41,START!$B$3,($L57+3))*-44/12)+($J57*INDEX('DEFAULT DATA'!$DZ$9:$MG$41,START!$B$3,($L57+4))*-44/12)+($K57*INDEX('DEFAULT DATA'!$DZ$9:$MG$41,START!$B$3,($L57+5))*-44/12)</f>
        <v>0</v>
      </c>
      <c r="T57" s="221">
        <f>($I57*INDEX('DEFAULT DATA'!$DZ$9:$MG$41,START!$B$3,($L57))*-44/12)+($I57*INDEX('DEFAULT DATA'!$DZ$9:$MG$41,START!$B$3,($L57+1))*-44/12)+($I57*INDEX('DEFAULT DATA'!$DZ$9:$MG$41,START!$B$3,($L57+2))*-44/12)+($I57*INDEX('DEFAULT DATA'!$DZ$9:$MG$41,START!$B$3,($L57+3))*-44/12)+($J57*INDEX('DEFAULT DATA'!$DZ$9:$MG$41,START!$B$3,($L57+4))*-44/12)+($K57*INDEX('DEFAULT DATA'!$DZ$9:$MG$41,START!$B$3,($L57+5))*-44/12)</f>
        <v>0</v>
      </c>
      <c r="U57" s="221">
        <f>($I57*INDEX('DEFAULT DATA'!$DZ$9:$MG$41,START!$B$3,($L57))*-44/12)+($I57*INDEX('DEFAULT DATA'!$DZ$9:$MG$41,START!$B$3,($L57+1))*-44/12)+($I57*INDEX('DEFAULT DATA'!$DZ$9:$MG$41,START!$B$3,($L57+2))*-44/12)+($I57*INDEX('DEFAULT DATA'!$DZ$9:$MG$41,START!$B$3,($L57+3))*-44/12)+($J57*INDEX('DEFAULT DATA'!$DZ$9:$MG$41,START!$B$3,($L57+4))*-44/12)+($K57*INDEX('DEFAULT DATA'!$DZ$9:$MG$41,START!$B$3,($L57+5))*-44/12)</f>
        <v>0</v>
      </c>
      <c r="V57" s="221">
        <f>($I57*INDEX('DEFAULT DATA'!$DZ$9:$MG$41,START!$B$3,($L57))*-44/12)+($I57*INDEX('DEFAULT DATA'!$DZ$9:$MG$41,START!$B$3,($L57+1))*-44/12)+($I57*INDEX('DEFAULT DATA'!$DZ$9:$MG$41,START!$B$3,($L57+2))*-44/12)+($I57*INDEX('DEFAULT DATA'!$DZ$9:$MG$41,START!$B$3,($L57+3))*-44/12)+($J57*INDEX('DEFAULT DATA'!$DZ$9:$MG$41,START!$B$3,($L57+4))*-44/12)+($K57*INDEX('DEFAULT DATA'!$DZ$9:$MG$41,START!$B$3,($L57+5))*-44/12)</f>
        <v>0</v>
      </c>
      <c r="W57" s="221">
        <f>($I57*INDEX('DEFAULT DATA'!$DZ$9:$MG$41,START!$B$3,($L57))*-44/12)+($I57*INDEX('DEFAULT DATA'!$DZ$9:$MG$41,START!$B$3,($L57+1))*-44/12)+($I57*INDEX('DEFAULT DATA'!$DZ$9:$MG$41,START!$B$3,($L57+2))*-44/12)+($I57*INDEX('DEFAULT DATA'!$DZ$9:$MG$41,START!$B$3,($L57+3))*-44/12)+($J57*INDEX('DEFAULT DATA'!$DZ$9:$MG$41,START!$B$3,($L57+4))*-44/12)+($K57*INDEX('DEFAULT DATA'!$DZ$9:$MG$41,START!$B$3,($L57+5))*-44/12)</f>
        <v>0</v>
      </c>
      <c r="X57" s="221">
        <f>($I57*INDEX('DEFAULT DATA'!$DZ$9:$MG$41,START!$B$3,($L57))*-44/12)+($I57*INDEX('DEFAULT DATA'!$DZ$9:$MG$41,START!$B$3,($L57+1))*-44/12)+($I57*INDEX('DEFAULT DATA'!$DZ$9:$MG$41,START!$B$3,($L57+2))*-44/12)+($I57*INDEX('DEFAULT DATA'!$DZ$9:$MG$41,START!$B$3,($L57+3))*-44/12)+($J57*INDEX('DEFAULT DATA'!$DZ$9:$MG$41,START!$B$3,($L57+4))*-44/12)+($K57*INDEX('DEFAULT DATA'!$DZ$9:$MG$41,START!$B$3,($L57+5))*-44/12)</f>
        <v>0</v>
      </c>
      <c r="Y57" s="221">
        <f>($I57*INDEX('DEFAULT DATA'!$DZ$9:$MG$41,START!$B$3,($L57))*-44/12)+($I57*INDEX('DEFAULT DATA'!$DZ$9:$MG$41,START!$B$3,($L57+1))*-44/12)+($I57*INDEX('DEFAULT DATA'!$DZ$9:$MG$41,START!$B$3,($L57+2))*-44/12)+($I57*INDEX('DEFAULT DATA'!$DZ$9:$MG$41,START!$B$3,($L57+3))*-44/12)+($J57*INDEX('DEFAULT DATA'!$DZ$9:$MG$41,START!$B$3,($L57+4))*-44/12)+($K57*INDEX('DEFAULT DATA'!$DZ$9:$MG$41,START!$B$3,($L57+5))*-44/12)</f>
        <v>0</v>
      </c>
      <c r="Z57" s="221">
        <f>($I57*INDEX('DEFAULT DATA'!$DZ$9:$MG$41,START!$B$3,($L57))*-44/12)+($I57*INDEX('DEFAULT DATA'!$DZ$9:$MG$41,START!$B$3,($L57+1))*-44/12)+($I57*INDEX('DEFAULT DATA'!$DZ$9:$MG$41,START!$B$3,($L57+2))*-44/12)+($I57*INDEX('DEFAULT DATA'!$DZ$9:$MG$41,START!$B$3,($L57+3))*-44/12)+($J57*INDEX('DEFAULT DATA'!$DZ$9:$MG$41,START!$B$3,($L57+4))*-44/12)+($K57*INDEX('DEFAULT DATA'!$DZ$9:$MG$41,START!$B$3,($L57+5))*-44/12)</f>
        <v>0</v>
      </c>
      <c r="AA57" s="221">
        <f>($I57*INDEX('DEFAULT DATA'!$DZ$9:$MG$41,START!$B$3,($L57))*-44/12)+($I57*INDEX('DEFAULT DATA'!$DZ$9:$MG$41,START!$B$3,($L57+1))*-44/12)+($I57*INDEX('DEFAULT DATA'!$DZ$9:$MG$41,START!$B$3,($L57+2))*-44/12)+($I57*INDEX('DEFAULT DATA'!$DZ$9:$MG$41,START!$B$3,($L57+3))*-44/12)+($J57*INDEX('DEFAULT DATA'!$DZ$9:$MG$41,START!$B$3,($L57+4))*-44/12)+($K57*INDEX('DEFAULT DATA'!$DZ$9:$MG$41,START!$B$3,($L57+5))*-44/12)</f>
        <v>0</v>
      </c>
      <c r="AB57" s="221">
        <f>($I57*INDEX('DEFAULT DATA'!$DZ$9:$MG$41,START!$B$3,($L57))*-44/12)+($I57*INDEX('DEFAULT DATA'!$DZ$9:$MG$41,START!$B$3,($L57+1))*-44/12)+($I57*INDEX('DEFAULT DATA'!$DZ$9:$MG$41,START!$B$3,($L57+2))*-44/12)+($I57*INDEX('DEFAULT DATA'!$DZ$9:$MG$41,START!$B$3,($L57+3))*-44/12)+($J57*INDEX('DEFAULT DATA'!$DZ$9:$MG$41,START!$B$3,($L57+4))*-44/12)+($K57*INDEX('DEFAULT DATA'!$DZ$9:$MG$41,START!$B$3,($L57+5))*-44/12)</f>
        <v>0</v>
      </c>
      <c r="AC57" s="221">
        <f>($I57*INDEX('DEFAULT DATA'!$DZ$9:$MG$41,START!$B$3,($L57))*-44/12)+($I57*INDEX('DEFAULT DATA'!$DZ$9:$MG$41,START!$B$3,($L57+1))*-44/12)+($I57*INDEX('DEFAULT DATA'!$DZ$9:$MG$41,START!$B$3,($L57+2))*-44/12)+($I57*INDEX('DEFAULT DATA'!$DZ$9:$MG$41,START!$B$3,($L57+3))*-44/12)+($J57*INDEX('DEFAULT DATA'!$DZ$9:$MG$41,START!$B$3,($L57+4))*-44/12)+($K57*INDEX('DEFAULT DATA'!$DZ$9:$MG$41,START!$B$3,($L57+5))*-44/12)</f>
        <v>0</v>
      </c>
      <c r="AD57" s="221">
        <f>($I57*INDEX('DEFAULT DATA'!$DZ$9:$MG$41,START!$B$3,($L57))*-44/12)+($I57*INDEX('DEFAULT DATA'!$DZ$9:$MG$41,START!$B$3,($L57+1))*-44/12)+($I57*INDEX('DEFAULT DATA'!$DZ$9:$MG$41,START!$B$3,($L57+2))*-44/12)+($I57*INDEX('DEFAULT DATA'!$DZ$9:$MG$41,START!$B$3,($L57+3))*-44/12)+($J57*INDEX('DEFAULT DATA'!$DZ$9:$MG$41,START!$B$3,($L57+4))*-44/12)+($K57*INDEX('DEFAULT DATA'!$DZ$9:$MG$41,START!$B$3,($L57+5))*-44/12)</f>
        <v>0</v>
      </c>
      <c r="AE57" s="221">
        <f>($I57*INDEX('DEFAULT DATA'!$DZ$9:$MG$41,START!$B$3,($L57))*-44/12)+($I57*INDEX('DEFAULT DATA'!$DZ$9:$MG$41,START!$B$3,($L57+1))*-44/12)+($I57*INDEX('DEFAULT DATA'!$DZ$9:$MG$41,START!$B$3,($L57+2))*-44/12)+($I57*INDEX('DEFAULT DATA'!$DZ$9:$MG$41,START!$B$3,($L57+3))*-44/12)+($J57*INDEX('DEFAULT DATA'!$DZ$9:$MG$41,START!$B$3,($L57+4))*-44/12)+($K57*INDEX('DEFAULT DATA'!$DZ$9:$MG$41,START!$B$3,($L57+5))*-44/12)</f>
        <v>0</v>
      </c>
      <c r="AF57" s="221">
        <f>($I57*INDEX('DEFAULT DATA'!$DZ$9:$MG$41,START!$B$3,($L57))*-44/12)+($I57*INDEX('DEFAULT DATA'!$DZ$9:$MG$41,START!$B$3,($L57+1))*-44/12)+($I57*INDEX('DEFAULT DATA'!$DZ$9:$MG$41,START!$B$3,($L57+2))*-44/12)+($I57*INDEX('DEFAULT DATA'!$DZ$9:$MG$41,START!$B$3,($L57+3))*-44/12)+($J57*INDEX('DEFAULT DATA'!$DZ$9:$MG$41,START!$B$3,($L57+4))*-44/12)+($K57*INDEX('DEFAULT DATA'!$DZ$9:$MG$41,START!$B$3,($L57+5))*-44/12)</f>
        <v>0</v>
      </c>
      <c r="AG57" s="221">
        <f>($I57*INDEX('DEFAULT DATA'!$DZ$9:$MG$41,START!$B$3,($L57))*-44/12)+($I57*INDEX('DEFAULT DATA'!$DZ$9:$MG$41,START!$B$3,($L57+1))*-44/12)+($I57*INDEX('DEFAULT DATA'!$DZ$9:$MG$41,START!$B$3,($L57+2))*-44/12)+($I57*INDEX('DEFAULT DATA'!$DZ$9:$MG$41,START!$B$3,($L57+3))*-44/12)+($J57*INDEX('DEFAULT DATA'!$DZ$9:$MG$41,START!$B$3,($L57+4))*-44/12)+($K57*INDEX('DEFAULT DATA'!$DZ$9:$MG$41,START!$B$3,($L57+5))*-44/12)</f>
        <v>0</v>
      </c>
      <c r="AH57" s="221">
        <f>($I57*INDEX('DEFAULT DATA'!$DZ$9:$MG$41,START!$B$3,($L57))*-44/12)+($I57*INDEX('DEFAULT DATA'!$DZ$9:$MG$41,START!$B$3,($L57+1))*-44/12)+($I57*INDEX('DEFAULT DATA'!$DZ$9:$MG$41,START!$B$3,($L57+2))*-44/12)+($I57*INDEX('DEFAULT DATA'!$DZ$9:$MG$41,START!$B$3,($L57+3))*-44/12)+($J57*INDEX('DEFAULT DATA'!$DZ$9:$MG$41,START!$B$3,($L57+4))*-44/12)+($K57*INDEX('DEFAULT DATA'!$DZ$9:$MG$41,START!$B$3,($L57+5))*-44/12)</f>
        <v>0</v>
      </c>
      <c r="AI57" s="221">
        <f>(($I57*INDEX('DEFAULT DATA'!$MB$9:$MG$41,START!$B$3,1)*-44/12)+($I57*INDEX('DEFAULT DATA'!$MB$9:$MG$41,START!$B$3,2)*-44/12)+($I57*INDEX('DEFAULT DATA'!$MB$9:$MG$41,START!$B$3,3)*-44/12)+($I57*INDEX('DEFAULT DATA'!$MB$9:$MG$41,START!$B$3,4)*-44/12)+($J57*INDEX('DEFAULT DATA'!$MB$9:$MG$41,START!$B$3,5)*-44/12)+($K57*INDEX('DEFAULT DATA'!$MB$9:$MG$41,START!$B$3,6)*-44/12))</f>
        <v>0</v>
      </c>
      <c r="AJ57" s="221">
        <f>(($I57*INDEX('DEFAULT DATA'!$MB$9:$MG$41,START!$B$3,1)*-44/12)+($I57*INDEX('DEFAULT DATA'!$MB$9:$MG$41,START!$B$3,2)*-44/12)+($I57*INDEX('DEFAULT DATA'!$MB$9:$MG$41,START!$B$3,3)*-44/12)+($I57*INDEX('DEFAULT DATA'!$MB$9:$MG$41,START!$B$3,4)*-44/12)+($J57*INDEX('DEFAULT DATA'!$MB$9:$MG$41,START!$B$3,5)*-44/12)+($K57*INDEX('DEFAULT DATA'!$MB$9:$MG$41,START!$B$3,6)*-44/12))</f>
        <v>0</v>
      </c>
      <c r="AK57" s="221">
        <f>(($I57*INDEX('DEFAULT DATA'!$MB$9:$MG$41,START!$B$3,1)*-44/12)+($I57*INDEX('DEFAULT DATA'!$MB$9:$MG$41,START!$B$3,2)*-44/12)+($I57*INDEX('DEFAULT DATA'!$MB$9:$MG$41,START!$B$3,3)*-44/12)+($I57*INDEX('DEFAULT DATA'!$MB$9:$MG$41,START!$B$3,4)*-44/12)+($J57*INDEX('DEFAULT DATA'!$MB$9:$MG$41,START!$B$3,5)*-44/12)+($K57*INDEX('DEFAULT DATA'!$MB$9:$MG$41,START!$B$3,6)*-44/12))</f>
        <v>0</v>
      </c>
      <c r="AL57" s="221">
        <f>(($I57*INDEX('DEFAULT DATA'!$MB$9:$MG$41,START!$B$3,1)*-44/12)+($I57*INDEX('DEFAULT DATA'!$MB$9:$MG$41,START!$B$3,2)*-44/12)+($I57*INDEX('DEFAULT DATA'!$MB$9:$MG$41,START!$B$3,3)*-44/12)+($I57*INDEX('DEFAULT DATA'!$MB$9:$MG$41,START!$B$3,4)*-44/12)+($J57*INDEX('DEFAULT DATA'!$MB$9:$MG$41,START!$B$3,5)*-44/12)+($K57*INDEX('DEFAULT DATA'!$MB$9:$MG$41,START!$B$3,6)*-44/12))</f>
        <v>0</v>
      </c>
      <c r="AM57" s="221">
        <f>(($I57*INDEX('DEFAULT DATA'!$MB$9:$MG$41,START!$B$3,1)*-44/12)+($I57*INDEX('DEFAULT DATA'!$MB$9:$MG$41,START!$B$3,2)*-44/12)+($I57*INDEX('DEFAULT DATA'!$MB$9:$MG$41,START!$B$3,3)*-44/12)+($I57*INDEX('DEFAULT DATA'!$MB$9:$MG$41,START!$B$3,4)*-44/12)+($J57*INDEX('DEFAULT DATA'!$MB$9:$MG$41,START!$B$3,5)*-44/12)+($K57*INDEX('DEFAULT DATA'!$MB$9:$MG$41,START!$B$3,6)*-44/12))</f>
        <v>0</v>
      </c>
      <c r="AN57" s="221">
        <f>(($I57*INDEX('DEFAULT DATA'!$MB$9:$MG$41,START!$B$3,1)*-44/12)+($I57*INDEX('DEFAULT DATA'!$MB$9:$MG$41,START!$B$3,2)*-44/12)+($I57*INDEX('DEFAULT DATA'!$MB$9:$MG$41,START!$B$3,3)*-44/12)+($I57*INDEX('DEFAULT DATA'!$MB$9:$MG$41,START!$B$3,4)*-44/12)+($J57*INDEX('DEFAULT DATA'!$MB$9:$MG$41,START!$B$3,5)*-44/12)+($K57*INDEX('DEFAULT DATA'!$MB$9:$MG$41,START!$B$3,6)*-44/12))</f>
        <v>0</v>
      </c>
      <c r="AO57" s="221">
        <f>(($I57*INDEX('DEFAULT DATA'!$MB$9:$MG$41,START!$B$3,1)*-44/12)+($I57*INDEX('DEFAULT DATA'!$MB$9:$MG$41,START!$B$3,2)*-44/12)+($I57*INDEX('DEFAULT DATA'!$MB$9:$MG$41,START!$B$3,3)*-44/12)+($I57*INDEX('DEFAULT DATA'!$MB$9:$MG$41,START!$B$3,4)*-44/12)+($J57*INDEX('DEFAULT DATA'!$MB$9:$MG$41,START!$B$3,5)*-44/12)+($K57*INDEX('DEFAULT DATA'!$MB$9:$MG$41,START!$B$3,6)*-44/12))</f>
        <v>0</v>
      </c>
      <c r="AP57" s="221">
        <f>(($I57*INDEX('DEFAULT DATA'!$MB$9:$MG$41,START!$B$3,1)*-44/12)+($I57*INDEX('DEFAULT DATA'!$MB$9:$MG$41,START!$B$3,2)*-44/12)+($I57*INDEX('DEFAULT DATA'!$MB$9:$MG$41,START!$B$3,3)*-44/12)+($I57*INDEX('DEFAULT DATA'!$MB$9:$MG$41,START!$B$3,4)*-44/12)+($J57*INDEX('DEFAULT DATA'!$MB$9:$MG$41,START!$B$3,5)*-44/12)+($K57*INDEX('DEFAULT DATA'!$MB$9:$MG$41,START!$B$3,6)*-44/12))</f>
        <v>0</v>
      </c>
      <c r="AQ57" s="221">
        <f>(($I57*INDEX('DEFAULT DATA'!$MB$9:$MG$41,START!$B$3,1)*-44/12)+($I57*INDEX('DEFAULT DATA'!$MB$9:$MG$41,START!$B$3,2)*-44/12)+($I57*INDEX('DEFAULT DATA'!$MB$9:$MG$41,START!$B$3,3)*-44/12)+($I57*INDEX('DEFAULT DATA'!$MB$9:$MG$41,START!$B$3,4)*-44/12)+($J57*INDEX('DEFAULT DATA'!$MB$9:$MG$41,START!$B$3,5)*-44/12)+($K57*INDEX('DEFAULT DATA'!$MB$9:$MG$41,START!$B$3,6)*-44/12))</f>
        <v>0</v>
      </c>
      <c r="AR57" s="552">
        <f>(($I57*INDEX('DEFAULT DATA'!$MB$9:$MG$41,START!$B$3,1)*-44/12)+($I57*INDEX('DEFAULT DATA'!$MB$9:$MG$41,START!$B$3,2)*-44/12)+($I57*INDEX('DEFAULT DATA'!$MB$9:$MG$41,START!$B$3,3)*-44/12)+($I57*INDEX('DEFAULT DATA'!$MB$9:$MG$41,START!$B$3,4)*-44/12)+($J57*INDEX('DEFAULT DATA'!$MB$9:$MG$41,START!$B$3,5)*-44/12)+($K57*INDEX('DEFAULT DATA'!$MB$9:$MG$41,START!$B$3,6)*-44/12))</f>
        <v>0</v>
      </c>
    </row>
    <row r="58" spans="1:44" ht="20.100000000000001" customHeight="1" thickBot="1">
      <c r="A58" s="501" t="s">
        <v>1018</v>
      </c>
      <c r="B58" s="65"/>
      <c r="C58" s="65"/>
      <c r="D58" s="503">
        <v>2</v>
      </c>
      <c r="E58" s="505">
        <v>1</v>
      </c>
      <c r="F58" s="504">
        <v>1</v>
      </c>
      <c r="G58" s="65">
        <v>1</v>
      </c>
      <c r="H58" s="44"/>
      <c r="I58" s="515">
        <f t="shared" si="36"/>
        <v>2</v>
      </c>
      <c r="J58" s="516">
        <f t="shared" si="37"/>
        <v>1</v>
      </c>
      <c r="K58" s="516">
        <f t="shared" si="38"/>
        <v>1</v>
      </c>
      <c r="L58" s="385">
        <f t="shared" si="40"/>
        <v>145</v>
      </c>
      <c r="M58" s="536" t="s">
        <v>950</v>
      </c>
      <c r="N58" s="540">
        <f t="shared" si="39"/>
        <v>2022</v>
      </c>
      <c r="O58" s="553">
        <f>($I58*INDEX('DEFAULT DATA'!$DZ$9:$MG$41,START!$B$3,($L58))*-44/12)+($I58*INDEX('DEFAULT DATA'!$DZ$9:$MG$41,START!$B$3,($L58+1))*-44/12)+($I58*INDEX('DEFAULT DATA'!$DZ$9:$MG$41,START!$B$3,($L58+2))*-44/12)+($I58*INDEX('DEFAULT DATA'!$DZ$9:$MG$41,START!$B$3,($L58+3))*-44/12)+($J58*INDEX('DEFAULT DATA'!$DZ$9:$MG$41,START!$B$3,($L58+4))*-44/12)+($K58*INDEX('DEFAULT DATA'!$DZ$9:$MG$41,START!$B$3,($L58+5))*-44/12)</f>
        <v>6.0627476064897872</v>
      </c>
      <c r="P58" s="553">
        <f>($I58*INDEX('DEFAULT DATA'!$DZ$9:$MG$41,START!$B$3,($L58))*-44/12)+($I58*INDEX('DEFAULT DATA'!$DZ$9:$MG$41,START!$B$3,($L58+1))*-44/12)+($I58*INDEX('DEFAULT DATA'!$DZ$9:$MG$41,START!$B$3,($L58+2))*-44/12)+($I58*INDEX('DEFAULT DATA'!$DZ$9:$MG$41,START!$B$3,($L58+3))*-44/12)+($J58*INDEX('DEFAULT DATA'!$DZ$9:$MG$41,START!$B$3,($L58+4))*-44/12)+($K58*INDEX('DEFAULT DATA'!$DZ$9:$MG$41,START!$B$3,($L58+5))*-44/12)</f>
        <v>6.0627476064897872</v>
      </c>
      <c r="Q58" s="553">
        <f>($I58*INDEX('DEFAULT DATA'!$DZ$9:$MG$41,START!$B$3,($L58))*-44/12)+($I58*INDEX('DEFAULT DATA'!$DZ$9:$MG$41,START!$B$3,($L58+1))*-44/12)+($I58*INDEX('DEFAULT DATA'!$DZ$9:$MG$41,START!$B$3,($L58+2))*-44/12)+($I58*INDEX('DEFAULT DATA'!$DZ$9:$MG$41,START!$B$3,($L58+3))*-44/12)+($J58*INDEX('DEFAULT DATA'!$DZ$9:$MG$41,START!$B$3,($L58+4))*-44/12)+($K58*INDEX('DEFAULT DATA'!$DZ$9:$MG$41,START!$B$3,($L58+5))*-44/12)</f>
        <v>6.0627476064897872</v>
      </c>
      <c r="R58" s="553">
        <f>($I58*INDEX('DEFAULT DATA'!$DZ$9:$MG$41,START!$B$3,($L58))*-44/12)+($I58*INDEX('DEFAULT DATA'!$DZ$9:$MG$41,START!$B$3,($L58+1))*-44/12)+($I58*INDEX('DEFAULT DATA'!$DZ$9:$MG$41,START!$B$3,($L58+2))*-44/12)+($I58*INDEX('DEFAULT DATA'!$DZ$9:$MG$41,START!$B$3,($L58+3))*-44/12)+($J58*INDEX('DEFAULT DATA'!$DZ$9:$MG$41,START!$B$3,($L58+4))*-44/12)+($K58*INDEX('DEFAULT DATA'!$DZ$9:$MG$41,START!$B$3,($L58+5))*-44/12)</f>
        <v>6.0627476064897872</v>
      </c>
      <c r="S58" s="553">
        <f>($I58*INDEX('DEFAULT DATA'!$DZ$9:$MG$41,START!$B$3,($L58))*-44/12)+($I58*INDEX('DEFAULT DATA'!$DZ$9:$MG$41,START!$B$3,($L58+1))*-44/12)+($I58*INDEX('DEFAULT DATA'!$DZ$9:$MG$41,START!$B$3,($L58+2))*-44/12)+($I58*INDEX('DEFAULT DATA'!$DZ$9:$MG$41,START!$B$3,($L58+3))*-44/12)+($J58*INDEX('DEFAULT DATA'!$DZ$9:$MG$41,START!$B$3,($L58+4))*-44/12)+($K58*INDEX('DEFAULT DATA'!$DZ$9:$MG$41,START!$B$3,($L58+5))*-44/12)</f>
        <v>6.0627476064897872</v>
      </c>
      <c r="T58" s="553">
        <f>($I58*INDEX('DEFAULT DATA'!$DZ$9:$MG$41,START!$B$3,($L58))*-44/12)+($I58*INDEX('DEFAULT DATA'!$DZ$9:$MG$41,START!$B$3,($L58+1))*-44/12)+($I58*INDEX('DEFAULT DATA'!$DZ$9:$MG$41,START!$B$3,($L58+2))*-44/12)+($I58*INDEX('DEFAULT DATA'!$DZ$9:$MG$41,START!$B$3,($L58+3))*-44/12)+($J58*INDEX('DEFAULT DATA'!$DZ$9:$MG$41,START!$B$3,($L58+4))*-44/12)+($K58*INDEX('DEFAULT DATA'!$DZ$9:$MG$41,START!$B$3,($L58+5))*-44/12)</f>
        <v>6.0627476064897872</v>
      </c>
      <c r="U58" s="553">
        <f>($I58*INDEX('DEFAULT DATA'!$DZ$9:$MG$41,START!$B$3,($L58))*-44/12)+($I58*INDEX('DEFAULT DATA'!$DZ$9:$MG$41,START!$B$3,($L58+1))*-44/12)+($I58*INDEX('DEFAULT DATA'!$DZ$9:$MG$41,START!$B$3,($L58+2))*-44/12)+($I58*INDEX('DEFAULT DATA'!$DZ$9:$MG$41,START!$B$3,($L58+3))*-44/12)+($J58*INDEX('DEFAULT DATA'!$DZ$9:$MG$41,START!$B$3,($L58+4))*-44/12)+($K58*INDEX('DEFAULT DATA'!$DZ$9:$MG$41,START!$B$3,($L58+5))*-44/12)</f>
        <v>6.0627476064897872</v>
      </c>
      <c r="V58" s="553">
        <f>($I58*INDEX('DEFAULT DATA'!$DZ$9:$MG$41,START!$B$3,($L58))*-44/12)+($I58*INDEX('DEFAULT DATA'!$DZ$9:$MG$41,START!$B$3,($L58+1))*-44/12)+($I58*INDEX('DEFAULT DATA'!$DZ$9:$MG$41,START!$B$3,($L58+2))*-44/12)+($I58*INDEX('DEFAULT DATA'!$DZ$9:$MG$41,START!$B$3,($L58+3))*-44/12)+($J58*INDEX('DEFAULT DATA'!$DZ$9:$MG$41,START!$B$3,($L58+4))*-44/12)+($K58*INDEX('DEFAULT DATA'!$DZ$9:$MG$41,START!$B$3,($L58+5))*-44/12)</f>
        <v>6.0627476064897872</v>
      </c>
      <c r="W58" s="553">
        <f>($I58*INDEX('DEFAULT DATA'!$DZ$9:$MG$41,START!$B$3,($L58))*-44/12)+($I58*INDEX('DEFAULT DATA'!$DZ$9:$MG$41,START!$B$3,($L58+1))*-44/12)+($I58*INDEX('DEFAULT DATA'!$DZ$9:$MG$41,START!$B$3,($L58+2))*-44/12)+($I58*INDEX('DEFAULT DATA'!$DZ$9:$MG$41,START!$B$3,($L58+3))*-44/12)+($J58*INDEX('DEFAULT DATA'!$DZ$9:$MG$41,START!$B$3,($L58+4))*-44/12)+($K58*INDEX('DEFAULT DATA'!$DZ$9:$MG$41,START!$B$3,($L58+5))*-44/12)</f>
        <v>6.0627476064897872</v>
      </c>
      <c r="X58" s="553">
        <f>($I58*INDEX('DEFAULT DATA'!$DZ$9:$MG$41,START!$B$3,($L58))*-44/12)+($I58*INDEX('DEFAULT DATA'!$DZ$9:$MG$41,START!$B$3,($L58+1))*-44/12)+($I58*INDEX('DEFAULT DATA'!$DZ$9:$MG$41,START!$B$3,($L58+2))*-44/12)+($I58*INDEX('DEFAULT DATA'!$DZ$9:$MG$41,START!$B$3,($L58+3))*-44/12)+($J58*INDEX('DEFAULT DATA'!$DZ$9:$MG$41,START!$B$3,($L58+4))*-44/12)+($K58*INDEX('DEFAULT DATA'!$DZ$9:$MG$41,START!$B$3,($L58+5))*-44/12)</f>
        <v>6.0627476064897872</v>
      </c>
      <c r="Y58" s="553">
        <f>($I58*INDEX('DEFAULT DATA'!$DZ$9:$MG$41,START!$B$3,($L58))*-44/12)+($I58*INDEX('DEFAULT DATA'!$DZ$9:$MG$41,START!$B$3,($L58+1))*-44/12)+($I58*INDEX('DEFAULT DATA'!$DZ$9:$MG$41,START!$B$3,($L58+2))*-44/12)+($I58*INDEX('DEFAULT DATA'!$DZ$9:$MG$41,START!$B$3,($L58+3))*-44/12)+($J58*INDEX('DEFAULT DATA'!$DZ$9:$MG$41,START!$B$3,($L58+4))*-44/12)+($K58*INDEX('DEFAULT DATA'!$DZ$9:$MG$41,START!$B$3,($L58+5))*-44/12)</f>
        <v>6.0627476064897872</v>
      </c>
      <c r="Z58" s="553">
        <f>($I58*INDEX('DEFAULT DATA'!$DZ$9:$MG$41,START!$B$3,($L58))*-44/12)+($I58*INDEX('DEFAULT DATA'!$DZ$9:$MG$41,START!$B$3,($L58+1))*-44/12)+($I58*INDEX('DEFAULT DATA'!$DZ$9:$MG$41,START!$B$3,($L58+2))*-44/12)+($I58*INDEX('DEFAULT DATA'!$DZ$9:$MG$41,START!$B$3,($L58+3))*-44/12)+($J58*INDEX('DEFAULT DATA'!$DZ$9:$MG$41,START!$B$3,($L58+4))*-44/12)+($K58*INDEX('DEFAULT DATA'!$DZ$9:$MG$41,START!$B$3,($L58+5))*-44/12)</f>
        <v>6.0627476064897872</v>
      </c>
      <c r="AA58" s="553">
        <f>($I58*INDEX('DEFAULT DATA'!$DZ$9:$MG$41,START!$B$3,($L58))*-44/12)+($I58*INDEX('DEFAULT DATA'!$DZ$9:$MG$41,START!$B$3,($L58+1))*-44/12)+($I58*INDEX('DEFAULT DATA'!$DZ$9:$MG$41,START!$B$3,($L58+2))*-44/12)+($I58*INDEX('DEFAULT DATA'!$DZ$9:$MG$41,START!$B$3,($L58+3))*-44/12)+($J58*INDEX('DEFAULT DATA'!$DZ$9:$MG$41,START!$B$3,($L58+4))*-44/12)+($K58*INDEX('DEFAULT DATA'!$DZ$9:$MG$41,START!$B$3,($L58+5))*-44/12)</f>
        <v>6.0627476064897872</v>
      </c>
      <c r="AB58" s="553">
        <f>($I58*INDEX('DEFAULT DATA'!$DZ$9:$MG$41,START!$B$3,($L58))*-44/12)+($I58*INDEX('DEFAULT DATA'!$DZ$9:$MG$41,START!$B$3,($L58+1))*-44/12)+($I58*INDEX('DEFAULT DATA'!$DZ$9:$MG$41,START!$B$3,($L58+2))*-44/12)+($I58*INDEX('DEFAULT DATA'!$DZ$9:$MG$41,START!$B$3,($L58+3))*-44/12)+($J58*INDEX('DEFAULT DATA'!$DZ$9:$MG$41,START!$B$3,($L58+4))*-44/12)+($K58*INDEX('DEFAULT DATA'!$DZ$9:$MG$41,START!$B$3,($L58+5))*-44/12)</f>
        <v>6.0627476064897872</v>
      </c>
      <c r="AC58" s="553">
        <f>($I58*INDEX('DEFAULT DATA'!$DZ$9:$MG$41,START!$B$3,($L58))*-44/12)+($I58*INDEX('DEFAULT DATA'!$DZ$9:$MG$41,START!$B$3,($L58+1))*-44/12)+($I58*INDEX('DEFAULT DATA'!$DZ$9:$MG$41,START!$B$3,($L58+2))*-44/12)+($I58*INDEX('DEFAULT DATA'!$DZ$9:$MG$41,START!$B$3,($L58+3))*-44/12)+($J58*INDEX('DEFAULT DATA'!$DZ$9:$MG$41,START!$B$3,($L58+4))*-44/12)+($K58*INDEX('DEFAULT DATA'!$DZ$9:$MG$41,START!$B$3,($L58+5))*-44/12)</f>
        <v>6.0627476064897872</v>
      </c>
      <c r="AD58" s="553">
        <f>($I58*INDEX('DEFAULT DATA'!$DZ$9:$MG$41,START!$B$3,($L58))*-44/12)+($I58*INDEX('DEFAULT DATA'!$DZ$9:$MG$41,START!$B$3,($L58+1))*-44/12)+($I58*INDEX('DEFAULT DATA'!$DZ$9:$MG$41,START!$B$3,($L58+2))*-44/12)+($I58*INDEX('DEFAULT DATA'!$DZ$9:$MG$41,START!$B$3,($L58+3))*-44/12)+($J58*INDEX('DEFAULT DATA'!$DZ$9:$MG$41,START!$B$3,($L58+4))*-44/12)+($K58*INDEX('DEFAULT DATA'!$DZ$9:$MG$41,START!$B$3,($L58+5))*-44/12)</f>
        <v>6.0627476064897872</v>
      </c>
      <c r="AE58" s="553">
        <f>($I58*INDEX('DEFAULT DATA'!$DZ$9:$MG$41,START!$B$3,($L58))*-44/12)+($I58*INDEX('DEFAULT DATA'!$DZ$9:$MG$41,START!$B$3,($L58+1))*-44/12)+($I58*INDEX('DEFAULT DATA'!$DZ$9:$MG$41,START!$B$3,($L58+2))*-44/12)+($I58*INDEX('DEFAULT DATA'!$DZ$9:$MG$41,START!$B$3,($L58+3))*-44/12)+($J58*INDEX('DEFAULT DATA'!$DZ$9:$MG$41,START!$B$3,($L58+4))*-44/12)+($K58*INDEX('DEFAULT DATA'!$DZ$9:$MG$41,START!$B$3,($L58+5))*-44/12)</f>
        <v>6.0627476064897872</v>
      </c>
      <c r="AF58" s="553">
        <f>($I58*INDEX('DEFAULT DATA'!$DZ$9:$MG$41,START!$B$3,($L58))*-44/12)+($I58*INDEX('DEFAULT DATA'!$DZ$9:$MG$41,START!$B$3,($L58+1))*-44/12)+($I58*INDEX('DEFAULT DATA'!$DZ$9:$MG$41,START!$B$3,($L58+2))*-44/12)+($I58*INDEX('DEFAULT DATA'!$DZ$9:$MG$41,START!$B$3,($L58+3))*-44/12)+($J58*INDEX('DEFAULT DATA'!$DZ$9:$MG$41,START!$B$3,($L58+4))*-44/12)+($K58*INDEX('DEFAULT DATA'!$DZ$9:$MG$41,START!$B$3,($L58+5))*-44/12)</f>
        <v>6.0627476064897872</v>
      </c>
      <c r="AG58" s="553">
        <f>($I58*INDEX('DEFAULT DATA'!$DZ$9:$MG$41,START!$B$3,($L58))*-44/12)+($I58*INDEX('DEFAULT DATA'!$DZ$9:$MG$41,START!$B$3,($L58+1))*-44/12)+($I58*INDEX('DEFAULT DATA'!$DZ$9:$MG$41,START!$B$3,($L58+2))*-44/12)+($I58*INDEX('DEFAULT DATA'!$DZ$9:$MG$41,START!$B$3,($L58+3))*-44/12)+($J58*INDEX('DEFAULT DATA'!$DZ$9:$MG$41,START!$B$3,($L58+4))*-44/12)+($K58*INDEX('DEFAULT DATA'!$DZ$9:$MG$41,START!$B$3,($L58+5))*-44/12)</f>
        <v>6.0627476064897872</v>
      </c>
      <c r="AH58" s="553">
        <f>($I58*INDEX('DEFAULT DATA'!$DZ$9:$MG$41,START!$B$3,($L58))*-44/12)+($I58*INDEX('DEFAULT DATA'!$DZ$9:$MG$41,START!$B$3,($L58+1))*-44/12)+($I58*INDEX('DEFAULT DATA'!$DZ$9:$MG$41,START!$B$3,($L58+2))*-44/12)+($I58*INDEX('DEFAULT DATA'!$DZ$9:$MG$41,START!$B$3,($L58+3))*-44/12)+($J58*INDEX('DEFAULT DATA'!$DZ$9:$MG$41,START!$B$3,($L58+4))*-44/12)+($K58*INDEX('DEFAULT DATA'!$DZ$9:$MG$41,START!$B$3,($L58+5))*-44/12)</f>
        <v>6.0627476064897872</v>
      </c>
      <c r="AI58" s="553">
        <f>(($I58*INDEX('DEFAULT DATA'!$MB$9:$MG$41,START!$B$3,1)*-44/12)+($I58*INDEX('DEFAULT DATA'!$MB$9:$MG$41,START!$B$3,2)*-44/12)+($I58*INDEX('DEFAULT DATA'!$MB$9:$MG$41,START!$B$3,3)*-44/12)+($I58*INDEX('DEFAULT DATA'!$MB$9:$MG$41,START!$B$3,4)*-44/12)+($J58*INDEX('DEFAULT DATA'!$MB$9:$MG$41,START!$B$3,5)*-44/12)+($K58*INDEX('DEFAULT DATA'!$MB$9:$MG$41,START!$B$3,6)*-44/12))</f>
        <v>0</v>
      </c>
      <c r="AJ58" s="553">
        <f>(($I58*INDEX('DEFAULT DATA'!$MB$9:$MG$41,START!$B$3,1)*-44/12)+($I58*INDEX('DEFAULT DATA'!$MB$9:$MG$41,START!$B$3,2)*-44/12)+($I58*INDEX('DEFAULT DATA'!$MB$9:$MG$41,START!$B$3,3)*-44/12)+($I58*INDEX('DEFAULT DATA'!$MB$9:$MG$41,START!$B$3,4)*-44/12)+($J58*INDEX('DEFAULT DATA'!$MB$9:$MG$41,START!$B$3,5)*-44/12)+($K58*INDEX('DEFAULT DATA'!$MB$9:$MG$41,START!$B$3,6)*-44/12))</f>
        <v>0</v>
      </c>
      <c r="AK58" s="553">
        <f>(($I58*INDEX('DEFAULT DATA'!$MB$9:$MG$41,START!$B$3,1)*-44/12)+($I58*INDEX('DEFAULT DATA'!$MB$9:$MG$41,START!$B$3,2)*-44/12)+($I58*INDEX('DEFAULT DATA'!$MB$9:$MG$41,START!$B$3,3)*-44/12)+($I58*INDEX('DEFAULT DATA'!$MB$9:$MG$41,START!$B$3,4)*-44/12)+($J58*INDEX('DEFAULT DATA'!$MB$9:$MG$41,START!$B$3,5)*-44/12)+($K58*INDEX('DEFAULT DATA'!$MB$9:$MG$41,START!$B$3,6)*-44/12))</f>
        <v>0</v>
      </c>
      <c r="AL58" s="553">
        <f>(($I58*INDEX('DEFAULT DATA'!$MB$9:$MG$41,START!$B$3,1)*-44/12)+($I58*INDEX('DEFAULT DATA'!$MB$9:$MG$41,START!$B$3,2)*-44/12)+($I58*INDEX('DEFAULT DATA'!$MB$9:$MG$41,START!$B$3,3)*-44/12)+($I58*INDEX('DEFAULT DATA'!$MB$9:$MG$41,START!$B$3,4)*-44/12)+($J58*INDEX('DEFAULT DATA'!$MB$9:$MG$41,START!$B$3,5)*-44/12)+($K58*INDEX('DEFAULT DATA'!$MB$9:$MG$41,START!$B$3,6)*-44/12))</f>
        <v>0</v>
      </c>
      <c r="AM58" s="553">
        <f>(($I58*INDEX('DEFAULT DATA'!$MB$9:$MG$41,START!$B$3,1)*-44/12)+($I58*INDEX('DEFAULT DATA'!$MB$9:$MG$41,START!$B$3,2)*-44/12)+($I58*INDEX('DEFAULT DATA'!$MB$9:$MG$41,START!$B$3,3)*-44/12)+($I58*INDEX('DEFAULT DATA'!$MB$9:$MG$41,START!$B$3,4)*-44/12)+($J58*INDEX('DEFAULT DATA'!$MB$9:$MG$41,START!$B$3,5)*-44/12)+($K58*INDEX('DEFAULT DATA'!$MB$9:$MG$41,START!$B$3,6)*-44/12))</f>
        <v>0</v>
      </c>
      <c r="AN58" s="553">
        <f>(($I58*INDEX('DEFAULT DATA'!$MB$9:$MG$41,START!$B$3,1)*-44/12)+($I58*INDEX('DEFAULT DATA'!$MB$9:$MG$41,START!$B$3,2)*-44/12)+($I58*INDEX('DEFAULT DATA'!$MB$9:$MG$41,START!$B$3,3)*-44/12)+($I58*INDEX('DEFAULT DATA'!$MB$9:$MG$41,START!$B$3,4)*-44/12)+($J58*INDEX('DEFAULT DATA'!$MB$9:$MG$41,START!$B$3,5)*-44/12)+($K58*INDEX('DEFAULT DATA'!$MB$9:$MG$41,START!$B$3,6)*-44/12))</f>
        <v>0</v>
      </c>
      <c r="AO58" s="553">
        <f>(($I58*INDEX('DEFAULT DATA'!$MB$9:$MG$41,START!$B$3,1)*-44/12)+($I58*INDEX('DEFAULT DATA'!$MB$9:$MG$41,START!$B$3,2)*-44/12)+($I58*INDEX('DEFAULT DATA'!$MB$9:$MG$41,START!$B$3,3)*-44/12)+($I58*INDEX('DEFAULT DATA'!$MB$9:$MG$41,START!$B$3,4)*-44/12)+($J58*INDEX('DEFAULT DATA'!$MB$9:$MG$41,START!$B$3,5)*-44/12)+($K58*INDEX('DEFAULT DATA'!$MB$9:$MG$41,START!$B$3,6)*-44/12))</f>
        <v>0</v>
      </c>
      <c r="AP58" s="553">
        <f>(($I58*INDEX('DEFAULT DATA'!$MB$9:$MG$41,START!$B$3,1)*-44/12)+($I58*INDEX('DEFAULT DATA'!$MB$9:$MG$41,START!$B$3,2)*-44/12)+($I58*INDEX('DEFAULT DATA'!$MB$9:$MG$41,START!$B$3,3)*-44/12)+($I58*INDEX('DEFAULT DATA'!$MB$9:$MG$41,START!$B$3,4)*-44/12)+($J58*INDEX('DEFAULT DATA'!$MB$9:$MG$41,START!$B$3,5)*-44/12)+($K58*INDEX('DEFAULT DATA'!$MB$9:$MG$41,START!$B$3,6)*-44/12))</f>
        <v>0</v>
      </c>
      <c r="AQ58" s="553">
        <f>(($I58*INDEX('DEFAULT DATA'!$MB$9:$MG$41,START!$B$3,1)*-44/12)+($I58*INDEX('DEFAULT DATA'!$MB$9:$MG$41,START!$B$3,2)*-44/12)+($I58*INDEX('DEFAULT DATA'!$MB$9:$MG$41,START!$B$3,3)*-44/12)+($I58*INDEX('DEFAULT DATA'!$MB$9:$MG$41,START!$B$3,4)*-44/12)+($J58*INDEX('DEFAULT DATA'!$MB$9:$MG$41,START!$B$3,5)*-44/12)+($K58*INDEX('DEFAULT DATA'!$MB$9:$MG$41,START!$B$3,6)*-44/12))</f>
        <v>0</v>
      </c>
      <c r="AR58" s="554">
        <f>(($I58*INDEX('DEFAULT DATA'!$MB$9:$MG$41,START!$B$3,1)*-44/12)+($I58*INDEX('DEFAULT DATA'!$MB$9:$MG$41,START!$B$3,2)*-44/12)+($I58*INDEX('DEFAULT DATA'!$MB$9:$MG$41,START!$B$3,3)*-44/12)+($I58*INDEX('DEFAULT DATA'!$MB$9:$MG$41,START!$B$3,4)*-44/12)+($J58*INDEX('DEFAULT DATA'!$MB$9:$MG$41,START!$B$3,5)*-44/12)+($K58*INDEX('DEFAULT DATA'!$MB$9:$MG$41,START!$B$3,6)*-44/12))</f>
        <v>0</v>
      </c>
    </row>
    <row r="59" spans="1:44" ht="20.100000000000001" customHeight="1">
      <c r="A59" s="501" t="s">
        <v>1019</v>
      </c>
      <c r="B59" s="65"/>
      <c r="C59" s="65"/>
      <c r="D59" s="503">
        <v>2</v>
      </c>
      <c r="E59" s="505">
        <v>1</v>
      </c>
      <c r="F59" s="504">
        <v>1</v>
      </c>
      <c r="G59" s="65">
        <v>1</v>
      </c>
      <c r="H59" s="44"/>
      <c r="I59" s="382">
        <f t="shared" si="36"/>
        <v>2</v>
      </c>
      <c r="J59" s="555">
        <f t="shared" si="37"/>
        <v>1</v>
      </c>
      <c r="K59" s="555">
        <f t="shared" si="38"/>
        <v>1</v>
      </c>
      <c r="L59" s="383">
        <f t="shared" si="40"/>
        <v>151</v>
      </c>
      <c r="M59" s="537" t="s">
        <v>951</v>
      </c>
      <c r="N59" s="538">
        <f t="shared" si="39"/>
        <v>2022</v>
      </c>
      <c r="O59" s="550">
        <f>($I59*INDEX('DEFAULT DATA'!$DZ$9:$MG$41,START!$B$3,($L59))*-44/12)+($I59*INDEX('DEFAULT DATA'!$DZ$9:$MG$41,START!$B$3,($L59+1))*-44/12)+($I59*INDEX('DEFAULT DATA'!$DZ$9:$MG$41,START!$B$3,($L59+2))*-44/12)+($I59*INDEX('DEFAULT DATA'!$DZ$9:$MG$41,START!$B$3,($L59+3))*-44/12)+($J59*INDEX('DEFAULT DATA'!$DZ$9:$MG$41,START!$B$3,($L59+4))*-44/12)+($K59*INDEX('DEFAULT DATA'!$DZ$9:$MG$41,START!$B$3,($L59+5))*-44/12)</f>
        <v>742.2249163310961</v>
      </c>
      <c r="P59" s="550">
        <f>($J59*INDEX('DEFAULT DATA'!$DZ$9:$MG$41,START!$B$3,($L59+4))*-44/12)+($K59*INDEX('DEFAULT DATA'!$DZ$9:$MG$41,START!$B$3,($L59+5))*-44/12)</f>
        <v>6.3982496644295175</v>
      </c>
      <c r="Q59" s="550">
        <f>($J59*INDEX('DEFAULT DATA'!$DZ$9:$MG$41,START!$B$3,($L59+4))*-44/12)+($K59*INDEX('DEFAULT DATA'!$DZ$9:$MG$41,START!$B$3,($L59+5))*-44/12)</f>
        <v>6.3982496644295175</v>
      </c>
      <c r="R59" s="550">
        <f>($J59*INDEX('DEFAULT DATA'!$DZ$9:$MG$41,START!$B$3,($L59+4))*-44/12)+($K59*INDEX('DEFAULT DATA'!$DZ$9:$MG$41,START!$B$3,($L59+5))*-44/12)</f>
        <v>6.3982496644295175</v>
      </c>
      <c r="S59" s="550">
        <f>($J59*INDEX('DEFAULT DATA'!$DZ$9:$MG$41,START!$B$3,($L59+4))*-44/12)+($K59*INDEX('DEFAULT DATA'!$DZ$9:$MG$41,START!$B$3,($L59+5))*-44/12)</f>
        <v>6.3982496644295175</v>
      </c>
      <c r="T59" s="550">
        <f>($J59*INDEX('DEFAULT DATA'!$DZ$9:$MG$41,START!$B$3,($L59+4))*-44/12)+($K59*INDEX('DEFAULT DATA'!$DZ$9:$MG$41,START!$B$3,($L59+5))*-44/12)</f>
        <v>6.3982496644295175</v>
      </c>
      <c r="U59" s="550">
        <f>($J59*INDEX('DEFAULT DATA'!$DZ$9:$MG$41,START!$B$3,($L59+4))*-44/12)+($K59*INDEX('DEFAULT DATA'!$DZ$9:$MG$41,START!$B$3,($L59+5))*-44/12)</f>
        <v>6.3982496644295175</v>
      </c>
      <c r="V59" s="550">
        <f>($J59*INDEX('DEFAULT DATA'!$DZ$9:$MG$41,START!$B$3,($L59+4))*-44/12)+($K59*INDEX('DEFAULT DATA'!$DZ$9:$MG$41,START!$B$3,($L59+5))*-44/12)</f>
        <v>6.3982496644295175</v>
      </c>
      <c r="W59" s="550">
        <f>($J59*INDEX('DEFAULT DATA'!$DZ$9:$MG$41,START!$B$3,($L59+4))*-44/12)+($K59*INDEX('DEFAULT DATA'!$DZ$9:$MG$41,START!$B$3,($L59+5))*-44/12)</f>
        <v>6.3982496644295175</v>
      </c>
      <c r="X59" s="550">
        <f>($J59*INDEX('DEFAULT DATA'!$DZ$9:$MG$41,START!$B$3,($L59+4))*-44/12)+($K59*INDEX('DEFAULT DATA'!$DZ$9:$MG$41,START!$B$3,($L59+5))*-44/12)</f>
        <v>6.3982496644295175</v>
      </c>
      <c r="Y59" s="550">
        <f>($J59*INDEX('DEFAULT DATA'!$DZ$9:$MG$41,START!$B$3,($L59+4))*-44/12)+($K59*INDEX('DEFAULT DATA'!$DZ$9:$MG$41,START!$B$3,($L59+5))*-44/12)</f>
        <v>6.3982496644295175</v>
      </c>
      <c r="Z59" s="550">
        <f>($J59*INDEX('DEFAULT DATA'!$DZ$9:$MG$41,START!$B$3,($L59+4))*-44/12)+($K59*INDEX('DEFAULT DATA'!$DZ$9:$MG$41,START!$B$3,($L59+5))*-44/12)</f>
        <v>6.3982496644295175</v>
      </c>
      <c r="AA59" s="550">
        <f>($J59*INDEX('DEFAULT DATA'!$DZ$9:$MG$41,START!$B$3,($L59+4))*-44/12)+($K59*INDEX('DEFAULT DATA'!$DZ$9:$MG$41,START!$B$3,($L59+5))*-44/12)</f>
        <v>6.3982496644295175</v>
      </c>
      <c r="AB59" s="550">
        <f>($J59*INDEX('DEFAULT DATA'!$DZ$9:$MG$41,START!$B$3,($L59+4))*-44/12)+($K59*INDEX('DEFAULT DATA'!$DZ$9:$MG$41,START!$B$3,($L59+5))*-44/12)</f>
        <v>6.3982496644295175</v>
      </c>
      <c r="AC59" s="550">
        <f>($J59*INDEX('DEFAULT DATA'!$DZ$9:$MG$41,START!$B$3,($L59+4))*-44/12)+($K59*INDEX('DEFAULT DATA'!$DZ$9:$MG$41,START!$B$3,($L59+5))*-44/12)</f>
        <v>6.3982496644295175</v>
      </c>
      <c r="AD59" s="550">
        <f>($J59*INDEX('DEFAULT DATA'!$DZ$9:$MG$41,START!$B$3,($L59+4))*-44/12)+($K59*INDEX('DEFAULT DATA'!$DZ$9:$MG$41,START!$B$3,($L59+5))*-44/12)</f>
        <v>6.3982496644295175</v>
      </c>
      <c r="AE59" s="550">
        <f>($J59*INDEX('DEFAULT DATA'!$DZ$9:$MG$41,START!$B$3,($L59+4))*-44/12)+($K59*INDEX('DEFAULT DATA'!$DZ$9:$MG$41,START!$B$3,($L59+5))*-44/12)</f>
        <v>6.3982496644295175</v>
      </c>
      <c r="AF59" s="550">
        <f>($J59*INDEX('DEFAULT DATA'!$DZ$9:$MG$41,START!$B$3,($L59+4))*-44/12)+($K59*INDEX('DEFAULT DATA'!$DZ$9:$MG$41,START!$B$3,($L59+5))*-44/12)</f>
        <v>6.3982496644295175</v>
      </c>
      <c r="AG59" s="550">
        <f>($J59*INDEX('DEFAULT DATA'!$DZ$9:$MG$41,START!$B$3,($L59+4))*-44/12)+($K59*INDEX('DEFAULT DATA'!$DZ$9:$MG$41,START!$B$3,($L59+5))*-44/12)</f>
        <v>6.3982496644295175</v>
      </c>
      <c r="AH59" s="550">
        <f>($J59*INDEX('DEFAULT DATA'!$DZ$9:$MG$41,START!$B$3,($L59+4))*-44/12)+($K59*INDEX('DEFAULT DATA'!$DZ$9:$MG$41,START!$B$3,($L59+5))*-44/12)</f>
        <v>6.3982496644295175</v>
      </c>
      <c r="AI59" s="550"/>
      <c r="AJ59" s="550"/>
      <c r="AK59" s="550"/>
      <c r="AL59" s="550"/>
      <c r="AM59" s="550"/>
      <c r="AN59" s="550"/>
      <c r="AO59" s="550"/>
      <c r="AP59" s="550"/>
      <c r="AQ59" s="550"/>
      <c r="AR59" s="551"/>
    </row>
    <row r="60" spans="1:44" ht="20.100000000000001" customHeight="1" thickBot="1">
      <c r="A60" s="509" t="s">
        <v>1020</v>
      </c>
      <c r="B60" s="75"/>
      <c r="C60" s="75"/>
      <c r="D60" s="510">
        <v>0</v>
      </c>
      <c r="E60" s="517">
        <v>0</v>
      </c>
      <c r="F60" s="523">
        <v>0</v>
      </c>
      <c r="G60" s="75">
        <v>1</v>
      </c>
      <c r="H60" s="76"/>
      <c r="I60" s="514">
        <f t="shared" si="36"/>
        <v>2</v>
      </c>
      <c r="J60" s="511">
        <f t="shared" si="37"/>
        <v>1</v>
      </c>
      <c r="K60" s="511">
        <f t="shared" si="38"/>
        <v>1</v>
      </c>
      <c r="L60" s="384">
        <f t="shared" si="40"/>
        <v>157</v>
      </c>
      <c r="M60" s="535" t="s">
        <v>952</v>
      </c>
      <c r="N60" s="539">
        <f t="shared" si="39"/>
        <v>2022</v>
      </c>
      <c r="O60" s="221">
        <f>($I60*INDEX('DEFAULT DATA'!$DZ$9:$MG$41,START!$B$3,($L60))*-44/12)+($I60*INDEX('DEFAULT DATA'!$DZ$9:$MG$41,START!$B$3,($L60+1))*-44/12)+($I60*INDEX('DEFAULT DATA'!$DZ$9:$MG$41,START!$B$3,($L60+2))*-44/12)+($I60*INDEX('DEFAULT DATA'!$DZ$9:$MG$41,START!$B$3,($L60+3))*-44/12)+($J60*INDEX('DEFAULT DATA'!$DZ$9:$MG$41,START!$B$3,($L60+4))*-44/12)+($K60*INDEX('DEFAULT DATA'!$DZ$9:$MG$41,START!$B$3,($L60+5))*-44/12)</f>
        <v>0</v>
      </c>
      <c r="P60" s="221">
        <f>($I60*INDEX('DEFAULT DATA'!$DZ$9:$MG$41,START!$B$3,($L60))*-44/12)+($I60*INDEX('DEFAULT DATA'!$DZ$9:$MG$41,START!$B$3,($L60+1))*-44/12)+($I60*INDEX('DEFAULT DATA'!$DZ$9:$MG$41,START!$B$3,($L60+2))*-44/12)+($I60*INDEX('DEFAULT DATA'!$DZ$9:$MG$41,START!$B$3,($L60+3))*-44/12)+($J60*INDEX('DEFAULT DATA'!$DZ$9:$MG$41,START!$B$3,($L60+4))*-44/12)+($K60*INDEX('DEFAULT DATA'!$DZ$9:$MG$41,START!$B$3,($L60+5))*-44/12)</f>
        <v>0</v>
      </c>
      <c r="Q60" s="221">
        <f>($I60*INDEX('DEFAULT DATA'!$DZ$9:$MG$41,START!$B$3,($L60))*-44/12)+($I60*INDEX('DEFAULT DATA'!$DZ$9:$MG$41,START!$B$3,($L60+1))*-44/12)+($I60*INDEX('DEFAULT DATA'!$DZ$9:$MG$41,START!$B$3,($L60+2))*-44/12)+($I60*INDEX('DEFAULT DATA'!$DZ$9:$MG$41,START!$B$3,($L60+3))*-44/12)+($J60*INDEX('DEFAULT DATA'!$DZ$9:$MG$41,START!$B$3,($L60+4))*-44/12)+($K60*INDEX('DEFAULT DATA'!$DZ$9:$MG$41,START!$B$3,($L60+5))*-44/12)</f>
        <v>0</v>
      </c>
      <c r="R60" s="221">
        <f>($I60*INDEX('DEFAULT DATA'!$DZ$9:$MG$41,START!$B$3,($L60))*-44/12)+($I60*INDEX('DEFAULT DATA'!$DZ$9:$MG$41,START!$B$3,($L60+1))*-44/12)+($I60*INDEX('DEFAULT DATA'!$DZ$9:$MG$41,START!$B$3,($L60+2))*-44/12)+($I60*INDEX('DEFAULT DATA'!$DZ$9:$MG$41,START!$B$3,($L60+3))*-44/12)+($J60*INDEX('DEFAULT DATA'!$DZ$9:$MG$41,START!$B$3,($L60+4))*-44/12)+($K60*INDEX('DEFAULT DATA'!$DZ$9:$MG$41,START!$B$3,($L60+5))*-44/12)</f>
        <v>0</v>
      </c>
      <c r="S60" s="221">
        <f>($I60*INDEX('DEFAULT DATA'!$DZ$9:$MG$41,START!$B$3,($L60))*-44/12)+($I60*INDEX('DEFAULT DATA'!$DZ$9:$MG$41,START!$B$3,($L60+1))*-44/12)+($I60*INDEX('DEFAULT DATA'!$DZ$9:$MG$41,START!$B$3,($L60+2))*-44/12)+($I60*INDEX('DEFAULT DATA'!$DZ$9:$MG$41,START!$B$3,($L60+3))*-44/12)+($J60*INDEX('DEFAULT DATA'!$DZ$9:$MG$41,START!$B$3,($L60+4))*-44/12)+($K60*INDEX('DEFAULT DATA'!$DZ$9:$MG$41,START!$B$3,($L60+5))*-44/12)</f>
        <v>0</v>
      </c>
      <c r="T60" s="221">
        <f>($I60*INDEX('DEFAULT DATA'!$DZ$9:$MG$41,START!$B$3,($L60))*-44/12)+($I60*INDEX('DEFAULT DATA'!$DZ$9:$MG$41,START!$B$3,($L60+1))*-44/12)+($I60*INDEX('DEFAULT DATA'!$DZ$9:$MG$41,START!$B$3,($L60+2))*-44/12)+($I60*INDEX('DEFAULT DATA'!$DZ$9:$MG$41,START!$B$3,($L60+3))*-44/12)+($J60*INDEX('DEFAULT DATA'!$DZ$9:$MG$41,START!$B$3,($L60+4))*-44/12)+($K60*INDEX('DEFAULT DATA'!$DZ$9:$MG$41,START!$B$3,($L60+5))*-44/12)</f>
        <v>0</v>
      </c>
      <c r="U60" s="221">
        <f>($I60*INDEX('DEFAULT DATA'!$DZ$9:$MG$41,START!$B$3,($L60))*-44/12)+($I60*INDEX('DEFAULT DATA'!$DZ$9:$MG$41,START!$B$3,($L60+1))*-44/12)+($I60*INDEX('DEFAULT DATA'!$DZ$9:$MG$41,START!$B$3,($L60+2))*-44/12)+($I60*INDEX('DEFAULT DATA'!$DZ$9:$MG$41,START!$B$3,($L60+3))*-44/12)+($J60*INDEX('DEFAULT DATA'!$DZ$9:$MG$41,START!$B$3,($L60+4))*-44/12)+($K60*INDEX('DEFAULT DATA'!$DZ$9:$MG$41,START!$B$3,($L60+5))*-44/12)</f>
        <v>0</v>
      </c>
      <c r="V60" s="221">
        <f>($I60*INDEX('DEFAULT DATA'!$DZ$9:$MG$41,START!$B$3,($L60))*-44/12)+($I60*INDEX('DEFAULT DATA'!$DZ$9:$MG$41,START!$B$3,($L60+1))*-44/12)+($I60*INDEX('DEFAULT DATA'!$DZ$9:$MG$41,START!$B$3,($L60+2))*-44/12)+($I60*INDEX('DEFAULT DATA'!$DZ$9:$MG$41,START!$B$3,($L60+3))*-44/12)+($J60*INDEX('DEFAULT DATA'!$DZ$9:$MG$41,START!$B$3,($L60+4))*-44/12)+($K60*INDEX('DEFAULT DATA'!$DZ$9:$MG$41,START!$B$3,($L60+5))*-44/12)</f>
        <v>0</v>
      </c>
      <c r="W60" s="221">
        <f>($I60*INDEX('DEFAULT DATA'!$DZ$9:$MG$41,START!$B$3,($L60))*-44/12)+($I60*INDEX('DEFAULT DATA'!$DZ$9:$MG$41,START!$B$3,($L60+1))*-44/12)+($I60*INDEX('DEFAULT DATA'!$DZ$9:$MG$41,START!$B$3,($L60+2))*-44/12)+($I60*INDEX('DEFAULT DATA'!$DZ$9:$MG$41,START!$B$3,($L60+3))*-44/12)+($J60*INDEX('DEFAULT DATA'!$DZ$9:$MG$41,START!$B$3,($L60+4))*-44/12)+($K60*INDEX('DEFAULT DATA'!$DZ$9:$MG$41,START!$B$3,($L60+5))*-44/12)</f>
        <v>0</v>
      </c>
      <c r="X60" s="221">
        <f>($I60*INDEX('DEFAULT DATA'!$DZ$9:$MG$41,START!$B$3,($L60))*-44/12)+($I60*INDEX('DEFAULT DATA'!$DZ$9:$MG$41,START!$B$3,($L60+1))*-44/12)+($I60*INDEX('DEFAULT DATA'!$DZ$9:$MG$41,START!$B$3,($L60+2))*-44/12)+($I60*INDEX('DEFAULT DATA'!$DZ$9:$MG$41,START!$B$3,($L60+3))*-44/12)+($J60*INDEX('DEFAULT DATA'!$DZ$9:$MG$41,START!$B$3,($L60+4))*-44/12)+($K60*INDEX('DEFAULT DATA'!$DZ$9:$MG$41,START!$B$3,($L60+5))*-44/12)</f>
        <v>0</v>
      </c>
      <c r="Y60" s="221">
        <f>($I60*INDEX('DEFAULT DATA'!$DZ$9:$MG$41,START!$B$3,($L60))*-44/12)+($I60*INDEX('DEFAULT DATA'!$DZ$9:$MG$41,START!$B$3,($L60+1))*-44/12)+($I60*INDEX('DEFAULT DATA'!$DZ$9:$MG$41,START!$B$3,($L60+2))*-44/12)+($I60*INDEX('DEFAULT DATA'!$DZ$9:$MG$41,START!$B$3,($L60+3))*-44/12)+($J60*INDEX('DEFAULT DATA'!$DZ$9:$MG$41,START!$B$3,($L60+4))*-44/12)+($K60*INDEX('DEFAULT DATA'!$DZ$9:$MG$41,START!$B$3,($L60+5))*-44/12)</f>
        <v>0</v>
      </c>
      <c r="Z60" s="221">
        <f>($I60*INDEX('DEFAULT DATA'!$DZ$9:$MG$41,START!$B$3,($L60))*-44/12)+($I60*INDEX('DEFAULT DATA'!$DZ$9:$MG$41,START!$B$3,($L60+1))*-44/12)+($I60*INDEX('DEFAULT DATA'!$DZ$9:$MG$41,START!$B$3,($L60+2))*-44/12)+($I60*INDEX('DEFAULT DATA'!$DZ$9:$MG$41,START!$B$3,($L60+3))*-44/12)+($J60*INDEX('DEFAULT DATA'!$DZ$9:$MG$41,START!$B$3,($L60+4))*-44/12)+($K60*INDEX('DEFAULT DATA'!$DZ$9:$MG$41,START!$B$3,($L60+5))*-44/12)</f>
        <v>0</v>
      </c>
      <c r="AA60" s="221">
        <f>($I60*INDEX('DEFAULT DATA'!$DZ$9:$MG$41,START!$B$3,($L60))*-44/12)+($I60*INDEX('DEFAULT DATA'!$DZ$9:$MG$41,START!$B$3,($L60+1))*-44/12)+($I60*INDEX('DEFAULT DATA'!$DZ$9:$MG$41,START!$B$3,($L60+2))*-44/12)+($I60*INDEX('DEFAULT DATA'!$DZ$9:$MG$41,START!$B$3,($L60+3))*-44/12)+($J60*INDEX('DEFAULT DATA'!$DZ$9:$MG$41,START!$B$3,($L60+4))*-44/12)+($K60*INDEX('DEFAULT DATA'!$DZ$9:$MG$41,START!$B$3,($L60+5))*-44/12)</f>
        <v>0</v>
      </c>
      <c r="AB60" s="221">
        <f>($I60*INDEX('DEFAULT DATA'!$DZ$9:$MG$41,START!$B$3,($L60))*-44/12)+($I60*INDEX('DEFAULT DATA'!$DZ$9:$MG$41,START!$B$3,($L60+1))*-44/12)+($I60*INDEX('DEFAULT DATA'!$DZ$9:$MG$41,START!$B$3,($L60+2))*-44/12)+($I60*INDEX('DEFAULT DATA'!$DZ$9:$MG$41,START!$B$3,($L60+3))*-44/12)+($J60*INDEX('DEFAULT DATA'!$DZ$9:$MG$41,START!$B$3,($L60+4))*-44/12)+($K60*INDEX('DEFAULT DATA'!$DZ$9:$MG$41,START!$B$3,($L60+5))*-44/12)</f>
        <v>0</v>
      </c>
      <c r="AC60" s="221">
        <f>($I60*INDEX('DEFAULT DATA'!$DZ$9:$MG$41,START!$B$3,($L60))*-44/12)+($I60*INDEX('DEFAULT DATA'!$DZ$9:$MG$41,START!$B$3,($L60+1))*-44/12)+($I60*INDEX('DEFAULT DATA'!$DZ$9:$MG$41,START!$B$3,($L60+2))*-44/12)+($I60*INDEX('DEFAULT DATA'!$DZ$9:$MG$41,START!$B$3,($L60+3))*-44/12)+($J60*INDEX('DEFAULT DATA'!$DZ$9:$MG$41,START!$B$3,($L60+4))*-44/12)+($K60*INDEX('DEFAULT DATA'!$DZ$9:$MG$41,START!$B$3,($L60+5))*-44/12)</f>
        <v>0</v>
      </c>
      <c r="AD60" s="221">
        <f>($I60*INDEX('DEFAULT DATA'!$DZ$9:$MG$41,START!$B$3,($L60))*-44/12)+($I60*INDEX('DEFAULT DATA'!$DZ$9:$MG$41,START!$B$3,($L60+1))*-44/12)+($I60*INDEX('DEFAULT DATA'!$DZ$9:$MG$41,START!$B$3,($L60+2))*-44/12)+($I60*INDEX('DEFAULT DATA'!$DZ$9:$MG$41,START!$B$3,($L60+3))*-44/12)+($J60*INDEX('DEFAULT DATA'!$DZ$9:$MG$41,START!$B$3,($L60+4))*-44/12)+($K60*INDEX('DEFAULT DATA'!$DZ$9:$MG$41,START!$B$3,($L60+5))*-44/12)</f>
        <v>0</v>
      </c>
      <c r="AE60" s="221">
        <f>($I60*INDEX('DEFAULT DATA'!$DZ$9:$MG$41,START!$B$3,($L60))*-44/12)+($I60*INDEX('DEFAULT DATA'!$DZ$9:$MG$41,START!$B$3,($L60+1))*-44/12)+($I60*INDEX('DEFAULT DATA'!$DZ$9:$MG$41,START!$B$3,($L60+2))*-44/12)+($I60*INDEX('DEFAULT DATA'!$DZ$9:$MG$41,START!$B$3,($L60+3))*-44/12)+($J60*INDEX('DEFAULT DATA'!$DZ$9:$MG$41,START!$B$3,($L60+4))*-44/12)+($K60*INDEX('DEFAULT DATA'!$DZ$9:$MG$41,START!$B$3,($L60+5))*-44/12)</f>
        <v>0</v>
      </c>
      <c r="AF60" s="221">
        <f>($I60*INDEX('DEFAULT DATA'!$DZ$9:$MG$41,START!$B$3,($L60))*-44/12)+($I60*INDEX('DEFAULT DATA'!$DZ$9:$MG$41,START!$B$3,($L60+1))*-44/12)+($I60*INDEX('DEFAULT DATA'!$DZ$9:$MG$41,START!$B$3,($L60+2))*-44/12)+($I60*INDEX('DEFAULT DATA'!$DZ$9:$MG$41,START!$B$3,($L60+3))*-44/12)+($J60*INDEX('DEFAULT DATA'!$DZ$9:$MG$41,START!$B$3,($L60+4))*-44/12)+($K60*INDEX('DEFAULT DATA'!$DZ$9:$MG$41,START!$B$3,($L60+5))*-44/12)</f>
        <v>0</v>
      </c>
      <c r="AG60" s="221">
        <f>($I60*INDEX('DEFAULT DATA'!$DZ$9:$MG$41,START!$B$3,($L60))*-44/12)+($I60*INDEX('DEFAULT DATA'!$DZ$9:$MG$41,START!$B$3,($L60+1))*-44/12)+($I60*INDEX('DEFAULT DATA'!$DZ$9:$MG$41,START!$B$3,($L60+2))*-44/12)+($I60*INDEX('DEFAULT DATA'!$DZ$9:$MG$41,START!$B$3,($L60+3))*-44/12)+($J60*INDEX('DEFAULT DATA'!$DZ$9:$MG$41,START!$B$3,($L60+4))*-44/12)+($K60*INDEX('DEFAULT DATA'!$DZ$9:$MG$41,START!$B$3,($L60+5))*-44/12)</f>
        <v>0</v>
      </c>
      <c r="AH60" s="221">
        <f>($I60*INDEX('DEFAULT DATA'!$DZ$9:$MG$41,START!$B$3,($L60))*-44/12)+($I60*INDEX('DEFAULT DATA'!$DZ$9:$MG$41,START!$B$3,($L60+1))*-44/12)+($I60*INDEX('DEFAULT DATA'!$DZ$9:$MG$41,START!$B$3,($L60+2))*-44/12)+($I60*INDEX('DEFAULT DATA'!$DZ$9:$MG$41,START!$B$3,($L60+3))*-44/12)+($J60*INDEX('DEFAULT DATA'!$DZ$9:$MG$41,START!$B$3,($L60+4))*-44/12)+($K60*INDEX('DEFAULT DATA'!$DZ$9:$MG$41,START!$B$3,($L60+5))*-44/12)</f>
        <v>0</v>
      </c>
      <c r="AI60" s="221"/>
      <c r="AJ60" s="221"/>
      <c r="AK60" s="221"/>
      <c r="AL60" s="221"/>
      <c r="AM60" s="221"/>
      <c r="AN60" s="221"/>
      <c r="AO60" s="221"/>
      <c r="AP60" s="221"/>
      <c r="AQ60" s="221"/>
      <c r="AR60" s="552"/>
    </row>
    <row r="61" spans="1:44" ht="20.100000000000001" customHeight="1">
      <c r="A61" s="520" t="s">
        <v>994</v>
      </c>
      <c r="B61" s="134"/>
      <c r="C61" s="134"/>
      <c r="D61" s="508">
        <v>2</v>
      </c>
      <c r="E61" s="518">
        <v>1</v>
      </c>
      <c r="F61" s="522">
        <v>1</v>
      </c>
      <c r="G61" s="134">
        <v>1</v>
      </c>
      <c r="H61" s="37"/>
      <c r="I61" s="514">
        <f t="shared" si="36"/>
        <v>2</v>
      </c>
      <c r="J61" s="511">
        <f t="shared" si="37"/>
        <v>1</v>
      </c>
      <c r="K61" s="511">
        <f t="shared" si="38"/>
        <v>1</v>
      </c>
      <c r="L61" s="384">
        <f t="shared" si="40"/>
        <v>163</v>
      </c>
      <c r="M61" s="535" t="s">
        <v>953</v>
      </c>
      <c r="N61" s="539">
        <f t="shared" si="39"/>
        <v>2022</v>
      </c>
      <c r="O61" s="221">
        <f>($I61*INDEX('DEFAULT DATA'!$DZ$9:$MG$41,START!$B$3,($L61))*-44/12)+($I61*INDEX('DEFAULT DATA'!$DZ$9:$MG$41,START!$B$3,($L61+1))*-44/12)+($I61*INDEX('DEFAULT DATA'!$DZ$9:$MG$41,START!$B$3,($L61+2))*-44/12)+($I61*INDEX('DEFAULT DATA'!$DZ$9:$MG$41,START!$B$3,($L61+3))*-44/12)+($J61*INDEX('DEFAULT DATA'!$DZ$9:$MG$41,START!$B$3,($L61+4))*-44/12)+($K61*INDEX('DEFAULT DATA'!$DZ$9:$MG$41,START!$B$3,($L61+5))*-44/12)</f>
        <v>0</v>
      </c>
      <c r="P61" s="221">
        <f>($I61*INDEX('DEFAULT DATA'!$DZ$9:$MG$41,START!$B$3,($L61))*-44/12)+($I61*INDEX('DEFAULT DATA'!$DZ$9:$MG$41,START!$B$3,($L61+1))*-44/12)+($I61*INDEX('DEFAULT DATA'!$DZ$9:$MG$41,START!$B$3,($L61+2))*-44/12)+($I61*INDEX('DEFAULT DATA'!$DZ$9:$MG$41,START!$B$3,($L61+3))*-44/12)+($J61*INDEX('DEFAULT DATA'!$DZ$9:$MG$41,START!$B$3,($L61+4))*-44/12)+($K61*INDEX('DEFAULT DATA'!$DZ$9:$MG$41,START!$B$3,($L61+5))*-44/12)</f>
        <v>0</v>
      </c>
      <c r="Q61" s="221">
        <f>($I61*INDEX('DEFAULT DATA'!$DZ$9:$MG$41,START!$B$3,($L61))*-44/12)+($I61*INDEX('DEFAULT DATA'!$DZ$9:$MG$41,START!$B$3,($L61+1))*-44/12)+($I61*INDEX('DEFAULT DATA'!$DZ$9:$MG$41,START!$B$3,($L61+2))*-44/12)+($I61*INDEX('DEFAULT DATA'!$DZ$9:$MG$41,START!$B$3,($L61+3))*-44/12)+($J61*INDEX('DEFAULT DATA'!$DZ$9:$MG$41,START!$B$3,($L61+4))*-44/12)+($K61*INDEX('DEFAULT DATA'!$DZ$9:$MG$41,START!$B$3,($L61+5))*-44/12)</f>
        <v>0</v>
      </c>
      <c r="R61" s="221">
        <f>($I61*INDEX('DEFAULT DATA'!$DZ$9:$MG$41,START!$B$3,($L61))*-44/12)+($I61*INDEX('DEFAULT DATA'!$DZ$9:$MG$41,START!$B$3,($L61+1))*-44/12)+($I61*INDEX('DEFAULT DATA'!$DZ$9:$MG$41,START!$B$3,($L61+2))*-44/12)+($I61*INDEX('DEFAULT DATA'!$DZ$9:$MG$41,START!$B$3,($L61+3))*-44/12)+($J61*INDEX('DEFAULT DATA'!$DZ$9:$MG$41,START!$B$3,($L61+4))*-44/12)+($K61*INDEX('DEFAULT DATA'!$DZ$9:$MG$41,START!$B$3,($L61+5))*-44/12)</f>
        <v>0</v>
      </c>
      <c r="S61" s="221">
        <f>($I61*INDEX('DEFAULT DATA'!$DZ$9:$MG$41,START!$B$3,($L61))*-44/12)+($I61*INDEX('DEFAULT DATA'!$DZ$9:$MG$41,START!$B$3,($L61+1))*-44/12)+($I61*INDEX('DEFAULT DATA'!$DZ$9:$MG$41,START!$B$3,($L61+2))*-44/12)+($I61*INDEX('DEFAULT DATA'!$DZ$9:$MG$41,START!$B$3,($L61+3))*-44/12)+($J61*INDEX('DEFAULT DATA'!$DZ$9:$MG$41,START!$B$3,($L61+4))*-44/12)+($K61*INDEX('DEFAULT DATA'!$DZ$9:$MG$41,START!$B$3,($L61+5))*-44/12)</f>
        <v>0</v>
      </c>
      <c r="T61" s="221">
        <f>($I61*INDEX('DEFAULT DATA'!$DZ$9:$MG$41,START!$B$3,($L61))*-44/12)+($I61*INDEX('DEFAULT DATA'!$DZ$9:$MG$41,START!$B$3,($L61+1))*-44/12)+($I61*INDEX('DEFAULT DATA'!$DZ$9:$MG$41,START!$B$3,($L61+2))*-44/12)+($I61*INDEX('DEFAULT DATA'!$DZ$9:$MG$41,START!$B$3,($L61+3))*-44/12)+($J61*INDEX('DEFAULT DATA'!$DZ$9:$MG$41,START!$B$3,($L61+4))*-44/12)+($K61*INDEX('DEFAULT DATA'!$DZ$9:$MG$41,START!$B$3,($L61+5))*-44/12)</f>
        <v>0</v>
      </c>
      <c r="U61" s="221">
        <f>($I61*INDEX('DEFAULT DATA'!$DZ$9:$MG$41,START!$B$3,($L61))*-44/12)+($I61*INDEX('DEFAULT DATA'!$DZ$9:$MG$41,START!$B$3,($L61+1))*-44/12)+($I61*INDEX('DEFAULT DATA'!$DZ$9:$MG$41,START!$B$3,($L61+2))*-44/12)+($I61*INDEX('DEFAULT DATA'!$DZ$9:$MG$41,START!$B$3,($L61+3))*-44/12)+($J61*INDEX('DEFAULT DATA'!$DZ$9:$MG$41,START!$B$3,($L61+4))*-44/12)+($K61*INDEX('DEFAULT DATA'!$DZ$9:$MG$41,START!$B$3,($L61+5))*-44/12)</f>
        <v>0</v>
      </c>
      <c r="V61" s="221">
        <f>($I61*INDEX('DEFAULT DATA'!$DZ$9:$MG$41,START!$B$3,($L61))*-44/12)+($I61*INDEX('DEFAULT DATA'!$DZ$9:$MG$41,START!$B$3,($L61+1))*-44/12)+($I61*INDEX('DEFAULT DATA'!$DZ$9:$MG$41,START!$B$3,($L61+2))*-44/12)+($I61*INDEX('DEFAULT DATA'!$DZ$9:$MG$41,START!$B$3,($L61+3))*-44/12)+($J61*INDEX('DEFAULT DATA'!$DZ$9:$MG$41,START!$B$3,($L61+4))*-44/12)+($K61*INDEX('DEFAULT DATA'!$DZ$9:$MG$41,START!$B$3,($L61+5))*-44/12)</f>
        <v>0</v>
      </c>
      <c r="W61" s="221">
        <f>($I61*INDEX('DEFAULT DATA'!$DZ$9:$MG$41,START!$B$3,($L61))*-44/12)+($I61*INDEX('DEFAULT DATA'!$DZ$9:$MG$41,START!$B$3,($L61+1))*-44/12)+($I61*INDEX('DEFAULT DATA'!$DZ$9:$MG$41,START!$B$3,($L61+2))*-44/12)+($I61*INDEX('DEFAULT DATA'!$DZ$9:$MG$41,START!$B$3,($L61+3))*-44/12)+($J61*INDEX('DEFAULT DATA'!$DZ$9:$MG$41,START!$B$3,($L61+4))*-44/12)+($K61*INDEX('DEFAULT DATA'!$DZ$9:$MG$41,START!$B$3,($L61+5))*-44/12)</f>
        <v>0</v>
      </c>
      <c r="X61" s="221">
        <f>($I61*INDEX('DEFAULT DATA'!$DZ$9:$MG$41,START!$B$3,($L61))*-44/12)+($I61*INDEX('DEFAULT DATA'!$DZ$9:$MG$41,START!$B$3,($L61+1))*-44/12)+($I61*INDEX('DEFAULT DATA'!$DZ$9:$MG$41,START!$B$3,($L61+2))*-44/12)+($I61*INDEX('DEFAULT DATA'!$DZ$9:$MG$41,START!$B$3,($L61+3))*-44/12)+($J61*INDEX('DEFAULT DATA'!$DZ$9:$MG$41,START!$B$3,($L61+4))*-44/12)+($K61*INDEX('DEFAULT DATA'!$DZ$9:$MG$41,START!$B$3,($L61+5))*-44/12)</f>
        <v>0</v>
      </c>
      <c r="Y61" s="221">
        <f>($I61*INDEX('DEFAULT DATA'!$DZ$9:$MG$41,START!$B$3,($L61))*-44/12)+($I61*INDEX('DEFAULT DATA'!$DZ$9:$MG$41,START!$B$3,($L61+1))*-44/12)+($I61*INDEX('DEFAULT DATA'!$DZ$9:$MG$41,START!$B$3,($L61+2))*-44/12)+($I61*INDEX('DEFAULT DATA'!$DZ$9:$MG$41,START!$B$3,($L61+3))*-44/12)+($J61*INDEX('DEFAULT DATA'!$DZ$9:$MG$41,START!$B$3,($L61+4))*-44/12)+($K61*INDEX('DEFAULT DATA'!$DZ$9:$MG$41,START!$B$3,($L61+5))*-44/12)</f>
        <v>0</v>
      </c>
      <c r="Z61" s="221">
        <f>($I61*INDEX('DEFAULT DATA'!$DZ$9:$MG$41,START!$B$3,($L61))*-44/12)+($I61*INDEX('DEFAULT DATA'!$DZ$9:$MG$41,START!$B$3,($L61+1))*-44/12)+($I61*INDEX('DEFAULT DATA'!$DZ$9:$MG$41,START!$B$3,($L61+2))*-44/12)+($I61*INDEX('DEFAULT DATA'!$DZ$9:$MG$41,START!$B$3,($L61+3))*-44/12)+($J61*INDEX('DEFAULT DATA'!$DZ$9:$MG$41,START!$B$3,($L61+4))*-44/12)+($K61*INDEX('DEFAULT DATA'!$DZ$9:$MG$41,START!$B$3,($L61+5))*-44/12)</f>
        <v>0</v>
      </c>
      <c r="AA61" s="221">
        <f>($I61*INDEX('DEFAULT DATA'!$DZ$9:$MG$41,START!$B$3,($L61))*-44/12)+($I61*INDEX('DEFAULT DATA'!$DZ$9:$MG$41,START!$B$3,($L61+1))*-44/12)+($I61*INDEX('DEFAULT DATA'!$DZ$9:$MG$41,START!$B$3,($L61+2))*-44/12)+($I61*INDEX('DEFAULT DATA'!$DZ$9:$MG$41,START!$B$3,($L61+3))*-44/12)+($J61*INDEX('DEFAULT DATA'!$DZ$9:$MG$41,START!$B$3,($L61+4))*-44/12)+($K61*INDEX('DEFAULT DATA'!$DZ$9:$MG$41,START!$B$3,($L61+5))*-44/12)</f>
        <v>0</v>
      </c>
      <c r="AB61" s="221">
        <f>($I61*INDEX('DEFAULT DATA'!$DZ$9:$MG$41,START!$B$3,($L61))*-44/12)+($I61*INDEX('DEFAULT DATA'!$DZ$9:$MG$41,START!$B$3,($L61+1))*-44/12)+($I61*INDEX('DEFAULT DATA'!$DZ$9:$MG$41,START!$B$3,($L61+2))*-44/12)+($I61*INDEX('DEFAULT DATA'!$DZ$9:$MG$41,START!$B$3,($L61+3))*-44/12)+($J61*INDEX('DEFAULT DATA'!$DZ$9:$MG$41,START!$B$3,($L61+4))*-44/12)+($K61*INDEX('DEFAULT DATA'!$DZ$9:$MG$41,START!$B$3,($L61+5))*-44/12)</f>
        <v>0</v>
      </c>
      <c r="AC61" s="221">
        <f>($I61*INDEX('DEFAULT DATA'!$DZ$9:$MG$41,START!$B$3,($L61))*-44/12)+($I61*INDEX('DEFAULT DATA'!$DZ$9:$MG$41,START!$B$3,($L61+1))*-44/12)+($I61*INDEX('DEFAULT DATA'!$DZ$9:$MG$41,START!$B$3,($L61+2))*-44/12)+($I61*INDEX('DEFAULT DATA'!$DZ$9:$MG$41,START!$B$3,($L61+3))*-44/12)+($J61*INDEX('DEFAULT DATA'!$DZ$9:$MG$41,START!$B$3,($L61+4))*-44/12)+($K61*INDEX('DEFAULT DATA'!$DZ$9:$MG$41,START!$B$3,($L61+5))*-44/12)</f>
        <v>0</v>
      </c>
      <c r="AD61" s="221">
        <f>($I61*INDEX('DEFAULT DATA'!$DZ$9:$MG$41,START!$B$3,($L61))*-44/12)+($I61*INDEX('DEFAULT DATA'!$DZ$9:$MG$41,START!$B$3,($L61+1))*-44/12)+($I61*INDEX('DEFAULT DATA'!$DZ$9:$MG$41,START!$B$3,($L61+2))*-44/12)+($I61*INDEX('DEFAULT DATA'!$DZ$9:$MG$41,START!$B$3,($L61+3))*-44/12)+($J61*INDEX('DEFAULT DATA'!$DZ$9:$MG$41,START!$B$3,($L61+4))*-44/12)+($K61*INDEX('DEFAULT DATA'!$DZ$9:$MG$41,START!$B$3,($L61+5))*-44/12)</f>
        <v>0</v>
      </c>
      <c r="AE61" s="221">
        <f>($I61*INDEX('DEFAULT DATA'!$DZ$9:$MG$41,START!$B$3,($L61))*-44/12)+($I61*INDEX('DEFAULT DATA'!$DZ$9:$MG$41,START!$B$3,($L61+1))*-44/12)+($I61*INDEX('DEFAULT DATA'!$DZ$9:$MG$41,START!$B$3,($L61+2))*-44/12)+($I61*INDEX('DEFAULT DATA'!$DZ$9:$MG$41,START!$B$3,($L61+3))*-44/12)+($J61*INDEX('DEFAULT DATA'!$DZ$9:$MG$41,START!$B$3,($L61+4))*-44/12)+($K61*INDEX('DEFAULT DATA'!$DZ$9:$MG$41,START!$B$3,($L61+5))*-44/12)</f>
        <v>0</v>
      </c>
      <c r="AF61" s="221">
        <f>($I61*INDEX('DEFAULT DATA'!$DZ$9:$MG$41,START!$B$3,($L61))*-44/12)+($I61*INDEX('DEFAULT DATA'!$DZ$9:$MG$41,START!$B$3,($L61+1))*-44/12)+($I61*INDEX('DEFAULT DATA'!$DZ$9:$MG$41,START!$B$3,($L61+2))*-44/12)+($I61*INDEX('DEFAULT DATA'!$DZ$9:$MG$41,START!$B$3,($L61+3))*-44/12)+($J61*INDEX('DEFAULT DATA'!$DZ$9:$MG$41,START!$B$3,($L61+4))*-44/12)+($K61*INDEX('DEFAULT DATA'!$DZ$9:$MG$41,START!$B$3,($L61+5))*-44/12)</f>
        <v>0</v>
      </c>
      <c r="AG61" s="221">
        <f>($I61*INDEX('DEFAULT DATA'!$DZ$9:$MG$41,START!$B$3,($L61))*-44/12)+($I61*INDEX('DEFAULT DATA'!$DZ$9:$MG$41,START!$B$3,($L61+1))*-44/12)+($I61*INDEX('DEFAULT DATA'!$DZ$9:$MG$41,START!$B$3,($L61+2))*-44/12)+($I61*INDEX('DEFAULT DATA'!$DZ$9:$MG$41,START!$B$3,($L61+3))*-44/12)+($J61*INDEX('DEFAULT DATA'!$DZ$9:$MG$41,START!$B$3,($L61+4))*-44/12)+($K61*INDEX('DEFAULT DATA'!$DZ$9:$MG$41,START!$B$3,($L61+5))*-44/12)</f>
        <v>0</v>
      </c>
      <c r="AH61" s="221">
        <f>($I61*INDEX('DEFAULT DATA'!$DZ$9:$MG$41,START!$B$3,($L61))*-44/12)+($I61*INDEX('DEFAULT DATA'!$DZ$9:$MG$41,START!$B$3,($L61+1))*-44/12)+($I61*INDEX('DEFAULT DATA'!$DZ$9:$MG$41,START!$B$3,($L61+2))*-44/12)+($I61*INDEX('DEFAULT DATA'!$DZ$9:$MG$41,START!$B$3,($L61+3))*-44/12)+($J61*INDEX('DEFAULT DATA'!$DZ$9:$MG$41,START!$B$3,($L61+4))*-44/12)+($K61*INDEX('DEFAULT DATA'!$DZ$9:$MG$41,START!$B$3,($L61+5))*-44/12)</f>
        <v>0</v>
      </c>
      <c r="AI61" s="221"/>
      <c r="AJ61" s="221"/>
      <c r="AK61" s="221"/>
      <c r="AL61" s="221"/>
      <c r="AM61" s="221"/>
      <c r="AN61" s="221"/>
      <c r="AO61" s="221"/>
      <c r="AP61" s="221"/>
      <c r="AQ61" s="221"/>
      <c r="AR61" s="552"/>
    </row>
    <row r="62" spans="1:44" ht="20.100000000000001" customHeight="1">
      <c r="A62" s="519" t="s">
        <v>995</v>
      </c>
      <c r="B62" s="65"/>
      <c r="C62" s="65"/>
      <c r="D62" s="503">
        <v>2</v>
      </c>
      <c r="E62" s="505">
        <v>1</v>
      </c>
      <c r="F62" s="504">
        <v>1</v>
      </c>
      <c r="G62" s="65">
        <v>1</v>
      </c>
      <c r="H62" s="524"/>
      <c r="I62" s="514">
        <f t="shared" si="36"/>
        <v>2</v>
      </c>
      <c r="J62" s="511">
        <f t="shared" si="37"/>
        <v>1</v>
      </c>
      <c r="K62" s="511">
        <f t="shared" si="38"/>
        <v>1</v>
      </c>
      <c r="L62" s="384">
        <f t="shared" si="40"/>
        <v>169</v>
      </c>
      <c r="M62" s="535" t="s">
        <v>954</v>
      </c>
      <c r="N62" s="539">
        <f t="shared" si="39"/>
        <v>2022</v>
      </c>
      <c r="O62" s="221">
        <f>($I62*INDEX('DEFAULT DATA'!$DZ$9:$MG$41,START!$B$3,($L62))*-44/12)+($I62*INDEX('DEFAULT DATA'!$DZ$9:$MG$41,START!$B$3,($L62+1))*-44/12)+($I62*INDEX('DEFAULT DATA'!$DZ$9:$MG$41,START!$B$3,($L62+2))*-44/12)+($I62*INDEX('DEFAULT DATA'!$DZ$9:$MG$41,START!$B$3,($L62+3))*-44/12)+($J62*INDEX('DEFAULT DATA'!$DZ$9:$MG$41,START!$B$3,($L62+4))*-44/12)+($K62*INDEX('DEFAULT DATA'!$DZ$9:$MG$41,START!$B$3,($L62+5))*-44/12)</f>
        <v>0</v>
      </c>
      <c r="P62" s="221">
        <f>($I62*INDEX('DEFAULT DATA'!$DZ$9:$MG$41,START!$B$3,($L62))*-44/12)+($I62*INDEX('DEFAULT DATA'!$DZ$9:$MG$41,START!$B$3,($L62+1))*-44/12)+($I62*INDEX('DEFAULT DATA'!$DZ$9:$MG$41,START!$B$3,($L62+2))*-44/12)+($I62*INDEX('DEFAULT DATA'!$DZ$9:$MG$41,START!$B$3,($L62+3))*-44/12)+($J62*INDEX('DEFAULT DATA'!$DZ$9:$MG$41,START!$B$3,($L62+4))*-44/12)+($K62*INDEX('DEFAULT DATA'!$DZ$9:$MG$41,START!$B$3,($L62+5))*-44/12)</f>
        <v>0</v>
      </c>
      <c r="Q62" s="221">
        <f>($I62*INDEX('DEFAULT DATA'!$DZ$9:$MG$41,START!$B$3,($L62))*-44/12)+($I62*INDEX('DEFAULT DATA'!$DZ$9:$MG$41,START!$B$3,($L62+1))*-44/12)+($I62*INDEX('DEFAULT DATA'!$DZ$9:$MG$41,START!$B$3,($L62+2))*-44/12)+($I62*INDEX('DEFAULT DATA'!$DZ$9:$MG$41,START!$B$3,($L62+3))*-44/12)+($J62*INDEX('DEFAULT DATA'!$DZ$9:$MG$41,START!$B$3,($L62+4))*-44/12)+($K62*INDEX('DEFAULT DATA'!$DZ$9:$MG$41,START!$B$3,($L62+5))*-44/12)</f>
        <v>0</v>
      </c>
      <c r="R62" s="221">
        <f>($I62*INDEX('DEFAULT DATA'!$DZ$9:$MG$41,START!$B$3,($L62))*-44/12)+($I62*INDEX('DEFAULT DATA'!$DZ$9:$MG$41,START!$B$3,($L62+1))*-44/12)+($I62*INDEX('DEFAULT DATA'!$DZ$9:$MG$41,START!$B$3,($L62+2))*-44/12)+($I62*INDEX('DEFAULT DATA'!$DZ$9:$MG$41,START!$B$3,($L62+3))*-44/12)+($J62*INDEX('DEFAULT DATA'!$DZ$9:$MG$41,START!$B$3,($L62+4))*-44/12)+($K62*INDEX('DEFAULT DATA'!$DZ$9:$MG$41,START!$B$3,($L62+5))*-44/12)</f>
        <v>0</v>
      </c>
      <c r="S62" s="221">
        <f>($I62*INDEX('DEFAULT DATA'!$DZ$9:$MG$41,START!$B$3,($L62))*-44/12)+($I62*INDEX('DEFAULT DATA'!$DZ$9:$MG$41,START!$B$3,($L62+1))*-44/12)+($I62*INDEX('DEFAULT DATA'!$DZ$9:$MG$41,START!$B$3,($L62+2))*-44/12)+($I62*INDEX('DEFAULT DATA'!$DZ$9:$MG$41,START!$B$3,($L62+3))*-44/12)+($J62*INDEX('DEFAULT DATA'!$DZ$9:$MG$41,START!$B$3,($L62+4))*-44/12)+($K62*INDEX('DEFAULT DATA'!$DZ$9:$MG$41,START!$B$3,($L62+5))*-44/12)</f>
        <v>0</v>
      </c>
      <c r="T62" s="221">
        <f>($I62*INDEX('DEFAULT DATA'!$DZ$9:$MG$41,START!$B$3,($L62))*-44/12)+($I62*INDEX('DEFAULT DATA'!$DZ$9:$MG$41,START!$B$3,($L62+1))*-44/12)+($I62*INDEX('DEFAULT DATA'!$DZ$9:$MG$41,START!$B$3,($L62+2))*-44/12)+($I62*INDEX('DEFAULT DATA'!$DZ$9:$MG$41,START!$B$3,($L62+3))*-44/12)+($J62*INDEX('DEFAULT DATA'!$DZ$9:$MG$41,START!$B$3,($L62+4))*-44/12)+($K62*INDEX('DEFAULT DATA'!$DZ$9:$MG$41,START!$B$3,($L62+5))*-44/12)</f>
        <v>0</v>
      </c>
      <c r="U62" s="221">
        <f>($I62*INDEX('DEFAULT DATA'!$DZ$9:$MG$41,START!$B$3,($L62))*-44/12)+($I62*INDEX('DEFAULT DATA'!$DZ$9:$MG$41,START!$B$3,($L62+1))*-44/12)+($I62*INDEX('DEFAULT DATA'!$DZ$9:$MG$41,START!$B$3,($L62+2))*-44/12)+($I62*INDEX('DEFAULT DATA'!$DZ$9:$MG$41,START!$B$3,($L62+3))*-44/12)+($J62*INDEX('DEFAULT DATA'!$DZ$9:$MG$41,START!$B$3,($L62+4))*-44/12)+($K62*INDEX('DEFAULT DATA'!$DZ$9:$MG$41,START!$B$3,($L62+5))*-44/12)</f>
        <v>0</v>
      </c>
      <c r="V62" s="221">
        <f>($I62*INDEX('DEFAULT DATA'!$DZ$9:$MG$41,START!$B$3,($L62))*-44/12)+($I62*INDEX('DEFAULT DATA'!$DZ$9:$MG$41,START!$B$3,($L62+1))*-44/12)+($I62*INDEX('DEFAULT DATA'!$DZ$9:$MG$41,START!$B$3,($L62+2))*-44/12)+($I62*INDEX('DEFAULT DATA'!$DZ$9:$MG$41,START!$B$3,($L62+3))*-44/12)+($J62*INDEX('DEFAULT DATA'!$DZ$9:$MG$41,START!$B$3,($L62+4))*-44/12)+($K62*INDEX('DEFAULT DATA'!$DZ$9:$MG$41,START!$B$3,($L62+5))*-44/12)</f>
        <v>0</v>
      </c>
      <c r="W62" s="221">
        <f>($I62*INDEX('DEFAULT DATA'!$DZ$9:$MG$41,START!$B$3,($L62))*-44/12)+($I62*INDEX('DEFAULT DATA'!$DZ$9:$MG$41,START!$B$3,($L62+1))*-44/12)+($I62*INDEX('DEFAULT DATA'!$DZ$9:$MG$41,START!$B$3,($L62+2))*-44/12)+($I62*INDEX('DEFAULT DATA'!$DZ$9:$MG$41,START!$B$3,($L62+3))*-44/12)+($J62*INDEX('DEFAULT DATA'!$DZ$9:$MG$41,START!$B$3,($L62+4))*-44/12)+($K62*INDEX('DEFAULT DATA'!$DZ$9:$MG$41,START!$B$3,($L62+5))*-44/12)</f>
        <v>0</v>
      </c>
      <c r="X62" s="221">
        <f>($I62*INDEX('DEFAULT DATA'!$DZ$9:$MG$41,START!$B$3,($L62))*-44/12)+($I62*INDEX('DEFAULT DATA'!$DZ$9:$MG$41,START!$B$3,($L62+1))*-44/12)+($I62*INDEX('DEFAULT DATA'!$DZ$9:$MG$41,START!$B$3,($L62+2))*-44/12)+($I62*INDEX('DEFAULT DATA'!$DZ$9:$MG$41,START!$B$3,($L62+3))*-44/12)+($J62*INDEX('DEFAULT DATA'!$DZ$9:$MG$41,START!$B$3,($L62+4))*-44/12)+($K62*INDEX('DEFAULT DATA'!$DZ$9:$MG$41,START!$B$3,($L62+5))*-44/12)</f>
        <v>0</v>
      </c>
      <c r="Y62" s="221">
        <f>($I62*INDEX('DEFAULT DATA'!$DZ$9:$MG$41,START!$B$3,($L62))*-44/12)+($I62*INDEX('DEFAULT DATA'!$DZ$9:$MG$41,START!$B$3,($L62+1))*-44/12)+($I62*INDEX('DEFAULT DATA'!$DZ$9:$MG$41,START!$B$3,($L62+2))*-44/12)+($I62*INDEX('DEFAULT DATA'!$DZ$9:$MG$41,START!$B$3,($L62+3))*-44/12)+($J62*INDEX('DEFAULT DATA'!$DZ$9:$MG$41,START!$B$3,($L62+4))*-44/12)+($K62*INDEX('DEFAULT DATA'!$DZ$9:$MG$41,START!$B$3,($L62+5))*-44/12)</f>
        <v>0</v>
      </c>
      <c r="Z62" s="221">
        <f>($I62*INDEX('DEFAULT DATA'!$DZ$9:$MG$41,START!$B$3,($L62))*-44/12)+($I62*INDEX('DEFAULT DATA'!$DZ$9:$MG$41,START!$B$3,($L62+1))*-44/12)+($I62*INDEX('DEFAULT DATA'!$DZ$9:$MG$41,START!$B$3,($L62+2))*-44/12)+($I62*INDEX('DEFAULT DATA'!$DZ$9:$MG$41,START!$B$3,($L62+3))*-44/12)+($J62*INDEX('DEFAULT DATA'!$DZ$9:$MG$41,START!$B$3,($L62+4))*-44/12)+($K62*INDEX('DEFAULT DATA'!$DZ$9:$MG$41,START!$B$3,($L62+5))*-44/12)</f>
        <v>0</v>
      </c>
      <c r="AA62" s="221">
        <f>($I62*INDEX('DEFAULT DATA'!$DZ$9:$MG$41,START!$B$3,($L62))*-44/12)+($I62*INDEX('DEFAULT DATA'!$DZ$9:$MG$41,START!$B$3,($L62+1))*-44/12)+($I62*INDEX('DEFAULT DATA'!$DZ$9:$MG$41,START!$B$3,($L62+2))*-44/12)+($I62*INDEX('DEFAULT DATA'!$DZ$9:$MG$41,START!$B$3,($L62+3))*-44/12)+($J62*INDEX('DEFAULT DATA'!$DZ$9:$MG$41,START!$B$3,($L62+4))*-44/12)+($K62*INDEX('DEFAULT DATA'!$DZ$9:$MG$41,START!$B$3,($L62+5))*-44/12)</f>
        <v>0</v>
      </c>
      <c r="AB62" s="221">
        <f>($I62*INDEX('DEFAULT DATA'!$DZ$9:$MG$41,START!$B$3,($L62))*-44/12)+($I62*INDEX('DEFAULT DATA'!$DZ$9:$MG$41,START!$B$3,($L62+1))*-44/12)+($I62*INDEX('DEFAULT DATA'!$DZ$9:$MG$41,START!$B$3,($L62+2))*-44/12)+($I62*INDEX('DEFAULT DATA'!$DZ$9:$MG$41,START!$B$3,($L62+3))*-44/12)+($J62*INDEX('DEFAULT DATA'!$DZ$9:$MG$41,START!$B$3,($L62+4))*-44/12)+($K62*INDEX('DEFAULT DATA'!$DZ$9:$MG$41,START!$B$3,($L62+5))*-44/12)</f>
        <v>0</v>
      </c>
      <c r="AC62" s="221">
        <f>($I62*INDEX('DEFAULT DATA'!$DZ$9:$MG$41,START!$B$3,($L62))*-44/12)+($I62*INDEX('DEFAULT DATA'!$DZ$9:$MG$41,START!$B$3,($L62+1))*-44/12)+($I62*INDEX('DEFAULT DATA'!$DZ$9:$MG$41,START!$B$3,($L62+2))*-44/12)+($I62*INDEX('DEFAULT DATA'!$DZ$9:$MG$41,START!$B$3,($L62+3))*-44/12)+($J62*INDEX('DEFAULT DATA'!$DZ$9:$MG$41,START!$B$3,($L62+4))*-44/12)+($K62*INDEX('DEFAULT DATA'!$DZ$9:$MG$41,START!$B$3,($L62+5))*-44/12)</f>
        <v>0</v>
      </c>
      <c r="AD62" s="221">
        <f>($I62*INDEX('DEFAULT DATA'!$DZ$9:$MG$41,START!$B$3,($L62))*-44/12)+($I62*INDEX('DEFAULT DATA'!$DZ$9:$MG$41,START!$B$3,($L62+1))*-44/12)+($I62*INDEX('DEFAULT DATA'!$DZ$9:$MG$41,START!$B$3,($L62+2))*-44/12)+($I62*INDEX('DEFAULT DATA'!$DZ$9:$MG$41,START!$B$3,($L62+3))*-44/12)+($J62*INDEX('DEFAULT DATA'!$DZ$9:$MG$41,START!$B$3,($L62+4))*-44/12)+($K62*INDEX('DEFAULT DATA'!$DZ$9:$MG$41,START!$B$3,($L62+5))*-44/12)</f>
        <v>0</v>
      </c>
      <c r="AE62" s="221">
        <f>($I62*INDEX('DEFAULT DATA'!$DZ$9:$MG$41,START!$B$3,($L62))*-44/12)+($I62*INDEX('DEFAULT DATA'!$DZ$9:$MG$41,START!$B$3,($L62+1))*-44/12)+($I62*INDEX('DEFAULT DATA'!$DZ$9:$MG$41,START!$B$3,($L62+2))*-44/12)+($I62*INDEX('DEFAULT DATA'!$DZ$9:$MG$41,START!$B$3,($L62+3))*-44/12)+($J62*INDEX('DEFAULT DATA'!$DZ$9:$MG$41,START!$B$3,($L62+4))*-44/12)+($K62*INDEX('DEFAULT DATA'!$DZ$9:$MG$41,START!$B$3,($L62+5))*-44/12)</f>
        <v>0</v>
      </c>
      <c r="AF62" s="221">
        <f>($I62*INDEX('DEFAULT DATA'!$DZ$9:$MG$41,START!$B$3,($L62))*-44/12)+($I62*INDEX('DEFAULT DATA'!$DZ$9:$MG$41,START!$B$3,($L62+1))*-44/12)+($I62*INDEX('DEFAULT DATA'!$DZ$9:$MG$41,START!$B$3,($L62+2))*-44/12)+($I62*INDEX('DEFAULT DATA'!$DZ$9:$MG$41,START!$B$3,($L62+3))*-44/12)+($J62*INDEX('DEFAULT DATA'!$DZ$9:$MG$41,START!$B$3,($L62+4))*-44/12)+($K62*INDEX('DEFAULT DATA'!$DZ$9:$MG$41,START!$B$3,($L62+5))*-44/12)</f>
        <v>0</v>
      </c>
      <c r="AG62" s="221">
        <f>($I62*INDEX('DEFAULT DATA'!$DZ$9:$MG$41,START!$B$3,($L62))*-44/12)+($I62*INDEX('DEFAULT DATA'!$DZ$9:$MG$41,START!$B$3,($L62+1))*-44/12)+($I62*INDEX('DEFAULT DATA'!$DZ$9:$MG$41,START!$B$3,($L62+2))*-44/12)+($I62*INDEX('DEFAULT DATA'!$DZ$9:$MG$41,START!$B$3,($L62+3))*-44/12)+($J62*INDEX('DEFAULT DATA'!$DZ$9:$MG$41,START!$B$3,($L62+4))*-44/12)+($K62*INDEX('DEFAULT DATA'!$DZ$9:$MG$41,START!$B$3,($L62+5))*-44/12)</f>
        <v>0</v>
      </c>
      <c r="AH62" s="221">
        <f>($I62*INDEX('DEFAULT DATA'!$DZ$9:$MG$41,START!$B$3,($L62))*-44/12)+($I62*INDEX('DEFAULT DATA'!$DZ$9:$MG$41,START!$B$3,($L62+1))*-44/12)+($I62*INDEX('DEFAULT DATA'!$DZ$9:$MG$41,START!$B$3,($L62+2))*-44/12)+($I62*INDEX('DEFAULT DATA'!$DZ$9:$MG$41,START!$B$3,($L62+3))*-44/12)+($J62*INDEX('DEFAULT DATA'!$DZ$9:$MG$41,START!$B$3,($L62+4))*-44/12)+($K62*INDEX('DEFAULT DATA'!$DZ$9:$MG$41,START!$B$3,($L62+5))*-44/12)</f>
        <v>0</v>
      </c>
      <c r="AI62" s="221"/>
      <c r="AJ62" s="221"/>
      <c r="AK62" s="221"/>
      <c r="AL62" s="221"/>
      <c r="AM62" s="221"/>
      <c r="AN62" s="221"/>
      <c r="AO62" s="221"/>
      <c r="AP62" s="221"/>
      <c r="AQ62" s="221"/>
      <c r="AR62" s="552"/>
    </row>
    <row r="63" spans="1:44" ht="20.100000000000001" customHeight="1" thickBot="1">
      <c r="A63" s="519" t="s">
        <v>1091</v>
      </c>
      <c r="B63" s="65"/>
      <c r="C63" s="65"/>
      <c r="D63" s="503">
        <v>2</v>
      </c>
      <c r="E63" s="505">
        <v>1</v>
      </c>
      <c r="F63" s="504">
        <v>1</v>
      </c>
      <c r="G63" s="65">
        <v>1</v>
      </c>
      <c r="H63" s="524"/>
      <c r="I63" s="515">
        <f t="shared" si="36"/>
        <v>2</v>
      </c>
      <c r="J63" s="516">
        <f t="shared" si="37"/>
        <v>1</v>
      </c>
      <c r="K63" s="516">
        <f t="shared" si="38"/>
        <v>1</v>
      </c>
      <c r="L63" s="385">
        <f t="shared" si="40"/>
        <v>175</v>
      </c>
      <c r="M63" s="536" t="s">
        <v>955</v>
      </c>
      <c r="N63" s="540">
        <f t="shared" si="39"/>
        <v>2022</v>
      </c>
      <c r="O63" s="553">
        <f>($I63*INDEX('DEFAULT DATA'!$DZ$9:$MG$41,START!$B$3,($L63))*-44/12)+($I63*INDEX('DEFAULT DATA'!$DZ$9:$MG$41,START!$B$3,($L63+1))*-44/12)+($I63*INDEX('DEFAULT DATA'!$DZ$9:$MG$41,START!$B$3,($L63+2))*-44/12)+($I63*INDEX('DEFAULT DATA'!$DZ$9:$MG$41,START!$B$3,($L63+3))*-44/12)+($J63*INDEX('DEFAULT DATA'!$DZ$9:$MG$41,START!$B$3,($L63+4))*-44/12)+($K63*INDEX('DEFAULT DATA'!$DZ$9:$MG$41,START!$B$3,($L63+5))*-44/12)</f>
        <v>0</v>
      </c>
      <c r="P63" s="553">
        <f>($I63*INDEX('DEFAULT DATA'!$DZ$9:$MG$41,START!$B$3,($L63))*-44/12)+($I63*INDEX('DEFAULT DATA'!$DZ$9:$MG$41,START!$B$3,($L63+1))*-44/12)+($I63*INDEX('DEFAULT DATA'!$DZ$9:$MG$41,START!$B$3,($L63+2))*-44/12)+($I63*INDEX('DEFAULT DATA'!$DZ$9:$MG$41,START!$B$3,($L63+3))*-44/12)+($J63*INDEX('DEFAULT DATA'!$DZ$9:$MG$41,START!$B$3,($L63+4))*-44/12)+($K63*INDEX('DEFAULT DATA'!$DZ$9:$MG$41,START!$B$3,($L63+5))*-44/12)</f>
        <v>0</v>
      </c>
      <c r="Q63" s="553">
        <f>($I63*INDEX('DEFAULT DATA'!$DZ$9:$MG$41,START!$B$3,($L63))*-44/12)+($I63*INDEX('DEFAULT DATA'!$DZ$9:$MG$41,START!$B$3,($L63+1))*-44/12)+($I63*INDEX('DEFAULT DATA'!$DZ$9:$MG$41,START!$B$3,($L63+2))*-44/12)+($I63*INDEX('DEFAULT DATA'!$DZ$9:$MG$41,START!$B$3,($L63+3))*-44/12)+($J63*INDEX('DEFAULT DATA'!$DZ$9:$MG$41,START!$B$3,($L63+4))*-44/12)+($K63*INDEX('DEFAULT DATA'!$DZ$9:$MG$41,START!$B$3,($L63+5))*-44/12)</f>
        <v>0</v>
      </c>
      <c r="R63" s="553">
        <f>($I63*INDEX('DEFAULT DATA'!$DZ$9:$MG$41,START!$B$3,($L63))*-44/12)+($I63*INDEX('DEFAULT DATA'!$DZ$9:$MG$41,START!$B$3,($L63+1))*-44/12)+($I63*INDEX('DEFAULT DATA'!$DZ$9:$MG$41,START!$B$3,($L63+2))*-44/12)+($I63*INDEX('DEFAULT DATA'!$DZ$9:$MG$41,START!$B$3,($L63+3))*-44/12)+($J63*INDEX('DEFAULT DATA'!$DZ$9:$MG$41,START!$B$3,($L63+4))*-44/12)+($K63*INDEX('DEFAULT DATA'!$DZ$9:$MG$41,START!$B$3,($L63+5))*-44/12)</f>
        <v>0</v>
      </c>
      <c r="S63" s="553">
        <f>($I63*INDEX('DEFAULT DATA'!$DZ$9:$MG$41,START!$B$3,($L63))*-44/12)+($I63*INDEX('DEFAULT DATA'!$DZ$9:$MG$41,START!$B$3,($L63+1))*-44/12)+($I63*INDEX('DEFAULT DATA'!$DZ$9:$MG$41,START!$B$3,($L63+2))*-44/12)+($I63*INDEX('DEFAULT DATA'!$DZ$9:$MG$41,START!$B$3,($L63+3))*-44/12)+($J63*INDEX('DEFAULT DATA'!$DZ$9:$MG$41,START!$B$3,($L63+4))*-44/12)+($K63*INDEX('DEFAULT DATA'!$DZ$9:$MG$41,START!$B$3,($L63+5))*-44/12)</f>
        <v>0</v>
      </c>
      <c r="T63" s="553">
        <f>($I63*INDEX('DEFAULT DATA'!$DZ$9:$MG$41,START!$B$3,($L63))*-44/12)+($I63*INDEX('DEFAULT DATA'!$DZ$9:$MG$41,START!$B$3,($L63+1))*-44/12)+($I63*INDEX('DEFAULT DATA'!$DZ$9:$MG$41,START!$B$3,($L63+2))*-44/12)+($I63*INDEX('DEFAULT DATA'!$DZ$9:$MG$41,START!$B$3,($L63+3))*-44/12)+($J63*INDEX('DEFAULT DATA'!$DZ$9:$MG$41,START!$B$3,($L63+4))*-44/12)+($K63*INDEX('DEFAULT DATA'!$DZ$9:$MG$41,START!$B$3,($L63+5))*-44/12)</f>
        <v>0</v>
      </c>
      <c r="U63" s="553">
        <f>($I63*INDEX('DEFAULT DATA'!$DZ$9:$MG$41,START!$B$3,($L63))*-44/12)+($I63*INDEX('DEFAULT DATA'!$DZ$9:$MG$41,START!$B$3,($L63+1))*-44/12)+($I63*INDEX('DEFAULT DATA'!$DZ$9:$MG$41,START!$B$3,($L63+2))*-44/12)+($I63*INDEX('DEFAULT DATA'!$DZ$9:$MG$41,START!$B$3,($L63+3))*-44/12)+($J63*INDEX('DEFAULT DATA'!$DZ$9:$MG$41,START!$B$3,($L63+4))*-44/12)+($K63*INDEX('DEFAULT DATA'!$DZ$9:$MG$41,START!$B$3,($L63+5))*-44/12)</f>
        <v>0</v>
      </c>
      <c r="V63" s="553">
        <f>($I63*INDEX('DEFAULT DATA'!$DZ$9:$MG$41,START!$B$3,($L63))*-44/12)+($I63*INDEX('DEFAULT DATA'!$DZ$9:$MG$41,START!$B$3,($L63+1))*-44/12)+($I63*INDEX('DEFAULT DATA'!$DZ$9:$MG$41,START!$B$3,($L63+2))*-44/12)+($I63*INDEX('DEFAULT DATA'!$DZ$9:$MG$41,START!$B$3,($L63+3))*-44/12)+($J63*INDEX('DEFAULT DATA'!$DZ$9:$MG$41,START!$B$3,($L63+4))*-44/12)+($K63*INDEX('DEFAULT DATA'!$DZ$9:$MG$41,START!$B$3,($L63+5))*-44/12)</f>
        <v>0</v>
      </c>
      <c r="W63" s="553">
        <f>($I63*INDEX('DEFAULT DATA'!$DZ$9:$MG$41,START!$B$3,($L63))*-44/12)+($I63*INDEX('DEFAULT DATA'!$DZ$9:$MG$41,START!$B$3,($L63+1))*-44/12)+($I63*INDEX('DEFAULT DATA'!$DZ$9:$MG$41,START!$B$3,($L63+2))*-44/12)+($I63*INDEX('DEFAULT DATA'!$DZ$9:$MG$41,START!$B$3,($L63+3))*-44/12)+($J63*INDEX('DEFAULT DATA'!$DZ$9:$MG$41,START!$B$3,($L63+4))*-44/12)+($K63*INDEX('DEFAULT DATA'!$DZ$9:$MG$41,START!$B$3,($L63+5))*-44/12)</f>
        <v>0</v>
      </c>
      <c r="X63" s="553">
        <f>($I63*INDEX('DEFAULT DATA'!$DZ$9:$MG$41,START!$B$3,($L63))*-44/12)+($I63*INDEX('DEFAULT DATA'!$DZ$9:$MG$41,START!$B$3,($L63+1))*-44/12)+($I63*INDEX('DEFAULT DATA'!$DZ$9:$MG$41,START!$B$3,($L63+2))*-44/12)+($I63*INDEX('DEFAULT DATA'!$DZ$9:$MG$41,START!$B$3,($L63+3))*-44/12)+($J63*INDEX('DEFAULT DATA'!$DZ$9:$MG$41,START!$B$3,($L63+4))*-44/12)+($K63*INDEX('DEFAULT DATA'!$DZ$9:$MG$41,START!$B$3,($L63+5))*-44/12)</f>
        <v>0</v>
      </c>
      <c r="Y63" s="553">
        <f>($I63*INDEX('DEFAULT DATA'!$DZ$9:$MG$41,START!$B$3,($L63))*-44/12)+($I63*INDEX('DEFAULT DATA'!$DZ$9:$MG$41,START!$B$3,($L63+1))*-44/12)+($I63*INDEX('DEFAULT DATA'!$DZ$9:$MG$41,START!$B$3,($L63+2))*-44/12)+($I63*INDEX('DEFAULT DATA'!$DZ$9:$MG$41,START!$B$3,($L63+3))*-44/12)+($J63*INDEX('DEFAULT DATA'!$DZ$9:$MG$41,START!$B$3,($L63+4))*-44/12)+($K63*INDEX('DEFAULT DATA'!$DZ$9:$MG$41,START!$B$3,($L63+5))*-44/12)</f>
        <v>0</v>
      </c>
      <c r="Z63" s="553">
        <f>($I63*INDEX('DEFAULT DATA'!$DZ$9:$MG$41,START!$B$3,($L63))*-44/12)+($I63*INDEX('DEFAULT DATA'!$DZ$9:$MG$41,START!$B$3,($L63+1))*-44/12)+($I63*INDEX('DEFAULT DATA'!$DZ$9:$MG$41,START!$B$3,($L63+2))*-44/12)+($I63*INDEX('DEFAULT DATA'!$DZ$9:$MG$41,START!$B$3,($L63+3))*-44/12)+($J63*INDEX('DEFAULT DATA'!$DZ$9:$MG$41,START!$B$3,($L63+4))*-44/12)+($K63*INDEX('DEFAULT DATA'!$DZ$9:$MG$41,START!$B$3,($L63+5))*-44/12)</f>
        <v>0</v>
      </c>
      <c r="AA63" s="553">
        <f>($I63*INDEX('DEFAULT DATA'!$DZ$9:$MG$41,START!$B$3,($L63))*-44/12)+($I63*INDEX('DEFAULT DATA'!$DZ$9:$MG$41,START!$B$3,($L63+1))*-44/12)+($I63*INDEX('DEFAULT DATA'!$DZ$9:$MG$41,START!$B$3,($L63+2))*-44/12)+($I63*INDEX('DEFAULT DATA'!$DZ$9:$MG$41,START!$B$3,($L63+3))*-44/12)+($J63*INDEX('DEFAULT DATA'!$DZ$9:$MG$41,START!$B$3,($L63+4))*-44/12)+($K63*INDEX('DEFAULT DATA'!$DZ$9:$MG$41,START!$B$3,($L63+5))*-44/12)</f>
        <v>0</v>
      </c>
      <c r="AB63" s="553">
        <f>($I63*INDEX('DEFAULT DATA'!$DZ$9:$MG$41,START!$B$3,($L63))*-44/12)+($I63*INDEX('DEFAULT DATA'!$DZ$9:$MG$41,START!$B$3,($L63+1))*-44/12)+($I63*INDEX('DEFAULT DATA'!$DZ$9:$MG$41,START!$B$3,($L63+2))*-44/12)+($I63*INDEX('DEFAULT DATA'!$DZ$9:$MG$41,START!$B$3,($L63+3))*-44/12)+($J63*INDEX('DEFAULT DATA'!$DZ$9:$MG$41,START!$B$3,($L63+4))*-44/12)+($K63*INDEX('DEFAULT DATA'!$DZ$9:$MG$41,START!$B$3,($L63+5))*-44/12)</f>
        <v>0</v>
      </c>
      <c r="AC63" s="553">
        <f>($I63*INDEX('DEFAULT DATA'!$DZ$9:$MG$41,START!$B$3,($L63))*-44/12)+($I63*INDEX('DEFAULT DATA'!$DZ$9:$MG$41,START!$B$3,($L63+1))*-44/12)+($I63*INDEX('DEFAULT DATA'!$DZ$9:$MG$41,START!$B$3,($L63+2))*-44/12)+($I63*INDEX('DEFAULT DATA'!$DZ$9:$MG$41,START!$B$3,($L63+3))*-44/12)+($J63*INDEX('DEFAULT DATA'!$DZ$9:$MG$41,START!$B$3,($L63+4))*-44/12)+($K63*INDEX('DEFAULT DATA'!$DZ$9:$MG$41,START!$B$3,($L63+5))*-44/12)</f>
        <v>0</v>
      </c>
      <c r="AD63" s="553">
        <f>($I63*INDEX('DEFAULT DATA'!$DZ$9:$MG$41,START!$B$3,($L63))*-44/12)+($I63*INDEX('DEFAULT DATA'!$DZ$9:$MG$41,START!$B$3,($L63+1))*-44/12)+($I63*INDEX('DEFAULT DATA'!$DZ$9:$MG$41,START!$B$3,($L63+2))*-44/12)+($I63*INDEX('DEFAULT DATA'!$DZ$9:$MG$41,START!$B$3,($L63+3))*-44/12)+($J63*INDEX('DEFAULT DATA'!$DZ$9:$MG$41,START!$B$3,($L63+4))*-44/12)+($K63*INDEX('DEFAULT DATA'!$DZ$9:$MG$41,START!$B$3,($L63+5))*-44/12)</f>
        <v>0</v>
      </c>
      <c r="AE63" s="553">
        <f>($I63*INDEX('DEFAULT DATA'!$DZ$9:$MG$41,START!$B$3,($L63))*-44/12)+($I63*INDEX('DEFAULT DATA'!$DZ$9:$MG$41,START!$B$3,($L63+1))*-44/12)+($I63*INDEX('DEFAULT DATA'!$DZ$9:$MG$41,START!$B$3,($L63+2))*-44/12)+($I63*INDEX('DEFAULT DATA'!$DZ$9:$MG$41,START!$B$3,($L63+3))*-44/12)+($J63*INDEX('DEFAULT DATA'!$DZ$9:$MG$41,START!$B$3,($L63+4))*-44/12)+($K63*INDEX('DEFAULT DATA'!$DZ$9:$MG$41,START!$B$3,($L63+5))*-44/12)</f>
        <v>0</v>
      </c>
      <c r="AF63" s="553">
        <f>($I63*INDEX('DEFAULT DATA'!$DZ$9:$MG$41,START!$B$3,($L63))*-44/12)+($I63*INDEX('DEFAULT DATA'!$DZ$9:$MG$41,START!$B$3,($L63+1))*-44/12)+($I63*INDEX('DEFAULT DATA'!$DZ$9:$MG$41,START!$B$3,($L63+2))*-44/12)+($I63*INDEX('DEFAULT DATA'!$DZ$9:$MG$41,START!$B$3,($L63+3))*-44/12)+($J63*INDEX('DEFAULT DATA'!$DZ$9:$MG$41,START!$B$3,($L63+4))*-44/12)+($K63*INDEX('DEFAULT DATA'!$DZ$9:$MG$41,START!$B$3,($L63+5))*-44/12)</f>
        <v>0</v>
      </c>
      <c r="AG63" s="553">
        <f>($I63*INDEX('DEFAULT DATA'!$DZ$9:$MG$41,START!$B$3,($L63))*-44/12)+($I63*INDEX('DEFAULT DATA'!$DZ$9:$MG$41,START!$B$3,($L63+1))*-44/12)+($I63*INDEX('DEFAULT DATA'!$DZ$9:$MG$41,START!$B$3,($L63+2))*-44/12)+($I63*INDEX('DEFAULT DATA'!$DZ$9:$MG$41,START!$B$3,($L63+3))*-44/12)+($J63*INDEX('DEFAULT DATA'!$DZ$9:$MG$41,START!$B$3,($L63+4))*-44/12)+($K63*INDEX('DEFAULT DATA'!$DZ$9:$MG$41,START!$B$3,($L63+5))*-44/12)</f>
        <v>0</v>
      </c>
      <c r="AH63" s="553">
        <f>($I63*INDEX('DEFAULT DATA'!$DZ$9:$MG$41,START!$B$3,($L63))*-44/12)+($I63*INDEX('DEFAULT DATA'!$DZ$9:$MG$41,START!$B$3,($L63+1))*-44/12)+($I63*INDEX('DEFAULT DATA'!$DZ$9:$MG$41,START!$B$3,($L63+2))*-44/12)+($I63*INDEX('DEFAULT DATA'!$DZ$9:$MG$41,START!$B$3,($L63+3))*-44/12)+($J63*INDEX('DEFAULT DATA'!$DZ$9:$MG$41,START!$B$3,($L63+4))*-44/12)+($K63*INDEX('DEFAULT DATA'!$DZ$9:$MG$41,START!$B$3,($L63+5))*-44/12)</f>
        <v>0</v>
      </c>
      <c r="AI63" s="553"/>
      <c r="AJ63" s="553"/>
      <c r="AK63" s="553"/>
      <c r="AL63" s="553"/>
      <c r="AM63" s="553"/>
      <c r="AN63" s="553"/>
      <c r="AO63" s="553"/>
      <c r="AP63" s="553"/>
      <c r="AQ63" s="553"/>
      <c r="AR63" s="554"/>
    </row>
    <row r="64" spans="1:44" ht="20.100000000000001" customHeight="1">
      <c r="A64" s="519" t="s">
        <v>1092</v>
      </c>
      <c r="B64" s="65"/>
      <c r="C64" s="65"/>
      <c r="D64" s="503">
        <v>2</v>
      </c>
      <c r="E64" s="505">
        <v>1</v>
      </c>
      <c r="F64" s="504">
        <v>1</v>
      </c>
      <c r="G64" s="65">
        <v>1</v>
      </c>
      <c r="H64" s="524"/>
      <c r="O64" s="565">
        <f>SUM(O34:O63)</f>
        <v>1054.2904487301864</v>
      </c>
      <c r="P64" s="565">
        <f t="shared" ref="P64:AR64" si="41">SUM(P34:P63)</f>
        <v>-1153.1895512698129</v>
      </c>
      <c r="Q64" s="565">
        <f t="shared" si="41"/>
        <v>-1153.1895512698129</v>
      </c>
      <c r="R64" s="565">
        <f t="shared" si="41"/>
        <v>-1153.1895512698129</v>
      </c>
      <c r="S64" s="565">
        <f t="shared" si="41"/>
        <v>-1153.1895512698129</v>
      </c>
      <c r="T64" s="565">
        <f t="shared" si="41"/>
        <v>-1158.4742854140861</v>
      </c>
      <c r="U64" s="565">
        <f t="shared" si="41"/>
        <v>-1158.4742854140861</v>
      </c>
      <c r="V64" s="565">
        <f t="shared" si="41"/>
        <v>-1158.4742854140861</v>
      </c>
      <c r="W64" s="565">
        <f t="shared" si="41"/>
        <v>-1158.4742854140861</v>
      </c>
      <c r="X64" s="565">
        <f t="shared" si="41"/>
        <v>-1158.4742854140861</v>
      </c>
      <c r="Y64" s="565">
        <f t="shared" si="41"/>
        <v>-1158.4742854140861</v>
      </c>
      <c r="Z64" s="565">
        <f t="shared" si="41"/>
        <v>-1158.4742854140861</v>
      </c>
      <c r="AA64" s="565">
        <f t="shared" si="41"/>
        <v>-1158.4742854140861</v>
      </c>
      <c r="AB64" s="565">
        <f t="shared" si="41"/>
        <v>-1158.4742854140861</v>
      </c>
      <c r="AC64" s="565">
        <f t="shared" si="41"/>
        <v>-1158.4742854140861</v>
      </c>
      <c r="AD64" s="565">
        <f t="shared" si="41"/>
        <v>-1158.4742854140861</v>
      </c>
      <c r="AE64" s="565">
        <f t="shared" si="41"/>
        <v>-1158.4742854140861</v>
      </c>
      <c r="AF64" s="565">
        <f t="shared" si="41"/>
        <v>-1158.4742854140861</v>
      </c>
      <c r="AG64" s="565">
        <f t="shared" si="41"/>
        <v>-1158.4742854140861</v>
      </c>
      <c r="AH64" s="565">
        <f>SUM(AH34:AH63)</f>
        <v>-1158.4742854140861</v>
      </c>
      <c r="AI64" s="556">
        <f t="shared" si="41"/>
        <v>-262.06737800734516</v>
      </c>
      <c r="AJ64" s="556">
        <f t="shared" si="41"/>
        <v>-262.06737800734516</v>
      </c>
      <c r="AK64" s="556">
        <f t="shared" si="41"/>
        <v>-262.06737800734516</v>
      </c>
      <c r="AL64" s="556">
        <f t="shared" si="41"/>
        <v>-262.06737800734516</v>
      </c>
      <c r="AM64" s="556">
        <f t="shared" si="41"/>
        <v>-262.06737800734516</v>
      </c>
      <c r="AN64" s="556">
        <f t="shared" si="41"/>
        <v>-262.06737800734516</v>
      </c>
      <c r="AO64" s="556">
        <f t="shared" si="41"/>
        <v>-262.06737800734516</v>
      </c>
      <c r="AP64" s="556">
        <f t="shared" si="41"/>
        <v>-262.06737800734516</v>
      </c>
      <c r="AQ64" s="556">
        <f t="shared" si="41"/>
        <v>-262.06737800734516</v>
      </c>
      <c r="AR64" s="556">
        <f t="shared" si="41"/>
        <v>-262.06737800734516</v>
      </c>
    </row>
    <row r="65" spans="1:194" ht="20.100000000000001" customHeight="1" thickBot="1">
      <c r="A65" s="521" t="s">
        <v>1093</v>
      </c>
      <c r="B65" s="75"/>
      <c r="C65" s="75"/>
      <c r="D65" s="510">
        <v>2</v>
      </c>
      <c r="E65" s="517">
        <v>1</v>
      </c>
      <c r="F65" s="523">
        <v>1</v>
      </c>
      <c r="G65" s="75">
        <v>1</v>
      </c>
      <c r="H65" s="525"/>
    </row>
    <row r="66" spans="1:194" ht="20.100000000000001" customHeight="1" thickBot="1">
      <c r="A66" s="507" t="s">
        <v>1024</v>
      </c>
      <c r="B66" s="134"/>
      <c r="C66" s="134"/>
      <c r="D66" s="508">
        <v>2</v>
      </c>
      <c r="E66" s="518">
        <v>1</v>
      </c>
      <c r="F66" s="522">
        <v>1</v>
      </c>
      <c r="G66" s="134">
        <v>1</v>
      </c>
      <c r="H66" s="526"/>
      <c r="L66" s="406"/>
      <c r="M66" s="24" t="s">
        <v>1111</v>
      </c>
      <c r="N66" s="406"/>
      <c r="O66" s="406"/>
      <c r="P66" s="406"/>
      <c r="Q66" s="406"/>
      <c r="R66" s="406"/>
      <c r="S66" s="406"/>
      <c r="T66" s="406"/>
      <c r="U66" s="406"/>
      <c r="V66" s="406"/>
      <c r="W66" s="406"/>
      <c r="X66" s="406"/>
      <c r="Y66" s="406"/>
      <c r="Z66" s="406"/>
      <c r="AA66" s="406"/>
      <c r="AB66" s="406"/>
      <c r="AC66" s="406"/>
      <c r="AD66" s="406"/>
      <c r="AE66" s="406"/>
      <c r="AF66" s="406"/>
      <c r="AG66" s="406"/>
      <c r="AH66" s="406"/>
      <c r="AI66" s="406"/>
      <c r="AJ66" s="406"/>
      <c r="AK66" s="406"/>
      <c r="AL66" s="406"/>
      <c r="AM66" s="406"/>
      <c r="AN66" s="406"/>
      <c r="AO66" s="406"/>
      <c r="AP66" s="406"/>
      <c r="AQ66" s="406"/>
      <c r="AR66" s="406"/>
      <c r="AS66" s="406"/>
      <c r="AT66" s="406"/>
      <c r="AU66" s="406"/>
      <c r="AV66" s="406"/>
      <c r="AW66" s="406"/>
      <c r="AX66" s="406"/>
      <c r="AY66" s="406"/>
      <c r="AZ66" s="406"/>
      <c r="BA66" s="406"/>
      <c r="BB66" s="406"/>
      <c r="BC66" s="406"/>
      <c r="BD66" s="406"/>
      <c r="BE66" s="406"/>
      <c r="BF66" s="406"/>
      <c r="BG66" s="406"/>
      <c r="BH66" s="406"/>
      <c r="BI66" s="406"/>
      <c r="BJ66" s="406"/>
      <c r="BK66" s="406"/>
      <c r="BL66" s="406"/>
      <c r="BM66" s="406"/>
      <c r="BN66" s="406"/>
      <c r="BO66" s="406"/>
      <c r="BP66" s="406"/>
      <c r="BQ66" s="406"/>
      <c r="BR66" s="406"/>
      <c r="BS66" s="406"/>
      <c r="BT66" s="406"/>
      <c r="BU66" s="406"/>
      <c r="BV66" s="406"/>
      <c r="BW66" s="406"/>
      <c r="BX66" s="406"/>
      <c r="BY66" s="406"/>
      <c r="BZ66" s="406"/>
      <c r="CA66" s="406"/>
      <c r="CB66" s="406"/>
      <c r="CC66" s="406"/>
      <c r="CD66" s="406"/>
      <c r="CE66" s="406"/>
      <c r="CF66" s="406"/>
      <c r="CG66" s="406"/>
      <c r="CH66" s="406"/>
      <c r="CI66" s="406"/>
      <c r="CJ66" s="406"/>
      <c r="CK66" s="406"/>
      <c r="CL66" s="406"/>
      <c r="CM66" s="406"/>
      <c r="CN66" s="406"/>
      <c r="CO66" s="406"/>
      <c r="CP66" s="406"/>
      <c r="CQ66" s="406"/>
      <c r="CR66" s="406"/>
      <c r="CS66" s="406"/>
      <c r="CT66" s="406"/>
      <c r="CU66" s="406"/>
      <c r="CV66" s="406"/>
      <c r="CW66" s="406"/>
      <c r="CX66" s="406"/>
      <c r="CY66" s="406"/>
      <c r="CZ66" s="406"/>
      <c r="DA66" s="406"/>
      <c r="DB66" s="406"/>
      <c r="DC66" s="406"/>
      <c r="DD66" s="406"/>
      <c r="DE66" s="406"/>
      <c r="DF66" s="406"/>
      <c r="DG66" s="406"/>
      <c r="DH66" s="406"/>
      <c r="DI66" s="406"/>
      <c r="DJ66" s="406"/>
      <c r="DK66" s="406"/>
      <c r="DL66" s="406"/>
      <c r="DM66" s="406"/>
      <c r="DN66" s="406"/>
      <c r="DO66" s="406"/>
      <c r="DP66" s="406"/>
      <c r="DQ66" s="406"/>
      <c r="DR66" s="406"/>
      <c r="DS66" s="406"/>
      <c r="DT66" s="406"/>
      <c r="DU66" s="406"/>
      <c r="DV66" s="406"/>
      <c r="DW66" s="406"/>
      <c r="DX66" s="406"/>
      <c r="DY66" s="406"/>
      <c r="DZ66" s="406"/>
      <c r="EA66" s="406"/>
      <c r="EB66" s="406"/>
      <c r="EC66" s="406"/>
      <c r="ED66" s="406"/>
      <c r="EE66" s="406"/>
      <c r="EF66" s="406"/>
      <c r="EG66" s="406"/>
      <c r="EH66" s="406"/>
      <c r="EI66" s="406"/>
      <c r="EJ66" s="406"/>
      <c r="EK66" s="406"/>
      <c r="EL66" s="406"/>
      <c r="EM66" s="406"/>
      <c r="EN66" s="406"/>
      <c r="EO66" s="406"/>
      <c r="EP66" s="406"/>
      <c r="EQ66" s="406"/>
      <c r="ER66" s="406"/>
      <c r="ES66" s="406"/>
      <c r="ET66" s="406"/>
      <c r="EU66" s="406"/>
      <c r="EV66" s="406"/>
      <c r="EW66" s="406"/>
      <c r="EX66" s="406"/>
      <c r="EY66" s="406"/>
      <c r="EZ66" s="406"/>
      <c r="FA66" s="406"/>
      <c r="FB66" s="406"/>
      <c r="FC66" s="406"/>
      <c r="FD66" s="406"/>
      <c r="FE66" s="406"/>
      <c r="FF66" s="406"/>
      <c r="FG66" s="406"/>
      <c r="FH66" s="406"/>
      <c r="FI66" s="406"/>
      <c r="FJ66" s="406"/>
      <c r="FK66" s="406"/>
      <c r="FL66" s="406"/>
      <c r="FM66" s="406"/>
      <c r="FN66" s="406"/>
      <c r="FO66" s="406"/>
      <c r="FP66" s="406"/>
      <c r="FQ66" s="406"/>
      <c r="FR66" s="406"/>
      <c r="FS66" s="406"/>
      <c r="FT66" s="406"/>
      <c r="FU66" s="406"/>
      <c r="FV66" s="406"/>
      <c r="FW66" s="406"/>
      <c r="FX66" s="406"/>
      <c r="FY66" s="406"/>
      <c r="FZ66" s="406"/>
      <c r="GA66" s="406"/>
      <c r="GB66" s="406"/>
      <c r="GC66" s="406"/>
      <c r="GD66" s="406"/>
      <c r="GE66" s="406"/>
      <c r="GF66" s="406"/>
      <c r="GG66" s="406"/>
      <c r="GH66" s="406"/>
      <c r="GI66" s="406"/>
      <c r="GJ66" s="406"/>
      <c r="GK66" s="406"/>
      <c r="GL66" s="406"/>
    </row>
    <row r="67" spans="1:194" ht="20.100000000000001" customHeight="1" thickBot="1">
      <c r="A67" s="501" t="s">
        <v>1025</v>
      </c>
      <c r="B67" s="65"/>
      <c r="C67" s="65"/>
      <c r="D67" s="503">
        <v>2</v>
      </c>
      <c r="E67" s="505">
        <v>1</v>
      </c>
      <c r="F67" s="504">
        <v>1</v>
      </c>
      <c r="G67" s="65">
        <v>1</v>
      </c>
      <c r="H67" s="524"/>
      <c r="M67" s="571" t="str">
        <f>M32</f>
        <v>land use change</v>
      </c>
      <c r="N67" s="572"/>
      <c r="O67" s="573">
        <f>2022</f>
        <v>2022</v>
      </c>
      <c r="P67" s="573">
        <f>O67+1</f>
        <v>2023</v>
      </c>
      <c r="Q67" s="573">
        <f t="shared" ref="Q67:AP67" si="42">P67+1</f>
        <v>2024</v>
      </c>
      <c r="R67" s="573">
        <f t="shared" si="42"/>
        <v>2025</v>
      </c>
      <c r="S67" s="573">
        <f t="shared" si="42"/>
        <v>2026</v>
      </c>
      <c r="T67" s="573">
        <f t="shared" si="42"/>
        <v>2027</v>
      </c>
      <c r="U67" s="573">
        <f t="shared" si="42"/>
        <v>2028</v>
      </c>
      <c r="V67" s="573">
        <f t="shared" si="42"/>
        <v>2029</v>
      </c>
      <c r="W67" s="573">
        <f t="shared" si="42"/>
        <v>2030</v>
      </c>
      <c r="X67" s="573">
        <f t="shared" si="42"/>
        <v>2031</v>
      </c>
      <c r="Y67" s="573">
        <f t="shared" si="42"/>
        <v>2032</v>
      </c>
      <c r="Z67" s="573">
        <f t="shared" si="42"/>
        <v>2033</v>
      </c>
      <c r="AA67" s="573">
        <f t="shared" si="42"/>
        <v>2034</v>
      </c>
      <c r="AB67" s="573">
        <f t="shared" si="42"/>
        <v>2035</v>
      </c>
      <c r="AC67" s="573">
        <f t="shared" si="42"/>
        <v>2036</v>
      </c>
      <c r="AD67" s="573">
        <f t="shared" si="42"/>
        <v>2037</v>
      </c>
      <c r="AE67" s="573">
        <f t="shared" si="42"/>
        <v>2038</v>
      </c>
      <c r="AF67" s="573">
        <f t="shared" si="42"/>
        <v>2039</v>
      </c>
      <c r="AG67" s="573">
        <f t="shared" si="42"/>
        <v>2040</v>
      </c>
      <c r="AH67" s="573">
        <f t="shared" si="42"/>
        <v>2041</v>
      </c>
      <c r="AI67" s="573">
        <f t="shared" si="42"/>
        <v>2042</v>
      </c>
      <c r="AJ67" s="573">
        <f t="shared" si="42"/>
        <v>2043</v>
      </c>
      <c r="AK67" s="573">
        <f t="shared" si="42"/>
        <v>2044</v>
      </c>
      <c r="AL67" s="573">
        <f t="shared" si="42"/>
        <v>2045</v>
      </c>
      <c r="AM67" s="573">
        <f t="shared" si="42"/>
        <v>2046</v>
      </c>
      <c r="AN67" s="573">
        <f t="shared" si="42"/>
        <v>2047</v>
      </c>
      <c r="AO67" s="573">
        <f t="shared" si="42"/>
        <v>2048</v>
      </c>
      <c r="AP67" s="573">
        <f t="shared" si="42"/>
        <v>2049</v>
      </c>
      <c r="AQ67" s="574">
        <f>AP67+1</f>
        <v>2050</v>
      </c>
      <c r="AR67" s="406"/>
      <c r="AS67" s="406"/>
      <c r="AT67" s="406"/>
      <c r="AU67" s="406"/>
      <c r="AV67" s="406"/>
      <c r="AW67" s="406"/>
      <c r="AX67" s="406"/>
      <c r="AY67" s="406"/>
      <c r="AZ67" s="406"/>
      <c r="BA67" s="406"/>
      <c r="BB67" s="406"/>
      <c r="BC67" s="406"/>
      <c r="BD67" s="406"/>
      <c r="BE67" s="406"/>
      <c r="BF67" s="406"/>
      <c r="BG67" s="406"/>
      <c r="BH67" s="406"/>
      <c r="BI67" s="406"/>
      <c r="BJ67" s="406"/>
      <c r="BK67" s="406"/>
      <c r="BL67" s="406"/>
      <c r="BM67" s="406"/>
      <c r="BN67" s="406"/>
      <c r="BO67" s="406"/>
      <c r="BP67" s="406"/>
      <c r="BQ67" s="406"/>
      <c r="BR67" s="406"/>
      <c r="BS67" s="406"/>
      <c r="BT67" s="406"/>
      <c r="BU67" s="406"/>
      <c r="BV67" s="406"/>
      <c r="BW67" s="406"/>
      <c r="BX67" s="406"/>
      <c r="BY67" s="406"/>
      <c r="BZ67" s="406"/>
      <c r="CA67" s="406"/>
      <c r="CB67" s="406"/>
      <c r="CC67" s="406"/>
      <c r="CD67" s="406"/>
      <c r="CE67" s="406"/>
      <c r="CF67" s="406"/>
      <c r="CG67" s="406"/>
      <c r="CH67" s="406"/>
      <c r="CI67" s="406"/>
      <c r="CJ67" s="406"/>
      <c r="CK67" s="406"/>
      <c r="CL67" s="406"/>
      <c r="CM67" s="406"/>
      <c r="CN67" s="406"/>
      <c r="CO67" s="406"/>
      <c r="CP67" s="406"/>
      <c r="CQ67" s="406"/>
      <c r="CR67" s="406"/>
      <c r="CS67" s="406"/>
      <c r="CT67" s="406"/>
      <c r="CU67" s="406"/>
      <c r="CV67" s="406"/>
      <c r="CW67" s="406"/>
      <c r="CX67" s="406"/>
      <c r="CY67" s="406"/>
      <c r="CZ67" s="406"/>
      <c r="DA67" s="406"/>
      <c r="DB67" s="406"/>
      <c r="DC67" s="406"/>
      <c r="DD67" s="406"/>
      <c r="DE67" s="406"/>
      <c r="DF67" s="406"/>
      <c r="DG67" s="406"/>
      <c r="DH67" s="406"/>
      <c r="DI67" s="406"/>
      <c r="DJ67" s="406"/>
      <c r="DK67" s="406"/>
      <c r="DL67" s="406"/>
      <c r="DM67" s="406"/>
      <c r="DN67" s="406"/>
      <c r="DO67" s="406"/>
      <c r="DP67" s="406"/>
      <c r="DQ67" s="406"/>
      <c r="DR67" s="406"/>
      <c r="DS67" s="406"/>
      <c r="DT67" s="406"/>
      <c r="DU67" s="406"/>
      <c r="DV67" s="406"/>
      <c r="DW67" s="406"/>
      <c r="DX67" s="406"/>
      <c r="DY67" s="406"/>
      <c r="DZ67" s="406"/>
      <c r="EA67" s="406"/>
      <c r="EB67" s="406"/>
      <c r="EC67" s="406"/>
      <c r="ED67" s="406"/>
      <c r="EE67" s="406"/>
      <c r="EF67" s="406"/>
      <c r="EG67" s="406"/>
      <c r="EH67" s="406"/>
      <c r="EI67" s="406"/>
      <c r="EJ67" s="406"/>
      <c r="EK67" s="406"/>
      <c r="EL67" s="406"/>
      <c r="EM67" s="406"/>
      <c r="EN67" s="406"/>
      <c r="EO67" s="406"/>
      <c r="EP67" s="406"/>
      <c r="EQ67" s="406"/>
      <c r="ER67" s="406"/>
      <c r="ES67" s="406"/>
      <c r="ET67" s="406"/>
      <c r="EU67" s="406"/>
      <c r="EV67" s="406"/>
      <c r="EW67" s="406"/>
      <c r="EX67" s="406"/>
      <c r="EY67" s="406"/>
      <c r="EZ67" s="406"/>
      <c r="FA67" s="406"/>
      <c r="FB67" s="406"/>
      <c r="FC67" s="406"/>
      <c r="FD67" s="406"/>
      <c r="FE67" s="406"/>
      <c r="FF67" s="406"/>
      <c r="FG67" s="406"/>
      <c r="FH67" s="406"/>
      <c r="FI67" s="406"/>
      <c r="FJ67" s="406"/>
      <c r="FK67" s="406"/>
      <c r="FL67" s="406"/>
      <c r="FM67" s="406"/>
      <c r="FN67" s="406"/>
      <c r="FO67" s="406"/>
      <c r="FP67" s="406"/>
      <c r="FQ67" s="406"/>
      <c r="FR67" s="406"/>
      <c r="FS67" s="406"/>
      <c r="FT67" s="406"/>
      <c r="FU67" s="406"/>
      <c r="FV67" s="406"/>
      <c r="FW67" s="406"/>
      <c r="FX67" s="406"/>
      <c r="FY67" s="406"/>
      <c r="FZ67" s="406"/>
      <c r="GA67" s="406"/>
      <c r="GB67" s="406"/>
      <c r="GC67" s="406"/>
      <c r="GD67" s="406"/>
      <c r="GE67" s="406"/>
      <c r="GF67" s="406"/>
      <c r="GG67" s="406"/>
      <c r="GH67" s="406"/>
      <c r="GI67" s="406"/>
      <c r="GJ67" s="406"/>
      <c r="GK67" s="406"/>
      <c r="GL67" s="406"/>
    </row>
    <row r="68" spans="1:194" ht="20.100000000000001" customHeight="1">
      <c r="A68" s="501" t="s">
        <v>1026</v>
      </c>
      <c r="B68" s="65"/>
      <c r="C68" s="65"/>
      <c r="D68" s="503">
        <v>2</v>
      </c>
      <c r="E68" s="505">
        <v>1</v>
      </c>
      <c r="F68" s="504">
        <v>1</v>
      </c>
      <c r="G68" s="65">
        <v>1</v>
      </c>
      <c r="H68" s="524"/>
      <c r="L68" s="406">
        <v>1</v>
      </c>
      <c r="M68" s="531" t="str">
        <f t="shared" ref="M68:M96" si="43">M34</f>
        <v>from_cropland_to_forestland</v>
      </c>
      <c r="N68" s="575"/>
      <c r="O68" s="576">
        <f>IF($N34&gt;O$67,0,INDEX($O$34:$AR$63,$L68,(O$67-$N34+1)))</f>
        <v>0</v>
      </c>
      <c r="P68" s="576">
        <f t="shared" ref="P68:AQ77" si="44">IF($N34&gt;P$67,0,INDEX($O$34:$AR$63,$L68,(P$67-$N34+1)))</f>
        <v>0</v>
      </c>
      <c r="Q68" s="576">
        <f t="shared" si="44"/>
        <v>0</v>
      </c>
      <c r="R68" s="576">
        <f t="shared" si="44"/>
        <v>0</v>
      </c>
      <c r="S68" s="576">
        <f t="shared" si="44"/>
        <v>0</v>
      </c>
      <c r="T68" s="576">
        <f t="shared" si="44"/>
        <v>0</v>
      </c>
      <c r="U68" s="576">
        <f t="shared" si="44"/>
        <v>0</v>
      </c>
      <c r="V68" s="576">
        <f t="shared" si="44"/>
        <v>0</v>
      </c>
      <c r="W68" s="576">
        <f t="shared" si="44"/>
        <v>0</v>
      </c>
      <c r="X68" s="576">
        <f t="shared" si="44"/>
        <v>0</v>
      </c>
      <c r="Y68" s="576">
        <f t="shared" si="44"/>
        <v>0</v>
      </c>
      <c r="Z68" s="576">
        <f t="shared" si="44"/>
        <v>0</v>
      </c>
      <c r="AA68" s="576">
        <f t="shared" si="44"/>
        <v>0</v>
      </c>
      <c r="AB68" s="576">
        <f t="shared" si="44"/>
        <v>0</v>
      </c>
      <c r="AC68" s="576">
        <f t="shared" si="44"/>
        <v>0</v>
      </c>
      <c r="AD68" s="576">
        <f t="shared" si="44"/>
        <v>0</v>
      </c>
      <c r="AE68" s="576">
        <f t="shared" si="44"/>
        <v>0</v>
      </c>
      <c r="AF68" s="576">
        <f t="shared" si="44"/>
        <v>0</v>
      </c>
      <c r="AG68" s="576">
        <f t="shared" si="44"/>
        <v>0</v>
      </c>
      <c r="AH68" s="576">
        <f t="shared" si="44"/>
        <v>0</v>
      </c>
      <c r="AI68" s="576">
        <f t="shared" si="44"/>
        <v>-5.3534150114908847</v>
      </c>
      <c r="AJ68" s="576">
        <f t="shared" si="44"/>
        <v>-5.3534150114908847</v>
      </c>
      <c r="AK68" s="576">
        <f t="shared" si="44"/>
        <v>-5.3534150114908847</v>
      </c>
      <c r="AL68" s="576">
        <f t="shared" si="44"/>
        <v>-5.3534150114908847</v>
      </c>
      <c r="AM68" s="576">
        <f t="shared" si="44"/>
        <v>-5.3534150114908847</v>
      </c>
      <c r="AN68" s="576">
        <f t="shared" si="44"/>
        <v>-5.3534150114908847</v>
      </c>
      <c r="AO68" s="576">
        <f t="shared" si="44"/>
        <v>-5.3534150114908847</v>
      </c>
      <c r="AP68" s="576">
        <f t="shared" si="44"/>
        <v>-5.3534150114908847</v>
      </c>
      <c r="AQ68" s="577">
        <f t="shared" si="44"/>
        <v>-5.3534150114908847</v>
      </c>
      <c r="AR68" s="406"/>
      <c r="AS68" s="406"/>
      <c r="AT68" s="406"/>
      <c r="AU68" s="406"/>
      <c r="AV68" s="406"/>
      <c r="AW68" s="406"/>
      <c r="AX68" s="406"/>
      <c r="AY68" s="406"/>
      <c r="AZ68" s="406"/>
      <c r="BA68" s="406"/>
      <c r="BB68" s="406"/>
      <c r="BC68" s="406"/>
      <c r="BD68" s="406"/>
      <c r="BE68" s="406"/>
      <c r="BF68" s="406"/>
      <c r="BG68" s="406"/>
      <c r="BH68" s="406"/>
      <c r="BI68" s="406"/>
      <c r="BJ68" s="406"/>
      <c r="BK68" s="406"/>
      <c r="BL68" s="406"/>
      <c r="BM68" s="406"/>
      <c r="BN68" s="406"/>
      <c r="BO68" s="406"/>
      <c r="BP68" s="406"/>
      <c r="BQ68" s="406"/>
      <c r="BR68" s="406"/>
      <c r="BS68" s="406"/>
      <c r="BT68" s="406"/>
      <c r="BU68" s="406"/>
      <c r="BV68" s="406"/>
      <c r="BW68" s="406"/>
      <c r="BX68" s="406"/>
      <c r="BY68" s="406"/>
      <c r="BZ68" s="406"/>
      <c r="CA68" s="406"/>
      <c r="CB68" s="406"/>
      <c r="CC68" s="406"/>
      <c r="CD68" s="406"/>
      <c r="CE68" s="406"/>
      <c r="CF68" s="406"/>
      <c r="CG68" s="406"/>
      <c r="CH68" s="406"/>
      <c r="CI68" s="406"/>
      <c r="CJ68" s="406"/>
      <c r="CK68" s="406"/>
      <c r="CL68" s="406"/>
      <c r="CM68" s="406"/>
      <c r="CN68" s="406"/>
      <c r="CO68" s="406"/>
      <c r="CP68" s="406"/>
      <c r="CQ68" s="406"/>
      <c r="CR68" s="406"/>
      <c r="CS68" s="406"/>
      <c r="CT68" s="406"/>
      <c r="CU68" s="406"/>
      <c r="CV68" s="406"/>
      <c r="CW68" s="406"/>
      <c r="CX68" s="406"/>
      <c r="CY68" s="406"/>
      <c r="CZ68" s="406"/>
      <c r="DA68" s="406"/>
      <c r="DB68" s="406"/>
      <c r="DC68" s="406"/>
      <c r="DD68" s="406"/>
      <c r="DE68" s="406"/>
      <c r="DF68" s="406"/>
      <c r="DG68" s="406"/>
      <c r="DH68" s="406"/>
      <c r="DI68" s="406"/>
      <c r="DJ68" s="406"/>
      <c r="DK68" s="406"/>
      <c r="DL68" s="406"/>
      <c r="DM68" s="406"/>
      <c r="DN68" s="406"/>
      <c r="DO68" s="406"/>
      <c r="DP68" s="406"/>
      <c r="DQ68" s="406"/>
      <c r="DR68" s="406"/>
      <c r="DS68" s="406"/>
      <c r="DT68" s="406"/>
      <c r="DU68" s="406"/>
      <c r="DV68" s="406"/>
      <c r="DW68" s="406"/>
      <c r="DX68" s="406"/>
      <c r="DY68" s="406"/>
      <c r="DZ68" s="406"/>
      <c r="EA68" s="406"/>
      <c r="EB68" s="406"/>
      <c r="EC68" s="406"/>
      <c r="ED68" s="406"/>
      <c r="EE68" s="406"/>
      <c r="EF68" s="406"/>
      <c r="EG68" s="406"/>
      <c r="EH68" s="406"/>
      <c r="EI68" s="406"/>
      <c r="EJ68" s="406"/>
      <c r="EK68" s="406"/>
      <c r="EL68" s="406"/>
      <c r="EM68" s="406"/>
      <c r="EN68" s="406"/>
      <c r="EO68" s="406"/>
      <c r="EP68" s="406"/>
      <c r="EQ68" s="406"/>
      <c r="ER68" s="406"/>
      <c r="ES68" s="406"/>
      <c r="ET68" s="406"/>
      <c r="EU68" s="406"/>
      <c r="EV68" s="406"/>
      <c r="EW68" s="406"/>
      <c r="EX68" s="406"/>
      <c r="EY68" s="406"/>
      <c r="EZ68" s="406"/>
      <c r="FA68" s="406"/>
      <c r="FB68" s="406"/>
      <c r="FC68" s="406"/>
      <c r="FD68" s="406"/>
      <c r="FE68" s="406"/>
      <c r="FF68" s="406"/>
      <c r="FG68" s="406"/>
      <c r="FH68" s="406"/>
      <c r="FI68" s="406"/>
      <c r="FJ68" s="406"/>
      <c r="FK68" s="406"/>
      <c r="FL68" s="406"/>
      <c r="FM68" s="406"/>
      <c r="FN68" s="406"/>
      <c r="FO68" s="406"/>
      <c r="FP68" s="406"/>
      <c r="FQ68" s="406"/>
      <c r="FR68" s="406"/>
      <c r="FS68" s="406"/>
      <c r="FT68" s="406"/>
      <c r="FU68" s="406"/>
      <c r="FV68" s="406"/>
      <c r="FW68" s="406"/>
      <c r="FX68" s="406"/>
      <c r="FY68" s="406"/>
      <c r="FZ68" s="406"/>
      <c r="GA68" s="406"/>
      <c r="GB68" s="406"/>
      <c r="GC68" s="406"/>
      <c r="GD68" s="406"/>
      <c r="GE68" s="406"/>
      <c r="GF68" s="406"/>
      <c r="GG68" s="406"/>
      <c r="GH68" s="406"/>
      <c r="GI68" s="406"/>
      <c r="GJ68" s="406"/>
      <c r="GK68" s="406"/>
      <c r="GL68" s="406"/>
    </row>
    <row r="69" spans="1:194" ht="20.100000000000001" customHeight="1">
      <c r="A69" s="501" t="s">
        <v>1027</v>
      </c>
      <c r="B69" s="65"/>
      <c r="C69" s="65"/>
      <c r="D69" s="503">
        <v>2</v>
      </c>
      <c r="E69" s="505">
        <v>1</v>
      </c>
      <c r="F69" s="504">
        <v>1</v>
      </c>
      <c r="G69" s="65">
        <v>1</v>
      </c>
      <c r="H69" s="524"/>
      <c r="L69" s="406">
        <f>L68+1</f>
        <v>2</v>
      </c>
      <c r="M69" s="532" t="str">
        <f t="shared" si="43"/>
        <v>from_grassland_to_forestland</v>
      </c>
      <c r="N69" s="530"/>
      <c r="O69" s="566">
        <f t="shared" ref="O69:AD97" si="45">IF($N35&gt;O$67,0,INDEX($O$34:$AR$63,$L69,(O$67-$N35+1)))</f>
        <v>-606.13841810998508</v>
      </c>
      <c r="P69" s="566">
        <f t="shared" si="45"/>
        <v>-606.13841810998508</v>
      </c>
      <c r="Q69" s="566">
        <f t="shared" si="45"/>
        <v>-606.13841810998508</v>
      </c>
      <c r="R69" s="566">
        <f t="shared" si="45"/>
        <v>-606.13841810998508</v>
      </c>
      <c r="S69" s="566">
        <f t="shared" si="45"/>
        <v>-606.13841810998508</v>
      </c>
      <c r="T69" s="566">
        <f t="shared" si="45"/>
        <v>-606.13841810998508</v>
      </c>
      <c r="U69" s="566">
        <f t="shared" si="45"/>
        <v>-606.13841810998508</v>
      </c>
      <c r="V69" s="566">
        <f t="shared" si="45"/>
        <v>-606.13841810998508</v>
      </c>
      <c r="W69" s="566">
        <f t="shared" si="45"/>
        <v>-606.13841810998508</v>
      </c>
      <c r="X69" s="566">
        <f t="shared" si="45"/>
        <v>-606.13841810998508</v>
      </c>
      <c r="Y69" s="566">
        <f t="shared" si="45"/>
        <v>-606.13841810998508</v>
      </c>
      <c r="Z69" s="566">
        <f t="shared" si="45"/>
        <v>-606.13841810998508</v>
      </c>
      <c r="AA69" s="566">
        <f t="shared" si="45"/>
        <v>-606.13841810998508</v>
      </c>
      <c r="AB69" s="566">
        <f t="shared" si="45"/>
        <v>-606.13841810998508</v>
      </c>
      <c r="AC69" s="566">
        <f t="shared" si="45"/>
        <v>-606.13841810998508</v>
      </c>
      <c r="AD69" s="566">
        <f t="shared" si="45"/>
        <v>-606.13841810998508</v>
      </c>
      <c r="AE69" s="566">
        <f t="shared" si="44"/>
        <v>-606.13841810998508</v>
      </c>
      <c r="AF69" s="566">
        <f t="shared" si="44"/>
        <v>-606.13841810998508</v>
      </c>
      <c r="AG69" s="566">
        <f t="shared" si="44"/>
        <v>-606.13841810998508</v>
      </c>
      <c r="AH69" s="566">
        <f t="shared" si="44"/>
        <v>-606.13841810998508</v>
      </c>
      <c r="AI69" s="566">
        <f t="shared" si="44"/>
        <v>-178.08465641879221</v>
      </c>
      <c r="AJ69" s="566">
        <f t="shared" si="44"/>
        <v>-178.08465641879221</v>
      </c>
      <c r="AK69" s="566">
        <f t="shared" si="44"/>
        <v>-178.08465641879221</v>
      </c>
      <c r="AL69" s="566">
        <f t="shared" si="44"/>
        <v>-178.08465641879221</v>
      </c>
      <c r="AM69" s="566">
        <f t="shared" si="44"/>
        <v>-178.08465641879221</v>
      </c>
      <c r="AN69" s="566">
        <f t="shared" si="44"/>
        <v>-178.08465641879221</v>
      </c>
      <c r="AO69" s="566">
        <f t="shared" si="44"/>
        <v>-178.08465641879221</v>
      </c>
      <c r="AP69" s="566">
        <f t="shared" si="44"/>
        <v>-178.08465641879221</v>
      </c>
      <c r="AQ69" s="567">
        <f t="shared" si="44"/>
        <v>-178.08465641879221</v>
      </c>
      <c r="AR69" s="406"/>
      <c r="AS69" s="406"/>
      <c r="AT69" s="406"/>
      <c r="AU69" s="406"/>
      <c r="AV69" s="406"/>
      <c r="AW69" s="406"/>
      <c r="AX69" s="406"/>
      <c r="AY69" s="406"/>
      <c r="AZ69" s="406"/>
      <c r="BA69" s="406"/>
      <c r="BB69" s="406"/>
      <c r="BC69" s="406"/>
      <c r="BD69" s="406"/>
      <c r="BE69" s="406"/>
      <c r="BF69" s="406"/>
      <c r="BG69" s="406"/>
      <c r="BH69" s="406"/>
      <c r="BI69" s="406"/>
      <c r="BJ69" s="406"/>
      <c r="BK69" s="406"/>
      <c r="BL69" s="406"/>
      <c r="BM69" s="406"/>
      <c r="BN69" s="406"/>
      <c r="BO69" s="406"/>
      <c r="BP69" s="406"/>
      <c r="BQ69" s="406"/>
      <c r="BR69" s="406"/>
      <c r="BS69" s="406"/>
      <c r="BT69" s="406"/>
      <c r="BU69" s="406"/>
      <c r="BV69" s="406"/>
      <c r="BW69" s="406"/>
      <c r="BX69" s="406"/>
      <c r="BY69" s="406"/>
      <c r="BZ69" s="406"/>
      <c r="CA69" s="406"/>
      <c r="CB69" s="406"/>
      <c r="CC69" s="406"/>
      <c r="CD69" s="406"/>
      <c r="CE69" s="406"/>
      <c r="CF69" s="406"/>
      <c r="CG69" s="406"/>
      <c r="CH69" s="406"/>
      <c r="CI69" s="406"/>
      <c r="CJ69" s="406"/>
      <c r="CK69" s="406"/>
      <c r="CL69" s="406"/>
      <c r="CM69" s="406"/>
      <c r="CN69" s="406"/>
      <c r="CO69" s="406"/>
      <c r="CP69" s="406"/>
      <c r="CQ69" s="406"/>
      <c r="CR69" s="406"/>
      <c r="CS69" s="406"/>
      <c r="CT69" s="406"/>
      <c r="CU69" s="406"/>
      <c r="CV69" s="406"/>
      <c r="CW69" s="406"/>
      <c r="CX69" s="406"/>
      <c r="CY69" s="406"/>
      <c r="CZ69" s="406"/>
      <c r="DA69" s="406"/>
      <c r="DB69" s="406"/>
      <c r="DC69" s="406"/>
      <c r="DD69" s="406"/>
      <c r="DE69" s="406"/>
      <c r="DF69" s="406"/>
      <c r="DG69" s="406"/>
      <c r="DH69" s="406"/>
      <c r="DI69" s="406"/>
      <c r="DJ69" s="406"/>
      <c r="DK69" s="406"/>
      <c r="DL69" s="406"/>
      <c r="DM69" s="406"/>
      <c r="DN69" s="406"/>
      <c r="DO69" s="406"/>
      <c r="DP69" s="406"/>
      <c r="DQ69" s="406"/>
      <c r="DR69" s="406"/>
      <c r="DS69" s="406"/>
      <c r="DT69" s="406"/>
      <c r="DU69" s="406"/>
      <c r="DV69" s="406"/>
      <c r="DW69" s="406"/>
      <c r="DX69" s="406"/>
      <c r="DY69" s="406"/>
      <c r="DZ69" s="406"/>
      <c r="EA69" s="406"/>
      <c r="EB69" s="406"/>
      <c r="EC69" s="406"/>
      <c r="ED69" s="406"/>
      <c r="EE69" s="406"/>
      <c r="EF69" s="406"/>
      <c r="EG69" s="406"/>
      <c r="EH69" s="406"/>
      <c r="EI69" s="406"/>
      <c r="EJ69" s="406"/>
      <c r="EK69" s="406"/>
      <c r="EL69" s="406"/>
      <c r="EM69" s="406"/>
      <c r="EN69" s="406"/>
      <c r="EO69" s="406"/>
      <c r="EP69" s="406"/>
      <c r="EQ69" s="406"/>
      <c r="ER69" s="406"/>
      <c r="ES69" s="406"/>
      <c r="ET69" s="406"/>
      <c r="EU69" s="406"/>
      <c r="EV69" s="406"/>
      <c r="EW69" s="406"/>
      <c r="EX69" s="406"/>
      <c r="EY69" s="406"/>
      <c r="EZ69" s="406"/>
      <c r="FA69" s="406"/>
      <c r="FB69" s="406"/>
      <c r="FC69" s="406"/>
      <c r="FD69" s="406"/>
      <c r="FE69" s="406"/>
      <c r="FF69" s="406"/>
      <c r="FG69" s="406"/>
      <c r="FH69" s="406"/>
      <c r="FI69" s="406"/>
      <c r="FJ69" s="406"/>
      <c r="FK69" s="406"/>
      <c r="FL69" s="406"/>
      <c r="FM69" s="406"/>
      <c r="FN69" s="406"/>
      <c r="FO69" s="406"/>
      <c r="FP69" s="406"/>
      <c r="FQ69" s="406"/>
      <c r="FR69" s="406"/>
      <c r="FS69" s="406"/>
      <c r="FT69" s="406"/>
      <c r="FU69" s="406"/>
      <c r="FV69" s="406"/>
      <c r="FW69" s="406"/>
      <c r="FX69" s="406"/>
      <c r="FY69" s="406"/>
      <c r="FZ69" s="406"/>
      <c r="GA69" s="406"/>
      <c r="GB69" s="406"/>
      <c r="GC69" s="406"/>
      <c r="GD69" s="406"/>
      <c r="GE69" s="406"/>
      <c r="GF69" s="406"/>
      <c r="GG69" s="406"/>
      <c r="GH69" s="406"/>
      <c r="GI69" s="406"/>
      <c r="GJ69" s="406"/>
      <c r="GK69" s="406"/>
      <c r="GL69" s="406"/>
    </row>
    <row r="70" spans="1:194" ht="20.100000000000001" customHeight="1" thickBot="1">
      <c r="A70" s="509" t="s">
        <v>1028</v>
      </c>
      <c r="B70" s="75"/>
      <c r="C70" s="75"/>
      <c r="D70" s="510">
        <v>2</v>
      </c>
      <c r="E70" s="517">
        <v>1</v>
      </c>
      <c r="F70" s="523">
        <v>1</v>
      </c>
      <c r="G70" s="75">
        <v>1</v>
      </c>
      <c r="H70" s="525"/>
      <c r="L70" s="406">
        <f t="shared" ref="L70:L97" si="46">L69+1</f>
        <v>3</v>
      </c>
      <c r="M70" s="532" t="str">
        <f t="shared" si="43"/>
        <v>from_wetland_to_forestland</v>
      </c>
      <c r="N70" s="530"/>
      <c r="O70" s="566">
        <f t="shared" si="45"/>
        <v>-605.7827522835421</v>
      </c>
      <c r="P70" s="566">
        <f t="shared" si="44"/>
        <v>-605.7827522835421</v>
      </c>
      <c r="Q70" s="566">
        <f t="shared" si="44"/>
        <v>-605.7827522835421</v>
      </c>
      <c r="R70" s="566">
        <f t="shared" si="44"/>
        <v>-605.7827522835421</v>
      </c>
      <c r="S70" s="566">
        <f t="shared" si="44"/>
        <v>-605.7827522835421</v>
      </c>
      <c r="T70" s="566">
        <f t="shared" si="44"/>
        <v>-605.7827522835421</v>
      </c>
      <c r="U70" s="566">
        <f t="shared" si="44"/>
        <v>-605.7827522835421</v>
      </c>
      <c r="V70" s="566">
        <f t="shared" si="44"/>
        <v>-605.7827522835421</v>
      </c>
      <c r="W70" s="566">
        <f t="shared" si="44"/>
        <v>-605.7827522835421</v>
      </c>
      <c r="X70" s="566">
        <f t="shared" si="44"/>
        <v>-605.7827522835421</v>
      </c>
      <c r="Y70" s="566">
        <f t="shared" si="44"/>
        <v>-605.7827522835421</v>
      </c>
      <c r="Z70" s="566">
        <f t="shared" si="44"/>
        <v>-605.7827522835421</v>
      </c>
      <c r="AA70" s="566">
        <f t="shared" si="44"/>
        <v>-605.7827522835421</v>
      </c>
      <c r="AB70" s="566">
        <f t="shared" si="44"/>
        <v>-605.7827522835421</v>
      </c>
      <c r="AC70" s="566">
        <f t="shared" si="44"/>
        <v>-605.7827522835421</v>
      </c>
      <c r="AD70" s="566">
        <f t="shared" si="44"/>
        <v>-605.7827522835421</v>
      </c>
      <c r="AE70" s="566">
        <f t="shared" si="44"/>
        <v>-605.7827522835421</v>
      </c>
      <c r="AF70" s="566">
        <f t="shared" si="44"/>
        <v>-605.7827522835421</v>
      </c>
      <c r="AG70" s="566">
        <f t="shared" si="44"/>
        <v>-605.7827522835421</v>
      </c>
      <c r="AH70" s="566">
        <f t="shared" si="44"/>
        <v>-605.7827522835421</v>
      </c>
      <c r="AI70" s="566">
        <f t="shared" si="44"/>
        <v>-178.08465641879221</v>
      </c>
      <c r="AJ70" s="566">
        <f t="shared" si="44"/>
        <v>-178.08465641879221</v>
      </c>
      <c r="AK70" s="566">
        <f t="shared" si="44"/>
        <v>-178.08465641879221</v>
      </c>
      <c r="AL70" s="566">
        <f t="shared" si="44"/>
        <v>-178.08465641879221</v>
      </c>
      <c r="AM70" s="566">
        <f t="shared" si="44"/>
        <v>-178.08465641879221</v>
      </c>
      <c r="AN70" s="566">
        <f t="shared" si="44"/>
        <v>-178.08465641879221</v>
      </c>
      <c r="AO70" s="566">
        <f t="shared" si="44"/>
        <v>-178.08465641879221</v>
      </c>
      <c r="AP70" s="566">
        <f t="shared" si="44"/>
        <v>-178.08465641879221</v>
      </c>
      <c r="AQ70" s="567">
        <f t="shared" si="44"/>
        <v>-178.08465641879221</v>
      </c>
      <c r="AR70" s="406"/>
      <c r="AS70" s="406"/>
      <c r="AT70" s="406"/>
      <c r="AU70" s="406"/>
      <c r="AV70" s="406"/>
      <c r="AW70" s="406"/>
      <c r="AX70" s="406"/>
      <c r="AY70" s="406"/>
      <c r="AZ70" s="406"/>
      <c r="BA70" s="406"/>
      <c r="BB70" s="406"/>
      <c r="BC70" s="406"/>
      <c r="BD70" s="406"/>
      <c r="BE70" s="406"/>
      <c r="BF70" s="406"/>
      <c r="BG70" s="406"/>
      <c r="BH70" s="406"/>
      <c r="BI70" s="406"/>
      <c r="BJ70" s="406"/>
      <c r="BK70" s="406"/>
      <c r="BL70" s="406"/>
      <c r="BM70" s="406"/>
      <c r="BN70" s="406"/>
      <c r="BO70" s="406"/>
      <c r="BP70" s="406"/>
      <c r="BQ70" s="406"/>
      <c r="BR70" s="406"/>
      <c r="BS70" s="406"/>
      <c r="BT70" s="406"/>
      <c r="BU70" s="406"/>
      <c r="BV70" s="406"/>
      <c r="BW70" s="406"/>
      <c r="BX70" s="406"/>
      <c r="BY70" s="406"/>
      <c r="BZ70" s="406"/>
      <c r="CA70" s="406"/>
      <c r="CB70" s="406"/>
      <c r="CC70" s="406"/>
      <c r="CD70" s="406"/>
      <c r="CE70" s="406"/>
      <c r="CF70" s="406"/>
      <c r="CG70" s="406"/>
      <c r="CH70" s="406"/>
      <c r="CI70" s="406"/>
      <c r="CJ70" s="406"/>
      <c r="CK70" s="406"/>
      <c r="CL70" s="406"/>
      <c r="CM70" s="406"/>
      <c r="CN70" s="406"/>
      <c r="CO70" s="406"/>
      <c r="CP70" s="406"/>
      <c r="CQ70" s="406"/>
      <c r="CR70" s="406"/>
      <c r="CS70" s="406"/>
      <c r="CT70" s="406"/>
      <c r="CU70" s="406"/>
      <c r="CV70" s="406"/>
      <c r="CW70" s="406"/>
      <c r="CX70" s="406"/>
      <c r="CY70" s="406"/>
      <c r="CZ70" s="406"/>
      <c r="DA70" s="406"/>
      <c r="DB70" s="406"/>
      <c r="DC70" s="406"/>
      <c r="DD70" s="406"/>
      <c r="DE70" s="406"/>
      <c r="DF70" s="406"/>
      <c r="DG70" s="406"/>
      <c r="DH70" s="406"/>
      <c r="DI70" s="406"/>
      <c r="DJ70" s="406"/>
      <c r="DK70" s="406"/>
      <c r="DL70" s="406"/>
      <c r="DM70" s="406"/>
      <c r="DN70" s="406"/>
      <c r="DO70" s="406"/>
      <c r="DP70" s="406"/>
      <c r="DQ70" s="406"/>
      <c r="DR70" s="406"/>
      <c r="DS70" s="406"/>
      <c r="DT70" s="406"/>
      <c r="DU70" s="406"/>
      <c r="DV70" s="406"/>
      <c r="DW70" s="406"/>
      <c r="DX70" s="406"/>
      <c r="DY70" s="406"/>
      <c r="DZ70" s="406"/>
      <c r="EA70" s="406"/>
      <c r="EB70" s="406"/>
      <c r="EC70" s="406"/>
      <c r="ED70" s="406"/>
      <c r="EE70" s="406"/>
      <c r="EF70" s="406"/>
      <c r="EG70" s="406"/>
      <c r="EH70" s="406"/>
      <c r="EI70" s="406"/>
      <c r="EJ70" s="406"/>
      <c r="EK70" s="406"/>
      <c r="EL70" s="406"/>
      <c r="EM70" s="406"/>
      <c r="EN70" s="406"/>
      <c r="EO70" s="406"/>
      <c r="EP70" s="406"/>
      <c r="EQ70" s="406"/>
      <c r="ER70" s="406"/>
      <c r="ES70" s="406"/>
      <c r="ET70" s="406"/>
      <c r="EU70" s="406"/>
      <c r="EV70" s="406"/>
      <c r="EW70" s="406"/>
      <c r="EX70" s="406"/>
      <c r="EY70" s="406"/>
      <c r="EZ70" s="406"/>
      <c r="FA70" s="406"/>
      <c r="FB70" s="406"/>
      <c r="FC70" s="406"/>
      <c r="FD70" s="406"/>
      <c r="FE70" s="406"/>
      <c r="FF70" s="406"/>
      <c r="FG70" s="406"/>
      <c r="FH70" s="406"/>
      <c r="FI70" s="406"/>
      <c r="FJ70" s="406"/>
      <c r="FK70" s="406"/>
      <c r="FL70" s="406"/>
      <c r="FM70" s="406"/>
      <c r="FN70" s="406"/>
      <c r="FO70" s="406"/>
      <c r="FP70" s="406"/>
      <c r="FQ70" s="406"/>
      <c r="FR70" s="406"/>
      <c r="FS70" s="406"/>
      <c r="FT70" s="406"/>
      <c r="FU70" s="406"/>
      <c r="FV70" s="406"/>
      <c r="FW70" s="406"/>
      <c r="FX70" s="406"/>
      <c r="FY70" s="406"/>
      <c r="FZ70" s="406"/>
      <c r="GA70" s="406"/>
      <c r="GB70" s="406"/>
      <c r="GC70" s="406"/>
      <c r="GD70" s="406"/>
      <c r="GE70" s="406"/>
      <c r="GF70" s="406"/>
      <c r="GG70" s="406"/>
      <c r="GH70" s="406"/>
      <c r="GI70" s="406"/>
      <c r="GJ70" s="406"/>
      <c r="GK70" s="406"/>
      <c r="GL70" s="406"/>
    </row>
    <row r="71" spans="1:194" ht="20.100000000000001" customHeight="1">
      <c r="A71" s="507" t="s">
        <v>1029</v>
      </c>
      <c r="B71" s="134"/>
      <c r="C71" s="134"/>
      <c r="D71" s="508">
        <v>2</v>
      </c>
      <c r="E71" s="518">
        <v>1</v>
      </c>
      <c r="F71" s="522">
        <v>1</v>
      </c>
      <c r="G71" s="134">
        <v>1</v>
      </c>
      <c r="H71" s="526"/>
      <c r="L71" s="406">
        <f t="shared" si="46"/>
        <v>4</v>
      </c>
      <c r="M71" s="532" t="str">
        <f t="shared" si="43"/>
        <v>from_settlements_to_forestland</v>
      </c>
      <c r="N71" s="530"/>
      <c r="O71" s="566">
        <f t="shared" si="45"/>
        <v>0</v>
      </c>
      <c r="P71" s="566">
        <f t="shared" si="44"/>
        <v>0</v>
      </c>
      <c r="Q71" s="566">
        <f t="shared" si="44"/>
        <v>0</v>
      </c>
      <c r="R71" s="566">
        <f t="shared" si="44"/>
        <v>0</v>
      </c>
      <c r="S71" s="566">
        <f t="shared" si="44"/>
        <v>0</v>
      </c>
      <c r="T71" s="566">
        <f t="shared" si="44"/>
        <v>0</v>
      </c>
      <c r="U71" s="566">
        <f t="shared" si="44"/>
        <v>0</v>
      </c>
      <c r="V71" s="566">
        <f t="shared" si="44"/>
        <v>0</v>
      </c>
      <c r="W71" s="566">
        <f t="shared" si="44"/>
        <v>0</v>
      </c>
      <c r="X71" s="566">
        <f t="shared" si="44"/>
        <v>0</v>
      </c>
      <c r="Y71" s="566">
        <f t="shared" si="44"/>
        <v>0</v>
      </c>
      <c r="Z71" s="566">
        <f t="shared" si="44"/>
        <v>0</v>
      </c>
      <c r="AA71" s="566">
        <f t="shared" si="44"/>
        <v>0</v>
      </c>
      <c r="AB71" s="566">
        <f t="shared" si="44"/>
        <v>0</v>
      </c>
      <c r="AC71" s="566">
        <f t="shared" si="44"/>
        <v>0</v>
      </c>
      <c r="AD71" s="566">
        <f t="shared" si="44"/>
        <v>0</v>
      </c>
      <c r="AE71" s="566">
        <f t="shared" si="44"/>
        <v>0</v>
      </c>
      <c r="AF71" s="566">
        <f t="shared" si="44"/>
        <v>0</v>
      </c>
      <c r="AG71" s="566">
        <f t="shared" si="44"/>
        <v>0</v>
      </c>
      <c r="AH71" s="566">
        <f t="shared" si="44"/>
        <v>0</v>
      </c>
      <c r="AI71" s="566">
        <f t="shared" si="44"/>
        <v>-5.3534150114908847</v>
      </c>
      <c r="AJ71" s="566">
        <f t="shared" si="44"/>
        <v>-5.3534150114908847</v>
      </c>
      <c r="AK71" s="566">
        <f t="shared" si="44"/>
        <v>-5.3534150114908847</v>
      </c>
      <c r="AL71" s="566">
        <f t="shared" si="44"/>
        <v>-5.3534150114908847</v>
      </c>
      <c r="AM71" s="566">
        <f t="shared" si="44"/>
        <v>-5.3534150114908847</v>
      </c>
      <c r="AN71" s="566">
        <f t="shared" si="44"/>
        <v>-5.3534150114908847</v>
      </c>
      <c r="AO71" s="566">
        <f t="shared" si="44"/>
        <v>-5.3534150114908847</v>
      </c>
      <c r="AP71" s="566">
        <f t="shared" si="44"/>
        <v>-5.3534150114908847</v>
      </c>
      <c r="AQ71" s="567">
        <f t="shared" si="44"/>
        <v>-5.3534150114908847</v>
      </c>
      <c r="AR71" s="406"/>
      <c r="AS71" s="406"/>
      <c r="AT71" s="406"/>
      <c r="AU71" s="406"/>
      <c r="AV71" s="406"/>
      <c r="AW71" s="406"/>
      <c r="AX71" s="406"/>
      <c r="AY71" s="406"/>
      <c r="AZ71" s="406"/>
      <c r="BA71" s="406"/>
      <c r="BB71" s="406"/>
      <c r="BC71" s="406"/>
      <c r="BD71" s="406"/>
      <c r="BE71" s="406"/>
      <c r="BF71" s="406"/>
      <c r="BG71" s="406"/>
      <c r="BH71" s="406"/>
      <c r="BI71" s="406"/>
      <c r="BJ71" s="406"/>
      <c r="BK71" s="406"/>
      <c r="BL71" s="406"/>
      <c r="BM71" s="406"/>
      <c r="BN71" s="406"/>
      <c r="BO71" s="406"/>
      <c r="BP71" s="406"/>
      <c r="BQ71" s="406"/>
      <c r="BR71" s="406"/>
      <c r="BS71" s="406"/>
      <c r="BT71" s="406"/>
      <c r="BU71" s="406"/>
      <c r="BV71" s="406"/>
      <c r="BW71" s="406"/>
      <c r="BX71" s="406"/>
      <c r="BY71" s="406"/>
      <c r="BZ71" s="406"/>
      <c r="CA71" s="406"/>
      <c r="CB71" s="406"/>
      <c r="CC71" s="406"/>
      <c r="CD71" s="406"/>
      <c r="CE71" s="406"/>
      <c r="CF71" s="406"/>
      <c r="CG71" s="406"/>
      <c r="CH71" s="406"/>
      <c r="CI71" s="406"/>
      <c r="CJ71" s="406"/>
      <c r="CK71" s="406"/>
      <c r="CL71" s="406"/>
      <c r="CM71" s="406"/>
      <c r="CN71" s="406"/>
      <c r="CO71" s="406"/>
      <c r="CP71" s="406"/>
      <c r="CQ71" s="406"/>
      <c r="CR71" s="406"/>
      <c r="CS71" s="406"/>
      <c r="CT71" s="406"/>
      <c r="CU71" s="406"/>
      <c r="CV71" s="406"/>
      <c r="CW71" s="406"/>
      <c r="CX71" s="406"/>
      <c r="CY71" s="406"/>
      <c r="CZ71" s="406"/>
      <c r="DA71" s="406"/>
      <c r="DB71" s="406"/>
      <c r="DC71" s="406"/>
      <c r="DD71" s="406"/>
      <c r="DE71" s="406"/>
      <c r="DF71" s="406"/>
      <c r="DG71" s="406"/>
      <c r="DH71" s="406"/>
      <c r="DI71" s="406"/>
      <c r="DJ71" s="406"/>
      <c r="DK71" s="406"/>
      <c r="DL71" s="406"/>
      <c r="DM71" s="406"/>
      <c r="DN71" s="406"/>
      <c r="DO71" s="406"/>
      <c r="DP71" s="406"/>
      <c r="DQ71" s="406"/>
      <c r="DR71" s="406"/>
      <c r="DS71" s="406"/>
      <c r="DT71" s="406"/>
      <c r="DU71" s="406"/>
      <c r="DV71" s="406"/>
      <c r="DW71" s="406"/>
      <c r="DX71" s="406"/>
      <c r="DY71" s="406"/>
      <c r="DZ71" s="406"/>
      <c r="EA71" s="406"/>
      <c r="EB71" s="406"/>
      <c r="EC71" s="406"/>
      <c r="ED71" s="406"/>
      <c r="EE71" s="406"/>
      <c r="EF71" s="406"/>
      <c r="EG71" s="406"/>
      <c r="EH71" s="406"/>
      <c r="EI71" s="406"/>
      <c r="EJ71" s="406"/>
      <c r="EK71" s="406"/>
      <c r="EL71" s="406"/>
      <c r="EM71" s="406"/>
      <c r="EN71" s="406"/>
      <c r="EO71" s="406"/>
      <c r="EP71" s="406"/>
      <c r="EQ71" s="406"/>
      <c r="ER71" s="406"/>
      <c r="ES71" s="406"/>
      <c r="ET71" s="406"/>
      <c r="EU71" s="406"/>
      <c r="EV71" s="406"/>
      <c r="EW71" s="406"/>
      <c r="EX71" s="406"/>
      <c r="EY71" s="406"/>
      <c r="EZ71" s="406"/>
      <c r="FA71" s="406"/>
      <c r="FB71" s="406"/>
      <c r="FC71" s="406"/>
      <c r="FD71" s="406"/>
      <c r="FE71" s="406"/>
      <c r="FF71" s="406"/>
      <c r="FG71" s="406"/>
      <c r="FH71" s="406"/>
      <c r="FI71" s="406"/>
      <c r="FJ71" s="406"/>
      <c r="FK71" s="406"/>
      <c r="FL71" s="406"/>
      <c r="FM71" s="406"/>
      <c r="FN71" s="406"/>
      <c r="FO71" s="406"/>
      <c r="FP71" s="406"/>
      <c r="FQ71" s="406"/>
      <c r="FR71" s="406"/>
      <c r="FS71" s="406"/>
      <c r="FT71" s="406"/>
      <c r="FU71" s="406"/>
      <c r="FV71" s="406"/>
      <c r="FW71" s="406"/>
      <c r="FX71" s="406"/>
      <c r="FY71" s="406"/>
      <c r="FZ71" s="406"/>
      <c r="GA71" s="406"/>
      <c r="GB71" s="406"/>
      <c r="GC71" s="406"/>
      <c r="GD71" s="406"/>
      <c r="GE71" s="406"/>
      <c r="GF71" s="406"/>
      <c r="GG71" s="406"/>
      <c r="GH71" s="406"/>
      <c r="GI71" s="406"/>
      <c r="GJ71" s="406"/>
      <c r="GK71" s="406"/>
      <c r="GL71" s="406"/>
    </row>
    <row r="72" spans="1:194" ht="20.100000000000001" customHeight="1" thickBot="1">
      <c r="A72" s="501" t="s">
        <v>1030</v>
      </c>
      <c r="B72" s="65"/>
      <c r="C72" s="65"/>
      <c r="D72" s="503">
        <v>2</v>
      </c>
      <c r="E72" s="505">
        <v>1</v>
      </c>
      <c r="F72" s="504">
        <v>1</v>
      </c>
      <c r="G72" s="65">
        <v>1</v>
      </c>
      <c r="H72" s="44"/>
      <c r="L72" s="406">
        <f t="shared" si="46"/>
        <v>5</v>
      </c>
      <c r="M72" s="533" t="str">
        <f t="shared" si="43"/>
        <v>from_other_land_to_forestland</v>
      </c>
      <c r="N72" s="534"/>
      <c r="O72" s="568">
        <f t="shared" si="45"/>
        <v>0</v>
      </c>
      <c r="P72" s="568">
        <f t="shared" si="44"/>
        <v>0</v>
      </c>
      <c r="Q72" s="568">
        <f t="shared" si="44"/>
        <v>0</v>
      </c>
      <c r="R72" s="568">
        <f t="shared" si="44"/>
        <v>0</v>
      </c>
      <c r="S72" s="568">
        <f t="shared" si="44"/>
        <v>0</v>
      </c>
      <c r="T72" s="568">
        <f t="shared" si="44"/>
        <v>0</v>
      </c>
      <c r="U72" s="568">
        <f t="shared" si="44"/>
        <v>0</v>
      </c>
      <c r="V72" s="568">
        <f t="shared" si="44"/>
        <v>0</v>
      </c>
      <c r="W72" s="568">
        <f t="shared" si="44"/>
        <v>0</v>
      </c>
      <c r="X72" s="568">
        <f t="shared" si="44"/>
        <v>0</v>
      </c>
      <c r="Y72" s="568">
        <f t="shared" si="44"/>
        <v>0</v>
      </c>
      <c r="Z72" s="568">
        <f t="shared" si="44"/>
        <v>0</v>
      </c>
      <c r="AA72" s="568">
        <f t="shared" si="44"/>
        <v>0</v>
      </c>
      <c r="AB72" s="568">
        <f t="shared" si="44"/>
        <v>0</v>
      </c>
      <c r="AC72" s="568">
        <f t="shared" si="44"/>
        <v>0</v>
      </c>
      <c r="AD72" s="568">
        <f t="shared" si="44"/>
        <v>0</v>
      </c>
      <c r="AE72" s="568">
        <f t="shared" si="44"/>
        <v>0</v>
      </c>
      <c r="AF72" s="568">
        <f t="shared" si="44"/>
        <v>0</v>
      </c>
      <c r="AG72" s="568">
        <f t="shared" si="44"/>
        <v>0</v>
      </c>
      <c r="AH72" s="568">
        <f t="shared" si="44"/>
        <v>0</v>
      </c>
      <c r="AI72" s="568">
        <f t="shared" si="44"/>
        <v>-5.3534150114908847</v>
      </c>
      <c r="AJ72" s="568">
        <f t="shared" si="44"/>
        <v>-5.3534150114908847</v>
      </c>
      <c r="AK72" s="568">
        <f t="shared" si="44"/>
        <v>-5.3534150114908847</v>
      </c>
      <c r="AL72" s="568">
        <f t="shared" si="44"/>
        <v>-5.3534150114908847</v>
      </c>
      <c r="AM72" s="568">
        <f t="shared" si="44"/>
        <v>-5.3534150114908847</v>
      </c>
      <c r="AN72" s="568">
        <f t="shared" si="44"/>
        <v>-5.3534150114908847</v>
      </c>
      <c r="AO72" s="568">
        <f t="shared" si="44"/>
        <v>-5.3534150114908847</v>
      </c>
      <c r="AP72" s="568">
        <f t="shared" si="44"/>
        <v>-5.3534150114908847</v>
      </c>
      <c r="AQ72" s="569">
        <f t="shared" si="44"/>
        <v>-5.3534150114908847</v>
      </c>
      <c r="AR72" s="406"/>
      <c r="AS72" s="406"/>
      <c r="AT72" s="406"/>
      <c r="AU72" s="406"/>
      <c r="AV72" s="406"/>
      <c r="AW72" s="406"/>
      <c r="AX72" s="406"/>
      <c r="AY72" s="406"/>
      <c r="AZ72" s="406"/>
      <c r="BA72" s="406"/>
      <c r="BB72" s="406"/>
      <c r="BC72" s="406"/>
      <c r="BD72" s="406"/>
      <c r="BE72" s="406"/>
      <c r="BF72" s="406"/>
      <c r="BG72" s="406"/>
      <c r="BH72" s="406"/>
      <c r="BI72" s="406"/>
      <c r="BJ72" s="406"/>
      <c r="BK72" s="406"/>
      <c r="BL72" s="406"/>
      <c r="BM72" s="406"/>
      <c r="BN72" s="406"/>
      <c r="BO72" s="406"/>
      <c r="BP72" s="406"/>
      <c r="BQ72" s="406"/>
      <c r="BR72" s="406"/>
      <c r="BS72" s="406"/>
      <c r="BT72" s="406"/>
      <c r="BU72" s="406"/>
      <c r="BV72" s="406"/>
      <c r="BW72" s="406"/>
      <c r="BX72" s="406"/>
      <c r="BY72" s="406"/>
      <c r="BZ72" s="406"/>
      <c r="CA72" s="406"/>
      <c r="CB72" s="406"/>
      <c r="CC72" s="406"/>
      <c r="CD72" s="406"/>
      <c r="CE72" s="406"/>
      <c r="CF72" s="406"/>
      <c r="CG72" s="406"/>
      <c r="CH72" s="406"/>
      <c r="CI72" s="406"/>
      <c r="CJ72" s="406"/>
      <c r="CK72" s="406"/>
      <c r="CL72" s="406"/>
      <c r="CM72" s="406"/>
      <c r="CN72" s="406"/>
      <c r="CO72" s="406"/>
      <c r="CP72" s="406"/>
      <c r="CQ72" s="406"/>
      <c r="CR72" s="406"/>
      <c r="CS72" s="406"/>
      <c r="CT72" s="406"/>
      <c r="CU72" s="406"/>
      <c r="CV72" s="406"/>
      <c r="CW72" s="406"/>
      <c r="CX72" s="406"/>
      <c r="CY72" s="406"/>
      <c r="CZ72" s="406"/>
      <c r="DA72" s="406"/>
      <c r="DB72" s="406"/>
      <c r="DC72" s="406"/>
      <c r="DD72" s="406"/>
      <c r="DE72" s="406"/>
      <c r="DF72" s="406"/>
      <c r="DG72" s="406"/>
      <c r="DH72" s="406"/>
      <c r="DI72" s="406"/>
      <c r="DJ72" s="406"/>
      <c r="DK72" s="406"/>
      <c r="DL72" s="406"/>
      <c r="DM72" s="406"/>
      <c r="DN72" s="406"/>
      <c r="DO72" s="406"/>
      <c r="DP72" s="406"/>
      <c r="DQ72" s="406"/>
      <c r="DR72" s="406"/>
      <c r="DS72" s="406"/>
      <c r="DT72" s="406"/>
      <c r="DU72" s="406"/>
      <c r="DV72" s="406"/>
      <c r="DW72" s="406"/>
      <c r="DX72" s="406"/>
      <c r="DY72" s="406"/>
      <c r="DZ72" s="406"/>
      <c r="EA72" s="406"/>
      <c r="EB72" s="406"/>
      <c r="EC72" s="406"/>
      <c r="ED72" s="406"/>
      <c r="EE72" s="406"/>
      <c r="EF72" s="406"/>
      <c r="EG72" s="406"/>
      <c r="EH72" s="406"/>
      <c r="EI72" s="406"/>
      <c r="EJ72" s="406"/>
      <c r="EK72" s="406"/>
      <c r="EL72" s="406"/>
      <c r="EM72" s="406"/>
      <c r="EN72" s="406"/>
      <c r="EO72" s="406"/>
      <c r="EP72" s="406"/>
      <c r="EQ72" s="406"/>
      <c r="ER72" s="406"/>
      <c r="ES72" s="406"/>
      <c r="ET72" s="406"/>
      <c r="EU72" s="406"/>
      <c r="EV72" s="406"/>
      <c r="EW72" s="406"/>
      <c r="EX72" s="406"/>
      <c r="EY72" s="406"/>
      <c r="EZ72" s="406"/>
      <c r="FA72" s="406"/>
      <c r="FB72" s="406"/>
      <c r="FC72" s="406"/>
      <c r="FD72" s="406"/>
      <c r="FE72" s="406"/>
      <c r="FF72" s="406"/>
      <c r="FG72" s="406"/>
      <c r="FH72" s="406"/>
      <c r="FI72" s="406"/>
      <c r="FJ72" s="406"/>
      <c r="FK72" s="406"/>
      <c r="FL72" s="406"/>
      <c r="FM72" s="406"/>
      <c r="FN72" s="406"/>
      <c r="FO72" s="406"/>
      <c r="FP72" s="406"/>
      <c r="FQ72" s="406"/>
      <c r="FR72" s="406"/>
      <c r="FS72" s="406"/>
      <c r="FT72" s="406"/>
      <c r="FU72" s="406"/>
      <c r="FV72" s="406"/>
      <c r="FW72" s="406"/>
      <c r="FX72" s="406"/>
      <c r="FY72" s="406"/>
      <c r="FZ72" s="406"/>
      <c r="GA72" s="406"/>
      <c r="GB72" s="406"/>
      <c r="GC72" s="406"/>
      <c r="GD72" s="406"/>
      <c r="GE72" s="406"/>
      <c r="GF72" s="406"/>
      <c r="GG72" s="406"/>
      <c r="GH72" s="406"/>
      <c r="GI72" s="406"/>
      <c r="GJ72" s="406"/>
      <c r="GK72" s="406"/>
      <c r="GL72" s="406"/>
    </row>
    <row r="73" spans="1:194" ht="20.100000000000001" customHeight="1">
      <c r="A73" s="501" t="s">
        <v>1031</v>
      </c>
      <c r="B73" s="65"/>
      <c r="C73" s="65"/>
      <c r="D73" s="503">
        <v>2</v>
      </c>
      <c r="E73" s="505">
        <v>1</v>
      </c>
      <c r="F73" s="504">
        <v>1</v>
      </c>
      <c r="G73" s="65">
        <v>1</v>
      </c>
      <c r="H73" s="44"/>
      <c r="L73" s="406">
        <f t="shared" si="46"/>
        <v>6</v>
      </c>
      <c r="M73" s="531" t="str">
        <f t="shared" si="43"/>
        <v>from_forestland_to_cropland</v>
      </c>
      <c r="N73" s="575"/>
      <c r="O73" s="576">
        <f t="shared" si="45"/>
        <v>0</v>
      </c>
      <c r="P73" s="576">
        <f t="shared" si="44"/>
        <v>0</v>
      </c>
      <c r="Q73" s="576">
        <f t="shared" si="44"/>
        <v>0</v>
      </c>
      <c r="R73" s="576">
        <f t="shared" si="44"/>
        <v>0</v>
      </c>
      <c r="S73" s="576">
        <f t="shared" si="44"/>
        <v>0</v>
      </c>
      <c r="T73" s="576">
        <f t="shared" si="44"/>
        <v>0</v>
      </c>
      <c r="U73" s="576">
        <f t="shared" si="44"/>
        <v>0</v>
      </c>
      <c r="V73" s="576">
        <f t="shared" si="44"/>
        <v>0</v>
      </c>
      <c r="W73" s="576">
        <f t="shared" si="44"/>
        <v>0</v>
      </c>
      <c r="X73" s="576">
        <f t="shared" si="44"/>
        <v>0</v>
      </c>
      <c r="Y73" s="576">
        <f t="shared" si="44"/>
        <v>0</v>
      </c>
      <c r="Z73" s="576">
        <f t="shared" si="44"/>
        <v>0</v>
      </c>
      <c r="AA73" s="576">
        <f t="shared" si="44"/>
        <v>0</v>
      </c>
      <c r="AB73" s="576">
        <f t="shared" si="44"/>
        <v>0</v>
      </c>
      <c r="AC73" s="576">
        <f t="shared" si="44"/>
        <v>0</v>
      </c>
      <c r="AD73" s="576">
        <f t="shared" si="44"/>
        <v>0</v>
      </c>
      <c r="AE73" s="576">
        <f t="shared" si="44"/>
        <v>0</v>
      </c>
      <c r="AF73" s="576">
        <f t="shared" si="44"/>
        <v>0</v>
      </c>
      <c r="AG73" s="576">
        <f t="shared" si="44"/>
        <v>0</v>
      </c>
      <c r="AH73" s="576">
        <f t="shared" si="44"/>
        <v>0</v>
      </c>
      <c r="AI73" s="576">
        <f t="shared" si="44"/>
        <v>-0.13928082274505665</v>
      </c>
      <c r="AJ73" s="576">
        <f t="shared" si="44"/>
        <v>-0.13928082274505665</v>
      </c>
      <c r="AK73" s="576">
        <f t="shared" si="44"/>
        <v>-0.13928082274505665</v>
      </c>
      <c r="AL73" s="576">
        <f t="shared" si="44"/>
        <v>-0.13928082274505665</v>
      </c>
      <c r="AM73" s="576">
        <f t="shared" si="44"/>
        <v>-0.13928082274505665</v>
      </c>
      <c r="AN73" s="576">
        <f t="shared" si="44"/>
        <v>-0.13928082274505665</v>
      </c>
      <c r="AO73" s="576">
        <f t="shared" si="44"/>
        <v>-0.13928082274505665</v>
      </c>
      <c r="AP73" s="576">
        <f t="shared" si="44"/>
        <v>-0.13928082274505665</v>
      </c>
      <c r="AQ73" s="577">
        <f t="shared" si="44"/>
        <v>-0.13928082274505665</v>
      </c>
      <c r="AR73" s="406"/>
      <c r="AS73" s="406"/>
      <c r="AT73" s="406"/>
      <c r="AU73" s="406"/>
      <c r="AV73" s="406"/>
      <c r="AW73" s="406"/>
      <c r="AX73" s="406"/>
      <c r="AY73" s="406"/>
      <c r="AZ73" s="406"/>
      <c r="BA73" s="406"/>
      <c r="BB73" s="406"/>
      <c r="BC73" s="406"/>
      <c r="BD73" s="406"/>
      <c r="BE73" s="406"/>
      <c r="BF73" s="406"/>
      <c r="BG73" s="406"/>
      <c r="BH73" s="406"/>
      <c r="BI73" s="406"/>
      <c r="BJ73" s="406"/>
      <c r="BK73" s="406"/>
      <c r="BL73" s="406"/>
      <c r="BM73" s="406"/>
      <c r="BN73" s="406"/>
      <c r="BO73" s="406"/>
      <c r="BP73" s="406"/>
      <c r="BQ73" s="406"/>
      <c r="BR73" s="406"/>
      <c r="BS73" s="406"/>
      <c r="BT73" s="406"/>
      <c r="BU73" s="406"/>
      <c r="BV73" s="406"/>
      <c r="BW73" s="406"/>
      <c r="BX73" s="406"/>
      <c r="BY73" s="406"/>
      <c r="BZ73" s="406"/>
      <c r="CA73" s="406"/>
      <c r="CB73" s="406"/>
      <c r="CC73" s="406"/>
      <c r="CD73" s="406"/>
      <c r="CE73" s="406"/>
      <c r="CF73" s="406"/>
      <c r="CG73" s="406"/>
      <c r="CH73" s="406"/>
      <c r="CI73" s="406"/>
      <c r="CJ73" s="406"/>
      <c r="CK73" s="406"/>
      <c r="CL73" s="406"/>
      <c r="CM73" s="406"/>
      <c r="CN73" s="406"/>
      <c r="CO73" s="406"/>
      <c r="CP73" s="406"/>
      <c r="CQ73" s="406"/>
      <c r="CR73" s="406"/>
      <c r="CS73" s="406"/>
      <c r="CT73" s="406"/>
      <c r="CU73" s="406"/>
      <c r="CV73" s="406"/>
      <c r="CW73" s="406"/>
      <c r="CX73" s="406"/>
      <c r="CY73" s="406"/>
      <c r="CZ73" s="406"/>
      <c r="DA73" s="406"/>
      <c r="DB73" s="406"/>
      <c r="DC73" s="406"/>
      <c r="DD73" s="406"/>
      <c r="DE73" s="406"/>
      <c r="DF73" s="406"/>
      <c r="DG73" s="406"/>
      <c r="DH73" s="406"/>
      <c r="DI73" s="406"/>
      <c r="DJ73" s="406"/>
      <c r="DK73" s="406"/>
      <c r="DL73" s="406"/>
      <c r="DM73" s="406"/>
      <c r="DN73" s="406"/>
      <c r="DO73" s="406"/>
      <c r="DP73" s="406"/>
      <c r="DQ73" s="406"/>
      <c r="DR73" s="406"/>
      <c r="DS73" s="406"/>
      <c r="DT73" s="406"/>
      <c r="DU73" s="406"/>
      <c r="DV73" s="406"/>
      <c r="DW73" s="406"/>
      <c r="DX73" s="406"/>
      <c r="DY73" s="406"/>
      <c r="DZ73" s="406"/>
      <c r="EA73" s="406"/>
      <c r="EB73" s="406"/>
      <c r="EC73" s="406"/>
      <c r="ED73" s="406"/>
      <c r="EE73" s="406"/>
      <c r="EF73" s="406"/>
      <c r="EG73" s="406"/>
      <c r="EH73" s="406"/>
      <c r="EI73" s="406"/>
      <c r="EJ73" s="406"/>
      <c r="EK73" s="406"/>
      <c r="EL73" s="406"/>
      <c r="EM73" s="406"/>
      <c r="EN73" s="406"/>
      <c r="EO73" s="406"/>
      <c r="EP73" s="406"/>
      <c r="EQ73" s="406"/>
      <c r="ER73" s="406"/>
      <c r="ES73" s="406"/>
      <c r="ET73" s="406"/>
      <c r="EU73" s="406"/>
      <c r="EV73" s="406"/>
      <c r="EW73" s="406"/>
      <c r="EX73" s="406"/>
      <c r="EY73" s="406"/>
      <c r="EZ73" s="406"/>
      <c r="FA73" s="406"/>
      <c r="FB73" s="406"/>
      <c r="FC73" s="406"/>
      <c r="FD73" s="406"/>
      <c r="FE73" s="406"/>
      <c r="FF73" s="406"/>
      <c r="FG73" s="406"/>
      <c r="FH73" s="406"/>
      <c r="FI73" s="406"/>
      <c r="FJ73" s="406"/>
      <c r="FK73" s="406"/>
      <c r="FL73" s="406"/>
      <c r="FM73" s="406"/>
      <c r="FN73" s="406"/>
      <c r="FO73" s="406"/>
      <c r="FP73" s="406"/>
      <c r="FQ73" s="406"/>
      <c r="FR73" s="406"/>
      <c r="FS73" s="406"/>
      <c r="FT73" s="406"/>
      <c r="FU73" s="406"/>
      <c r="FV73" s="406"/>
      <c r="FW73" s="406"/>
      <c r="FX73" s="406"/>
      <c r="FY73" s="406"/>
      <c r="FZ73" s="406"/>
      <c r="GA73" s="406"/>
      <c r="GB73" s="406"/>
      <c r="GC73" s="406"/>
      <c r="GD73" s="406"/>
      <c r="GE73" s="406"/>
      <c r="GF73" s="406"/>
      <c r="GG73" s="406"/>
      <c r="GH73" s="406"/>
      <c r="GI73" s="406"/>
      <c r="GJ73" s="406"/>
      <c r="GK73" s="406"/>
      <c r="GL73" s="406"/>
    </row>
    <row r="74" spans="1:194" ht="20.100000000000001" customHeight="1">
      <c r="A74" s="501" t="s">
        <v>1032</v>
      </c>
      <c r="B74" s="65"/>
      <c r="C74" s="65"/>
      <c r="D74" s="503">
        <v>2</v>
      </c>
      <c r="E74" s="505">
        <v>1</v>
      </c>
      <c r="F74" s="504">
        <v>1</v>
      </c>
      <c r="G74" s="65">
        <v>1</v>
      </c>
      <c r="H74" s="44"/>
      <c r="L74" s="406">
        <f t="shared" si="46"/>
        <v>7</v>
      </c>
      <c r="M74" s="532" t="str">
        <f t="shared" si="43"/>
        <v>from_grassland_to_cropland</v>
      </c>
      <c r="N74" s="530"/>
      <c r="O74" s="566">
        <f t="shared" si="45"/>
        <v>0</v>
      </c>
      <c r="P74" s="566">
        <f t="shared" si="44"/>
        <v>0</v>
      </c>
      <c r="Q74" s="566">
        <f t="shared" si="44"/>
        <v>0</v>
      </c>
      <c r="R74" s="566">
        <f t="shared" si="44"/>
        <v>0</v>
      </c>
      <c r="S74" s="566">
        <f t="shared" si="44"/>
        <v>0</v>
      </c>
      <c r="T74" s="566">
        <f t="shared" si="44"/>
        <v>0</v>
      </c>
      <c r="U74" s="566">
        <f t="shared" si="44"/>
        <v>0</v>
      </c>
      <c r="V74" s="566">
        <f t="shared" si="44"/>
        <v>0</v>
      </c>
      <c r="W74" s="566">
        <f t="shared" si="44"/>
        <v>0</v>
      </c>
      <c r="X74" s="566">
        <f t="shared" si="44"/>
        <v>0</v>
      </c>
      <c r="Y74" s="566">
        <f t="shared" si="44"/>
        <v>0</v>
      </c>
      <c r="Z74" s="566">
        <f t="shared" si="44"/>
        <v>0</v>
      </c>
      <c r="AA74" s="566">
        <f t="shared" si="44"/>
        <v>0</v>
      </c>
      <c r="AB74" s="566">
        <f t="shared" si="44"/>
        <v>0</v>
      </c>
      <c r="AC74" s="566">
        <f t="shared" si="44"/>
        <v>0</v>
      </c>
      <c r="AD74" s="566">
        <f t="shared" si="44"/>
        <v>0</v>
      </c>
      <c r="AE74" s="566">
        <f t="shared" si="44"/>
        <v>0</v>
      </c>
      <c r="AF74" s="566">
        <f t="shared" si="44"/>
        <v>0</v>
      </c>
      <c r="AG74" s="566">
        <f t="shared" si="44"/>
        <v>0</v>
      </c>
      <c r="AH74" s="566">
        <f t="shared" si="44"/>
        <v>0</v>
      </c>
      <c r="AI74" s="566">
        <f t="shared" si="44"/>
        <v>-0.13928082274505665</v>
      </c>
      <c r="AJ74" s="566">
        <f t="shared" si="44"/>
        <v>-0.13928082274505665</v>
      </c>
      <c r="AK74" s="566">
        <f t="shared" si="44"/>
        <v>-0.13928082274505665</v>
      </c>
      <c r="AL74" s="566">
        <f t="shared" si="44"/>
        <v>-0.13928082274505665</v>
      </c>
      <c r="AM74" s="566">
        <f t="shared" si="44"/>
        <v>-0.13928082274505665</v>
      </c>
      <c r="AN74" s="566">
        <f t="shared" si="44"/>
        <v>-0.13928082274505665</v>
      </c>
      <c r="AO74" s="566">
        <f t="shared" si="44"/>
        <v>-0.13928082274505665</v>
      </c>
      <c r="AP74" s="566">
        <f t="shared" si="44"/>
        <v>-0.13928082274505665</v>
      </c>
      <c r="AQ74" s="567">
        <f t="shared" si="44"/>
        <v>-0.13928082274505665</v>
      </c>
      <c r="AR74" s="406"/>
      <c r="AS74" s="406"/>
      <c r="AT74" s="406"/>
      <c r="AU74" s="406"/>
      <c r="AV74" s="406"/>
      <c r="AW74" s="406"/>
      <c r="AX74" s="406"/>
      <c r="AY74" s="406"/>
      <c r="AZ74" s="406"/>
      <c r="BA74" s="406"/>
      <c r="BB74" s="406"/>
      <c r="BC74" s="406"/>
      <c r="BD74" s="406"/>
      <c r="BE74" s="406"/>
      <c r="BF74" s="406"/>
      <c r="BG74" s="406"/>
      <c r="BH74" s="406"/>
      <c r="BI74" s="406"/>
      <c r="BJ74" s="406"/>
      <c r="BK74" s="406"/>
      <c r="BL74" s="406"/>
      <c r="BM74" s="406"/>
      <c r="BN74" s="406"/>
      <c r="BO74" s="406"/>
      <c r="BP74" s="406"/>
      <c r="BQ74" s="406"/>
      <c r="BR74" s="406"/>
      <c r="BS74" s="406"/>
      <c r="BT74" s="406"/>
      <c r="BU74" s="406"/>
      <c r="BV74" s="406"/>
      <c r="BW74" s="406"/>
      <c r="BX74" s="406"/>
      <c r="BY74" s="406"/>
      <c r="BZ74" s="406"/>
      <c r="CA74" s="406"/>
      <c r="CB74" s="406"/>
      <c r="CC74" s="406"/>
      <c r="CD74" s="406"/>
      <c r="CE74" s="406"/>
      <c r="CF74" s="406"/>
      <c r="CG74" s="406"/>
      <c r="CH74" s="406"/>
      <c r="CI74" s="406"/>
      <c r="CJ74" s="406"/>
      <c r="CK74" s="406"/>
      <c r="CL74" s="406"/>
      <c r="CM74" s="406"/>
      <c r="CN74" s="406"/>
      <c r="CO74" s="406"/>
      <c r="CP74" s="406"/>
      <c r="CQ74" s="406"/>
      <c r="CR74" s="406"/>
      <c r="CS74" s="406"/>
      <c r="CT74" s="406"/>
      <c r="CU74" s="406"/>
      <c r="CV74" s="406"/>
      <c r="CW74" s="406"/>
      <c r="CX74" s="406"/>
      <c r="CY74" s="406"/>
      <c r="CZ74" s="406"/>
      <c r="DA74" s="406"/>
      <c r="DB74" s="406"/>
      <c r="DC74" s="406"/>
      <c r="DD74" s="406"/>
      <c r="DE74" s="406"/>
      <c r="DF74" s="406"/>
      <c r="DG74" s="406"/>
      <c r="DH74" s="406"/>
      <c r="DI74" s="406"/>
      <c r="DJ74" s="406"/>
      <c r="DK74" s="406"/>
      <c r="DL74" s="406"/>
      <c r="DM74" s="406"/>
      <c r="DN74" s="406"/>
      <c r="DO74" s="406"/>
      <c r="DP74" s="406"/>
      <c r="DQ74" s="406"/>
      <c r="DR74" s="406"/>
      <c r="DS74" s="406"/>
      <c r="DT74" s="406"/>
      <c r="DU74" s="406"/>
      <c r="DV74" s="406"/>
      <c r="DW74" s="406"/>
      <c r="DX74" s="406"/>
      <c r="DY74" s="406"/>
      <c r="DZ74" s="406"/>
      <c r="EA74" s="406"/>
      <c r="EB74" s="406"/>
      <c r="EC74" s="406"/>
      <c r="ED74" s="406"/>
      <c r="EE74" s="406"/>
      <c r="EF74" s="406"/>
      <c r="EG74" s="406"/>
      <c r="EH74" s="406"/>
      <c r="EI74" s="406"/>
      <c r="EJ74" s="406"/>
      <c r="EK74" s="406"/>
      <c r="EL74" s="406"/>
      <c r="EM74" s="406"/>
      <c r="EN74" s="406"/>
      <c r="EO74" s="406"/>
      <c r="EP74" s="406"/>
      <c r="EQ74" s="406"/>
      <c r="ER74" s="406"/>
      <c r="ES74" s="406"/>
      <c r="ET74" s="406"/>
      <c r="EU74" s="406"/>
      <c r="EV74" s="406"/>
      <c r="EW74" s="406"/>
      <c r="EX74" s="406"/>
      <c r="EY74" s="406"/>
      <c r="EZ74" s="406"/>
      <c r="FA74" s="406"/>
      <c r="FB74" s="406"/>
      <c r="FC74" s="406"/>
      <c r="FD74" s="406"/>
      <c r="FE74" s="406"/>
      <c r="FF74" s="406"/>
      <c r="FG74" s="406"/>
      <c r="FH74" s="406"/>
      <c r="FI74" s="406"/>
      <c r="FJ74" s="406"/>
      <c r="FK74" s="406"/>
      <c r="FL74" s="406"/>
      <c r="FM74" s="406"/>
      <c r="FN74" s="406"/>
      <c r="FO74" s="406"/>
      <c r="FP74" s="406"/>
      <c r="FQ74" s="406"/>
      <c r="FR74" s="406"/>
      <c r="FS74" s="406"/>
      <c r="FT74" s="406"/>
      <c r="FU74" s="406"/>
      <c r="FV74" s="406"/>
      <c r="FW74" s="406"/>
      <c r="FX74" s="406"/>
      <c r="FY74" s="406"/>
      <c r="FZ74" s="406"/>
      <c r="GA74" s="406"/>
      <c r="GB74" s="406"/>
      <c r="GC74" s="406"/>
      <c r="GD74" s="406"/>
      <c r="GE74" s="406"/>
      <c r="GF74" s="406"/>
      <c r="GG74" s="406"/>
      <c r="GH74" s="406"/>
      <c r="GI74" s="406"/>
      <c r="GJ74" s="406"/>
      <c r="GK74" s="406"/>
      <c r="GL74" s="406"/>
    </row>
    <row r="75" spans="1:194" ht="20.100000000000001" customHeight="1" thickBot="1">
      <c r="A75" s="509" t="s">
        <v>1033</v>
      </c>
      <c r="B75" s="75"/>
      <c r="C75" s="75"/>
      <c r="D75" s="510">
        <v>2</v>
      </c>
      <c r="E75" s="510">
        <v>1</v>
      </c>
      <c r="F75" s="523">
        <v>1</v>
      </c>
      <c r="G75" s="75">
        <v>1</v>
      </c>
      <c r="H75" s="76"/>
      <c r="L75" s="406">
        <f t="shared" si="46"/>
        <v>8</v>
      </c>
      <c r="M75" s="532" t="str">
        <f t="shared" si="43"/>
        <v>from_wetland_to_cropland</v>
      </c>
      <c r="N75" s="530"/>
      <c r="O75" s="566">
        <f t="shared" si="45"/>
        <v>0</v>
      </c>
      <c r="P75" s="566">
        <f t="shared" si="44"/>
        <v>0</v>
      </c>
      <c r="Q75" s="566">
        <f t="shared" si="44"/>
        <v>0</v>
      </c>
      <c r="R75" s="566">
        <f t="shared" si="44"/>
        <v>0</v>
      </c>
      <c r="S75" s="566">
        <f t="shared" si="44"/>
        <v>0</v>
      </c>
      <c r="T75" s="566">
        <f t="shared" si="44"/>
        <v>0</v>
      </c>
      <c r="U75" s="566">
        <f t="shared" si="44"/>
        <v>0</v>
      </c>
      <c r="V75" s="566">
        <f t="shared" si="44"/>
        <v>0</v>
      </c>
      <c r="W75" s="566">
        <f t="shared" si="44"/>
        <v>0</v>
      </c>
      <c r="X75" s="566">
        <f t="shared" si="44"/>
        <v>0</v>
      </c>
      <c r="Y75" s="566">
        <f t="shared" si="44"/>
        <v>0</v>
      </c>
      <c r="Z75" s="566">
        <f t="shared" si="44"/>
        <v>0</v>
      </c>
      <c r="AA75" s="566">
        <f t="shared" si="44"/>
        <v>0</v>
      </c>
      <c r="AB75" s="566">
        <f t="shared" si="44"/>
        <v>0</v>
      </c>
      <c r="AC75" s="566">
        <f t="shared" si="44"/>
        <v>0</v>
      </c>
      <c r="AD75" s="566">
        <f t="shared" si="44"/>
        <v>0</v>
      </c>
      <c r="AE75" s="566">
        <f t="shared" si="44"/>
        <v>0</v>
      </c>
      <c r="AF75" s="566">
        <f t="shared" si="44"/>
        <v>0</v>
      </c>
      <c r="AG75" s="566">
        <f t="shared" si="44"/>
        <v>0</v>
      </c>
      <c r="AH75" s="566">
        <f t="shared" si="44"/>
        <v>0</v>
      </c>
      <c r="AI75" s="566">
        <f t="shared" si="44"/>
        <v>-0.13928082274505665</v>
      </c>
      <c r="AJ75" s="566">
        <f t="shared" si="44"/>
        <v>-0.13928082274505665</v>
      </c>
      <c r="AK75" s="566">
        <f t="shared" si="44"/>
        <v>-0.13928082274505665</v>
      </c>
      <c r="AL75" s="566">
        <f t="shared" si="44"/>
        <v>-0.13928082274505665</v>
      </c>
      <c r="AM75" s="566">
        <f t="shared" si="44"/>
        <v>-0.13928082274505665</v>
      </c>
      <c r="AN75" s="566">
        <f t="shared" si="44"/>
        <v>-0.13928082274505665</v>
      </c>
      <c r="AO75" s="566">
        <f t="shared" si="44"/>
        <v>-0.13928082274505665</v>
      </c>
      <c r="AP75" s="566">
        <f t="shared" si="44"/>
        <v>-0.13928082274505665</v>
      </c>
      <c r="AQ75" s="567">
        <f t="shared" si="44"/>
        <v>-0.13928082274505665</v>
      </c>
      <c r="AR75" s="406"/>
      <c r="AS75" s="406"/>
      <c r="AT75" s="406"/>
      <c r="AU75" s="406"/>
      <c r="AV75" s="406"/>
      <c r="AW75" s="406"/>
      <c r="AX75" s="406"/>
      <c r="AY75" s="406"/>
      <c r="AZ75" s="406"/>
      <c r="BA75" s="406"/>
      <c r="BB75" s="406"/>
      <c r="BC75" s="406"/>
      <c r="BD75" s="406"/>
      <c r="BE75" s="406"/>
      <c r="BF75" s="406"/>
      <c r="BG75" s="406"/>
      <c r="BH75" s="406"/>
      <c r="BI75" s="406"/>
      <c r="BJ75" s="406"/>
      <c r="BK75" s="406"/>
      <c r="BL75" s="406"/>
      <c r="BM75" s="406"/>
      <c r="BN75" s="406"/>
      <c r="BO75" s="406"/>
      <c r="BP75" s="406"/>
      <c r="BQ75" s="406"/>
      <c r="BR75" s="406"/>
      <c r="BS75" s="406"/>
      <c r="BT75" s="406"/>
      <c r="BU75" s="406"/>
      <c r="BV75" s="406"/>
      <c r="BW75" s="406"/>
      <c r="BX75" s="406"/>
      <c r="BY75" s="406"/>
      <c r="BZ75" s="406"/>
      <c r="CA75" s="406"/>
      <c r="CB75" s="406"/>
      <c r="CC75" s="406"/>
      <c r="CD75" s="406"/>
      <c r="CE75" s="406"/>
      <c r="CF75" s="406"/>
      <c r="CG75" s="406"/>
      <c r="CH75" s="406"/>
      <c r="CI75" s="406"/>
      <c r="CJ75" s="406"/>
      <c r="CK75" s="406"/>
      <c r="CL75" s="406"/>
      <c r="CM75" s="406"/>
      <c r="CN75" s="406"/>
      <c r="CO75" s="406"/>
      <c r="CP75" s="406"/>
      <c r="CQ75" s="406"/>
      <c r="CR75" s="406"/>
      <c r="CS75" s="406"/>
      <c r="CT75" s="406"/>
      <c r="CU75" s="406"/>
      <c r="CV75" s="406"/>
      <c r="CW75" s="406"/>
      <c r="CX75" s="406"/>
      <c r="CY75" s="406"/>
      <c r="CZ75" s="406"/>
      <c r="DA75" s="406"/>
      <c r="DB75" s="406"/>
      <c r="DC75" s="406"/>
      <c r="DD75" s="406"/>
      <c r="DE75" s="406"/>
      <c r="DF75" s="406"/>
      <c r="DG75" s="406"/>
      <c r="DH75" s="406"/>
      <c r="DI75" s="406"/>
      <c r="DJ75" s="406"/>
      <c r="DK75" s="406"/>
      <c r="DL75" s="406"/>
      <c r="DM75" s="406"/>
      <c r="DN75" s="406"/>
      <c r="DO75" s="406"/>
      <c r="DP75" s="406"/>
      <c r="DQ75" s="406"/>
      <c r="DR75" s="406"/>
      <c r="DS75" s="406"/>
      <c r="DT75" s="406"/>
      <c r="DU75" s="406"/>
      <c r="DV75" s="406"/>
      <c r="DW75" s="406"/>
      <c r="DX75" s="406"/>
      <c r="DY75" s="406"/>
      <c r="DZ75" s="406"/>
      <c r="EA75" s="406"/>
      <c r="EB75" s="406"/>
      <c r="EC75" s="406"/>
      <c r="ED75" s="406"/>
      <c r="EE75" s="406"/>
      <c r="EF75" s="406"/>
      <c r="EG75" s="406"/>
      <c r="EH75" s="406"/>
      <c r="EI75" s="406"/>
      <c r="EJ75" s="406"/>
      <c r="EK75" s="406"/>
      <c r="EL75" s="406"/>
      <c r="EM75" s="406"/>
      <c r="EN75" s="406"/>
      <c r="EO75" s="406"/>
      <c r="EP75" s="406"/>
      <c r="EQ75" s="406"/>
      <c r="ER75" s="406"/>
      <c r="ES75" s="406"/>
      <c r="ET75" s="406"/>
      <c r="EU75" s="406"/>
      <c r="EV75" s="406"/>
      <c r="EW75" s="406"/>
      <c r="EX75" s="406"/>
      <c r="EY75" s="406"/>
      <c r="EZ75" s="406"/>
      <c r="FA75" s="406"/>
      <c r="FB75" s="406"/>
      <c r="FC75" s="406"/>
      <c r="FD75" s="406"/>
      <c r="FE75" s="406"/>
      <c r="FF75" s="406"/>
      <c r="FG75" s="406"/>
      <c r="FH75" s="406"/>
      <c r="FI75" s="406"/>
      <c r="FJ75" s="406"/>
      <c r="FK75" s="406"/>
      <c r="FL75" s="406"/>
      <c r="FM75" s="406"/>
      <c r="FN75" s="406"/>
      <c r="FO75" s="406"/>
      <c r="FP75" s="406"/>
      <c r="FQ75" s="406"/>
      <c r="FR75" s="406"/>
      <c r="FS75" s="406"/>
      <c r="FT75" s="406"/>
      <c r="FU75" s="406"/>
      <c r="FV75" s="406"/>
      <c r="FW75" s="406"/>
      <c r="FX75" s="406"/>
      <c r="FY75" s="406"/>
      <c r="FZ75" s="406"/>
      <c r="GA75" s="406"/>
      <c r="GB75" s="406"/>
      <c r="GC75" s="406"/>
      <c r="GD75" s="406"/>
      <c r="GE75" s="406"/>
      <c r="GF75" s="406"/>
      <c r="GG75" s="406"/>
      <c r="GH75" s="406"/>
      <c r="GI75" s="406"/>
      <c r="GJ75" s="406"/>
      <c r="GK75" s="406"/>
      <c r="GL75" s="406"/>
    </row>
    <row r="76" spans="1:194" ht="20.100000000000001" customHeight="1" thickBot="1">
      <c r="A76" s="502" t="s">
        <v>1094</v>
      </c>
      <c r="B76" s="512"/>
      <c r="C76" s="512"/>
      <c r="D76" s="527">
        <f>SUM(D46:D75)</f>
        <v>152</v>
      </c>
      <c r="E76" s="528">
        <f>SUM(E46:E75)</f>
        <v>28</v>
      </c>
      <c r="F76" s="529">
        <f>SUM(F46:F75)</f>
        <v>28</v>
      </c>
      <c r="G76" s="512"/>
      <c r="H76" s="513"/>
      <c r="L76" s="406">
        <f t="shared" si="46"/>
        <v>9</v>
      </c>
      <c r="M76" s="532" t="str">
        <f t="shared" si="43"/>
        <v>from_settlements_to_cropland</v>
      </c>
      <c r="N76" s="530"/>
      <c r="O76" s="566">
        <f t="shared" si="45"/>
        <v>0</v>
      </c>
      <c r="P76" s="566">
        <f t="shared" si="44"/>
        <v>0</v>
      </c>
      <c r="Q76" s="566">
        <f t="shared" si="44"/>
        <v>0</v>
      </c>
      <c r="R76" s="566">
        <f t="shared" si="44"/>
        <v>0</v>
      </c>
      <c r="S76" s="566">
        <f t="shared" si="44"/>
        <v>0</v>
      </c>
      <c r="T76" s="566">
        <f t="shared" si="44"/>
        <v>0</v>
      </c>
      <c r="U76" s="566">
        <f t="shared" si="44"/>
        <v>0</v>
      </c>
      <c r="V76" s="566">
        <f t="shared" si="44"/>
        <v>0</v>
      </c>
      <c r="W76" s="566">
        <f t="shared" si="44"/>
        <v>0</v>
      </c>
      <c r="X76" s="566">
        <f t="shared" si="44"/>
        <v>0</v>
      </c>
      <c r="Y76" s="566">
        <f t="shared" si="44"/>
        <v>0</v>
      </c>
      <c r="Z76" s="566">
        <f t="shared" si="44"/>
        <v>0</v>
      </c>
      <c r="AA76" s="566">
        <f t="shared" si="44"/>
        <v>0</v>
      </c>
      <c r="AB76" s="566">
        <f t="shared" si="44"/>
        <v>0</v>
      </c>
      <c r="AC76" s="566">
        <f t="shared" si="44"/>
        <v>0</v>
      </c>
      <c r="AD76" s="566">
        <f t="shared" si="44"/>
        <v>0</v>
      </c>
      <c r="AE76" s="566">
        <f t="shared" si="44"/>
        <v>0</v>
      </c>
      <c r="AF76" s="566">
        <f t="shared" si="44"/>
        <v>0</v>
      </c>
      <c r="AG76" s="566">
        <f t="shared" si="44"/>
        <v>0</v>
      </c>
      <c r="AH76" s="566">
        <f t="shared" si="44"/>
        <v>0</v>
      </c>
      <c r="AI76" s="566">
        <f t="shared" si="44"/>
        <v>-0.13928082274505665</v>
      </c>
      <c r="AJ76" s="566">
        <f t="shared" si="44"/>
        <v>-0.13928082274505665</v>
      </c>
      <c r="AK76" s="566">
        <f t="shared" si="44"/>
        <v>-0.13928082274505665</v>
      </c>
      <c r="AL76" s="566">
        <f t="shared" si="44"/>
        <v>-0.13928082274505665</v>
      </c>
      <c r="AM76" s="566">
        <f t="shared" si="44"/>
        <v>-0.13928082274505665</v>
      </c>
      <c r="AN76" s="566">
        <f t="shared" si="44"/>
        <v>-0.13928082274505665</v>
      </c>
      <c r="AO76" s="566">
        <f t="shared" si="44"/>
        <v>-0.13928082274505665</v>
      </c>
      <c r="AP76" s="566">
        <f t="shared" si="44"/>
        <v>-0.13928082274505665</v>
      </c>
      <c r="AQ76" s="567">
        <f t="shared" si="44"/>
        <v>-0.13928082274505665</v>
      </c>
      <c r="AR76" s="406"/>
      <c r="AS76" s="406"/>
      <c r="AT76" s="406"/>
      <c r="AU76" s="406"/>
      <c r="AV76" s="406"/>
      <c r="AW76" s="406"/>
      <c r="AX76" s="406"/>
      <c r="AY76" s="406"/>
      <c r="AZ76" s="406"/>
      <c r="BA76" s="406"/>
      <c r="BB76" s="406"/>
      <c r="BC76" s="406"/>
      <c r="BD76" s="406"/>
      <c r="BE76" s="406"/>
      <c r="BF76" s="406"/>
      <c r="BG76" s="406"/>
      <c r="BH76" s="406"/>
      <c r="BI76" s="406"/>
      <c r="BJ76" s="406"/>
      <c r="BK76" s="406"/>
      <c r="BL76" s="406"/>
      <c r="BM76" s="406"/>
      <c r="BN76" s="406"/>
      <c r="BO76" s="406"/>
      <c r="BP76" s="406"/>
      <c r="BQ76" s="406"/>
      <c r="BR76" s="406"/>
      <c r="BS76" s="406"/>
      <c r="BT76" s="406"/>
      <c r="BU76" s="406"/>
      <c r="BV76" s="406"/>
      <c r="BW76" s="406"/>
      <c r="BX76" s="406"/>
      <c r="BY76" s="406"/>
      <c r="BZ76" s="406"/>
      <c r="CA76" s="406"/>
      <c r="CB76" s="406"/>
      <c r="CC76" s="406"/>
      <c r="CD76" s="406"/>
      <c r="CE76" s="406"/>
      <c r="CF76" s="406"/>
      <c r="CG76" s="406"/>
      <c r="CH76" s="406"/>
      <c r="CI76" s="406"/>
      <c r="CJ76" s="406"/>
      <c r="CK76" s="406"/>
      <c r="CL76" s="406"/>
      <c r="CM76" s="406"/>
      <c r="CN76" s="406"/>
      <c r="CO76" s="406"/>
      <c r="CP76" s="406"/>
      <c r="CQ76" s="406"/>
      <c r="CR76" s="406"/>
      <c r="CS76" s="406"/>
      <c r="CT76" s="406"/>
      <c r="CU76" s="406"/>
      <c r="CV76" s="406"/>
      <c r="CW76" s="406"/>
      <c r="CX76" s="406"/>
      <c r="CY76" s="406"/>
      <c r="CZ76" s="406"/>
      <c r="DA76" s="406"/>
      <c r="DB76" s="406"/>
      <c r="DC76" s="406"/>
      <c r="DD76" s="406"/>
      <c r="DE76" s="406"/>
      <c r="DF76" s="406"/>
      <c r="DG76" s="406"/>
      <c r="DH76" s="406"/>
      <c r="DI76" s="406"/>
      <c r="DJ76" s="406"/>
      <c r="DK76" s="406"/>
      <c r="DL76" s="406"/>
      <c r="DM76" s="406"/>
      <c r="DN76" s="406"/>
      <c r="DO76" s="406"/>
      <c r="DP76" s="406"/>
      <c r="DQ76" s="406"/>
      <c r="DR76" s="406"/>
      <c r="DS76" s="406"/>
      <c r="DT76" s="406"/>
      <c r="DU76" s="406"/>
      <c r="DV76" s="406"/>
      <c r="DW76" s="406"/>
      <c r="DX76" s="406"/>
      <c r="DY76" s="406"/>
      <c r="DZ76" s="406"/>
      <c r="EA76" s="406"/>
      <c r="EB76" s="406"/>
      <c r="EC76" s="406"/>
      <c r="ED76" s="406"/>
      <c r="EE76" s="406"/>
      <c r="EF76" s="406"/>
      <c r="EG76" s="406"/>
      <c r="EH76" s="406"/>
      <c r="EI76" s="406"/>
      <c r="EJ76" s="406"/>
      <c r="EK76" s="406"/>
      <c r="EL76" s="406"/>
      <c r="EM76" s="406"/>
      <c r="EN76" s="406"/>
      <c r="EO76" s="406"/>
      <c r="EP76" s="406"/>
      <c r="EQ76" s="406"/>
      <c r="ER76" s="406"/>
      <c r="ES76" s="406"/>
      <c r="ET76" s="406"/>
      <c r="EU76" s="406"/>
      <c r="EV76" s="406"/>
      <c r="EW76" s="406"/>
      <c r="EX76" s="406"/>
      <c r="EY76" s="406"/>
      <c r="EZ76" s="406"/>
      <c r="FA76" s="406"/>
      <c r="FB76" s="406"/>
      <c r="FC76" s="406"/>
      <c r="FD76" s="406"/>
      <c r="FE76" s="406"/>
      <c r="FF76" s="406"/>
      <c r="FG76" s="406"/>
      <c r="FH76" s="406"/>
      <c r="FI76" s="406"/>
      <c r="FJ76" s="406"/>
      <c r="FK76" s="406"/>
      <c r="FL76" s="406"/>
      <c r="FM76" s="406"/>
      <c r="FN76" s="406"/>
      <c r="FO76" s="406"/>
      <c r="FP76" s="406"/>
      <c r="FQ76" s="406"/>
      <c r="FR76" s="406"/>
      <c r="FS76" s="406"/>
      <c r="FT76" s="406"/>
      <c r="FU76" s="406"/>
      <c r="FV76" s="406"/>
      <c r="FW76" s="406"/>
      <c r="FX76" s="406"/>
      <c r="FY76" s="406"/>
      <c r="FZ76" s="406"/>
      <c r="GA76" s="406"/>
      <c r="GB76" s="406"/>
      <c r="GC76" s="406"/>
      <c r="GD76" s="406"/>
      <c r="GE76" s="406"/>
      <c r="GF76" s="406"/>
      <c r="GG76" s="406"/>
      <c r="GH76" s="406"/>
      <c r="GI76" s="406"/>
      <c r="GJ76" s="406"/>
      <c r="GK76" s="406"/>
      <c r="GL76" s="406"/>
    </row>
    <row r="77" spans="1:194" ht="20.100000000000001" customHeight="1" thickBot="1">
      <c r="A77" s="386"/>
      <c r="B77" s="387"/>
      <c r="C77" s="387"/>
      <c r="D77" s="238"/>
      <c r="E77" s="238"/>
      <c r="F77" s="238"/>
      <c r="G77" s="238"/>
      <c r="H77" s="239"/>
      <c r="I77" s="406"/>
      <c r="J77" s="406"/>
      <c r="K77" s="406"/>
      <c r="L77" s="406">
        <f t="shared" si="46"/>
        <v>10</v>
      </c>
      <c r="M77" s="533" t="str">
        <f t="shared" si="43"/>
        <v>from_other_land_to_cropland</v>
      </c>
      <c r="N77" s="534"/>
      <c r="O77" s="568">
        <f t="shared" si="45"/>
        <v>0</v>
      </c>
      <c r="P77" s="568">
        <f t="shared" si="44"/>
        <v>0</v>
      </c>
      <c r="Q77" s="568">
        <f t="shared" si="44"/>
        <v>0</v>
      </c>
      <c r="R77" s="568">
        <f t="shared" si="44"/>
        <v>0</v>
      </c>
      <c r="S77" s="568">
        <f t="shared" si="44"/>
        <v>0</v>
      </c>
      <c r="T77" s="568">
        <f t="shared" si="44"/>
        <v>0</v>
      </c>
      <c r="U77" s="568">
        <f t="shared" si="44"/>
        <v>0</v>
      </c>
      <c r="V77" s="568">
        <f t="shared" si="44"/>
        <v>0</v>
      </c>
      <c r="W77" s="568">
        <f t="shared" si="44"/>
        <v>0</v>
      </c>
      <c r="X77" s="568">
        <f t="shared" si="44"/>
        <v>0</v>
      </c>
      <c r="Y77" s="568">
        <f t="shared" si="44"/>
        <v>0</v>
      </c>
      <c r="Z77" s="568">
        <f t="shared" si="44"/>
        <v>0</v>
      </c>
      <c r="AA77" s="568">
        <f t="shared" si="44"/>
        <v>0</v>
      </c>
      <c r="AB77" s="568">
        <f t="shared" si="44"/>
        <v>0</v>
      </c>
      <c r="AC77" s="568">
        <f t="shared" si="44"/>
        <v>0</v>
      </c>
      <c r="AD77" s="568">
        <f t="shared" si="44"/>
        <v>0</v>
      </c>
      <c r="AE77" s="568">
        <f t="shared" si="44"/>
        <v>0</v>
      </c>
      <c r="AF77" s="568">
        <f t="shared" si="44"/>
        <v>0</v>
      </c>
      <c r="AG77" s="568">
        <f t="shared" si="44"/>
        <v>0</v>
      </c>
      <c r="AH77" s="568">
        <f t="shared" ref="P77:AQ86" si="47">IF($N43&gt;AH$67,0,INDEX($O$34:$AR$63,$L77,(AH$67-$N43+1)))</f>
        <v>0</v>
      </c>
      <c r="AI77" s="568">
        <f t="shared" si="47"/>
        <v>0</v>
      </c>
      <c r="AJ77" s="568">
        <f t="shared" si="47"/>
        <v>0</v>
      </c>
      <c r="AK77" s="568">
        <f t="shared" si="47"/>
        <v>0</v>
      </c>
      <c r="AL77" s="568">
        <f t="shared" si="47"/>
        <v>0</v>
      </c>
      <c r="AM77" s="568">
        <f t="shared" si="47"/>
        <v>0</v>
      </c>
      <c r="AN77" s="568">
        <f t="shared" si="47"/>
        <v>0</v>
      </c>
      <c r="AO77" s="568">
        <f t="shared" si="47"/>
        <v>0</v>
      </c>
      <c r="AP77" s="568">
        <f t="shared" si="47"/>
        <v>0</v>
      </c>
      <c r="AQ77" s="569">
        <f t="shared" si="47"/>
        <v>0</v>
      </c>
      <c r="AR77" s="406"/>
      <c r="AS77" s="406"/>
      <c r="AT77" s="406"/>
      <c r="AU77" s="406"/>
      <c r="AV77" s="406"/>
      <c r="AW77" s="406"/>
      <c r="AX77" s="406"/>
      <c r="AY77" s="406"/>
      <c r="AZ77" s="406"/>
      <c r="BA77" s="406"/>
      <c r="BB77" s="406"/>
      <c r="BC77" s="406"/>
      <c r="BD77" s="406"/>
      <c r="BE77" s="406"/>
      <c r="BF77" s="406"/>
      <c r="BG77" s="406"/>
      <c r="BH77" s="406"/>
      <c r="BI77" s="406"/>
      <c r="BJ77" s="406"/>
      <c r="BK77" s="406"/>
      <c r="BL77" s="406"/>
      <c r="BM77" s="406"/>
      <c r="BN77" s="406"/>
      <c r="BO77" s="406"/>
      <c r="BP77" s="406"/>
      <c r="BQ77" s="406"/>
      <c r="BR77" s="406"/>
      <c r="BS77" s="406"/>
      <c r="BT77" s="406"/>
      <c r="BU77" s="406"/>
      <c r="BV77" s="406"/>
      <c r="BW77" s="406"/>
      <c r="BX77" s="406"/>
      <c r="BY77" s="406"/>
      <c r="BZ77" s="406"/>
      <c r="CA77" s="406"/>
      <c r="CB77" s="406"/>
      <c r="CC77" s="406"/>
      <c r="CD77" s="406"/>
      <c r="CE77" s="406"/>
      <c r="CF77" s="406"/>
      <c r="CG77" s="406"/>
      <c r="CH77" s="406"/>
      <c r="CI77" s="406"/>
      <c r="CJ77" s="406"/>
      <c r="CK77" s="406"/>
      <c r="CL77" s="406"/>
      <c r="CM77" s="406"/>
      <c r="CN77" s="406"/>
      <c r="CO77" s="406"/>
      <c r="CP77" s="406"/>
      <c r="CQ77" s="406"/>
      <c r="CR77" s="406"/>
      <c r="CS77" s="406"/>
      <c r="CT77" s="406"/>
      <c r="CU77" s="406"/>
      <c r="CV77" s="406"/>
      <c r="CW77" s="406"/>
      <c r="CX77" s="406"/>
      <c r="CY77" s="406"/>
      <c r="CZ77" s="406"/>
      <c r="DA77" s="406"/>
      <c r="DB77" s="406"/>
      <c r="DC77" s="406"/>
      <c r="DD77" s="406"/>
      <c r="DE77" s="406"/>
      <c r="DF77" s="406"/>
      <c r="DG77" s="406"/>
      <c r="DH77" s="406"/>
      <c r="DI77" s="406"/>
      <c r="DJ77" s="406"/>
      <c r="DK77" s="406"/>
      <c r="DL77" s="406"/>
      <c r="DM77" s="406"/>
      <c r="DN77" s="406"/>
      <c r="DO77" s="406"/>
      <c r="DP77" s="406"/>
      <c r="DQ77" s="406"/>
      <c r="DR77" s="406"/>
      <c r="DS77" s="406"/>
      <c r="DT77" s="406"/>
      <c r="DU77" s="406"/>
      <c r="DV77" s="406"/>
      <c r="DW77" s="406"/>
      <c r="DX77" s="406"/>
      <c r="DY77" s="406"/>
      <c r="DZ77" s="406"/>
      <c r="EA77" s="406"/>
      <c r="EB77" s="406"/>
      <c r="EC77" s="406"/>
      <c r="ED77" s="406"/>
      <c r="EE77" s="406"/>
      <c r="EF77" s="406"/>
      <c r="EG77" s="406"/>
      <c r="EH77" s="406"/>
      <c r="EI77" s="406"/>
      <c r="EJ77" s="406"/>
      <c r="EK77" s="406"/>
      <c r="EL77" s="406"/>
      <c r="EM77" s="406"/>
      <c r="EN77" s="406"/>
      <c r="EO77" s="406"/>
      <c r="EP77" s="406"/>
      <c r="EQ77" s="406"/>
      <c r="ER77" s="406"/>
      <c r="ES77" s="406"/>
      <c r="ET77" s="406"/>
      <c r="EU77" s="406"/>
      <c r="EV77" s="406"/>
      <c r="EW77" s="406"/>
      <c r="EX77" s="406"/>
      <c r="EY77" s="406"/>
      <c r="EZ77" s="406"/>
      <c r="FA77" s="406"/>
      <c r="FB77" s="406"/>
      <c r="FC77" s="406"/>
      <c r="FD77" s="406"/>
      <c r="FE77" s="406"/>
      <c r="FF77" s="406"/>
      <c r="FG77" s="406"/>
      <c r="FH77" s="406"/>
      <c r="FI77" s="406"/>
      <c r="FJ77" s="406"/>
      <c r="FK77" s="406"/>
      <c r="FL77" s="406"/>
      <c r="FM77" s="406"/>
      <c r="FN77" s="406"/>
      <c r="FO77" s="406"/>
      <c r="FP77" s="406"/>
      <c r="FQ77" s="406"/>
      <c r="FR77" s="406"/>
      <c r="FS77" s="406"/>
      <c r="FT77" s="406"/>
      <c r="FU77" s="406"/>
      <c r="FV77" s="406"/>
      <c r="FW77" s="406"/>
      <c r="FX77" s="406"/>
      <c r="FY77" s="406"/>
      <c r="FZ77" s="406"/>
      <c r="GA77" s="406"/>
      <c r="GB77" s="406"/>
      <c r="GC77" s="406"/>
      <c r="GD77" s="406"/>
      <c r="GE77" s="406"/>
      <c r="GF77" s="406"/>
      <c r="GG77" s="406"/>
      <c r="GH77" s="406"/>
      <c r="GI77" s="406"/>
      <c r="GJ77" s="406"/>
      <c r="GK77" s="406"/>
      <c r="GL77" s="406"/>
    </row>
    <row r="78" spans="1:194" ht="20.100000000000001" customHeight="1">
      <c r="A78" s="92"/>
      <c r="B78" s="79"/>
      <c r="C78" s="79"/>
      <c r="D78" s="79"/>
      <c r="E78" s="79"/>
      <c r="F78" s="79"/>
      <c r="G78" s="79"/>
      <c r="H78" s="93"/>
      <c r="I78" s="406"/>
      <c r="J78" s="406"/>
      <c r="K78" s="406"/>
      <c r="L78" s="406">
        <f t="shared" si="46"/>
        <v>11</v>
      </c>
      <c r="M78" s="531" t="str">
        <f t="shared" si="43"/>
        <v>from_forestland_to_grassland</v>
      </c>
      <c r="N78" s="575"/>
      <c r="O78" s="576">
        <f t="shared" si="45"/>
        <v>749.99444641709511</v>
      </c>
      <c r="P78" s="576">
        <f t="shared" si="47"/>
        <v>14.167779750428517</v>
      </c>
      <c r="Q78" s="576">
        <f t="shared" si="47"/>
        <v>14.167779750428517</v>
      </c>
      <c r="R78" s="576">
        <f t="shared" si="47"/>
        <v>14.167779750428517</v>
      </c>
      <c r="S78" s="576">
        <f t="shared" si="47"/>
        <v>14.167779750428517</v>
      </c>
      <c r="T78" s="576">
        <f t="shared" si="47"/>
        <v>14.167779750428517</v>
      </c>
      <c r="U78" s="576">
        <f t="shared" si="47"/>
        <v>14.167779750428517</v>
      </c>
      <c r="V78" s="576">
        <f t="shared" si="47"/>
        <v>14.167779750428517</v>
      </c>
      <c r="W78" s="576">
        <f t="shared" si="47"/>
        <v>14.167779750428517</v>
      </c>
      <c r="X78" s="576">
        <f t="shared" si="47"/>
        <v>14.167779750428517</v>
      </c>
      <c r="Y78" s="576">
        <f t="shared" si="47"/>
        <v>14.167779750428517</v>
      </c>
      <c r="Z78" s="576">
        <f t="shared" si="47"/>
        <v>14.167779750428517</v>
      </c>
      <c r="AA78" s="576">
        <f t="shared" si="47"/>
        <v>14.167779750428517</v>
      </c>
      <c r="AB78" s="576">
        <f t="shared" si="47"/>
        <v>14.167779750428517</v>
      </c>
      <c r="AC78" s="576">
        <f t="shared" si="47"/>
        <v>14.167779750428517</v>
      </c>
      <c r="AD78" s="576">
        <f t="shared" si="47"/>
        <v>14.167779750428517</v>
      </c>
      <c r="AE78" s="576">
        <f t="shared" si="47"/>
        <v>14.167779750428517</v>
      </c>
      <c r="AF78" s="576">
        <f t="shared" si="47"/>
        <v>14.167779750428517</v>
      </c>
      <c r="AG78" s="576">
        <f t="shared" si="47"/>
        <v>14.167779750428517</v>
      </c>
      <c r="AH78" s="576">
        <f t="shared" si="47"/>
        <v>14.167779750428517</v>
      </c>
      <c r="AI78" s="576">
        <f t="shared" si="47"/>
        <v>24.274250134003282</v>
      </c>
      <c r="AJ78" s="576">
        <f t="shared" si="47"/>
        <v>24.274250134003282</v>
      </c>
      <c r="AK78" s="576">
        <f t="shared" si="47"/>
        <v>24.274250134003282</v>
      </c>
      <c r="AL78" s="576">
        <f t="shared" si="47"/>
        <v>24.274250134003282</v>
      </c>
      <c r="AM78" s="576">
        <f t="shared" si="47"/>
        <v>24.274250134003282</v>
      </c>
      <c r="AN78" s="576">
        <f t="shared" si="47"/>
        <v>24.274250134003282</v>
      </c>
      <c r="AO78" s="576">
        <f t="shared" si="47"/>
        <v>24.274250134003282</v>
      </c>
      <c r="AP78" s="576">
        <f t="shared" si="47"/>
        <v>24.274250134003282</v>
      </c>
      <c r="AQ78" s="577">
        <f t="shared" si="47"/>
        <v>24.274250134003282</v>
      </c>
      <c r="AR78" s="406"/>
      <c r="AS78" s="406"/>
      <c r="AT78" s="406"/>
      <c r="AU78" s="406"/>
      <c r="AV78" s="406"/>
      <c r="AW78" s="406"/>
      <c r="AX78" s="406"/>
      <c r="AY78" s="406"/>
      <c r="AZ78" s="406"/>
      <c r="BA78" s="406"/>
      <c r="BB78" s="406"/>
      <c r="BC78" s="406"/>
      <c r="BD78" s="406"/>
      <c r="BE78" s="406"/>
      <c r="BF78" s="406"/>
      <c r="BG78" s="406"/>
      <c r="BH78" s="406"/>
      <c r="BI78" s="406"/>
      <c r="BJ78" s="406"/>
      <c r="BK78" s="406"/>
      <c r="BL78" s="406"/>
      <c r="BM78" s="406"/>
      <c r="BN78" s="406"/>
      <c r="BO78" s="406"/>
      <c r="BP78" s="406"/>
      <c r="BQ78" s="406"/>
      <c r="BR78" s="406"/>
      <c r="BS78" s="406"/>
      <c r="BT78" s="406"/>
      <c r="BU78" s="406"/>
      <c r="BV78" s="406"/>
      <c r="BW78" s="406"/>
      <c r="BX78" s="406"/>
      <c r="BY78" s="406"/>
      <c r="BZ78" s="406"/>
      <c r="CA78" s="406"/>
      <c r="CB78" s="406"/>
      <c r="CC78" s="406"/>
      <c r="CD78" s="406"/>
      <c r="CE78" s="406"/>
      <c r="CF78" s="406"/>
      <c r="CG78" s="406"/>
      <c r="CH78" s="406"/>
      <c r="CI78" s="406"/>
      <c r="CJ78" s="406"/>
      <c r="CK78" s="406"/>
      <c r="CL78" s="406"/>
      <c r="CM78" s="406"/>
      <c r="CN78" s="406"/>
      <c r="CO78" s="406"/>
      <c r="CP78" s="406"/>
      <c r="CQ78" s="406"/>
      <c r="CR78" s="406"/>
      <c r="CS78" s="406"/>
      <c r="CT78" s="406"/>
      <c r="CU78" s="406"/>
      <c r="CV78" s="406"/>
      <c r="CW78" s="406"/>
      <c r="CX78" s="406"/>
      <c r="CY78" s="406"/>
      <c r="CZ78" s="406"/>
      <c r="DA78" s="406"/>
      <c r="DB78" s="406"/>
      <c r="DC78" s="406"/>
      <c r="DD78" s="406"/>
      <c r="DE78" s="406"/>
      <c r="DF78" s="406"/>
      <c r="DG78" s="406"/>
      <c r="DH78" s="406"/>
      <c r="DI78" s="406"/>
      <c r="DJ78" s="406"/>
      <c r="DK78" s="406"/>
      <c r="DL78" s="406"/>
      <c r="DM78" s="406"/>
      <c r="DN78" s="406"/>
      <c r="DO78" s="406"/>
      <c r="DP78" s="406"/>
      <c r="DQ78" s="406"/>
      <c r="DR78" s="406"/>
      <c r="DS78" s="406"/>
      <c r="DT78" s="406"/>
      <c r="DU78" s="406"/>
      <c r="DV78" s="406"/>
      <c r="DW78" s="406"/>
      <c r="DX78" s="406"/>
      <c r="DY78" s="406"/>
      <c r="DZ78" s="406"/>
      <c r="EA78" s="406"/>
      <c r="EB78" s="406"/>
      <c r="EC78" s="406"/>
      <c r="ED78" s="406"/>
      <c r="EE78" s="406"/>
      <c r="EF78" s="406"/>
      <c r="EG78" s="406"/>
      <c r="EH78" s="406"/>
      <c r="EI78" s="406"/>
      <c r="EJ78" s="406"/>
      <c r="EK78" s="406"/>
      <c r="EL78" s="406"/>
      <c r="EM78" s="406"/>
      <c r="EN78" s="406"/>
      <c r="EO78" s="406"/>
      <c r="EP78" s="406"/>
      <c r="EQ78" s="406"/>
      <c r="ER78" s="406"/>
      <c r="ES78" s="406"/>
      <c r="ET78" s="406"/>
      <c r="EU78" s="406"/>
      <c r="EV78" s="406"/>
      <c r="EW78" s="406"/>
      <c r="EX78" s="406"/>
      <c r="EY78" s="406"/>
      <c r="EZ78" s="406"/>
      <c r="FA78" s="406"/>
      <c r="FB78" s="406"/>
      <c r="FC78" s="406"/>
      <c r="FD78" s="406"/>
      <c r="FE78" s="406"/>
      <c r="FF78" s="406"/>
      <c r="FG78" s="406"/>
      <c r="FH78" s="406"/>
      <c r="FI78" s="406"/>
      <c r="FJ78" s="406"/>
      <c r="FK78" s="406"/>
      <c r="FL78" s="406"/>
      <c r="FM78" s="406"/>
      <c r="FN78" s="406"/>
      <c r="FO78" s="406"/>
      <c r="FP78" s="406"/>
      <c r="FQ78" s="406"/>
      <c r="FR78" s="406"/>
      <c r="FS78" s="406"/>
      <c r="FT78" s="406"/>
      <c r="FU78" s="406"/>
      <c r="FV78" s="406"/>
      <c r="FW78" s="406"/>
      <c r="FX78" s="406"/>
      <c r="FY78" s="406"/>
      <c r="FZ78" s="406"/>
      <c r="GA78" s="406"/>
      <c r="GB78" s="406"/>
      <c r="GC78" s="406"/>
      <c r="GD78" s="406"/>
      <c r="GE78" s="406"/>
      <c r="GF78" s="406"/>
      <c r="GG78" s="406"/>
      <c r="GH78" s="406"/>
      <c r="GI78" s="406"/>
      <c r="GJ78" s="406"/>
      <c r="GK78" s="406"/>
      <c r="GL78" s="406"/>
    </row>
    <row r="79" spans="1:194" ht="20.100000000000001" customHeight="1">
      <c r="A79" s="92"/>
      <c r="B79" s="79"/>
      <c r="C79" s="79"/>
      <c r="D79" s="79"/>
      <c r="E79" s="79"/>
      <c r="F79" s="79"/>
      <c r="G79" s="79"/>
      <c r="H79" s="93"/>
      <c r="I79" s="406"/>
      <c r="J79" s="406"/>
      <c r="K79" s="406"/>
      <c r="L79" s="406">
        <f t="shared" si="46"/>
        <v>12</v>
      </c>
      <c r="M79" s="532" t="str">
        <f t="shared" si="43"/>
        <v>from_cropland_to_grassland</v>
      </c>
      <c r="N79" s="530"/>
      <c r="O79" s="566">
        <f t="shared" si="45"/>
        <v>0</v>
      </c>
      <c r="P79" s="566">
        <f t="shared" si="47"/>
        <v>0</v>
      </c>
      <c r="Q79" s="566">
        <f t="shared" si="47"/>
        <v>0</v>
      </c>
      <c r="R79" s="566">
        <f t="shared" si="47"/>
        <v>0</v>
      </c>
      <c r="S79" s="566">
        <f t="shared" si="47"/>
        <v>0</v>
      </c>
      <c r="T79" s="566">
        <f t="shared" si="47"/>
        <v>0</v>
      </c>
      <c r="U79" s="566">
        <f t="shared" si="47"/>
        <v>0</v>
      </c>
      <c r="V79" s="566">
        <f t="shared" si="47"/>
        <v>0</v>
      </c>
      <c r="W79" s="566">
        <f t="shared" si="47"/>
        <v>0</v>
      </c>
      <c r="X79" s="566">
        <f t="shared" si="47"/>
        <v>0</v>
      </c>
      <c r="Y79" s="566">
        <f t="shared" si="47"/>
        <v>0</v>
      </c>
      <c r="Z79" s="566">
        <f t="shared" si="47"/>
        <v>0</v>
      </c>
      <c r="AA79" s="566">
        <f t="shared" si="47"/>
        <v>0</v>
      </c>
      <c r="AB79" s="566">
        <f t="shared" si="47"/>
        <v>0</v>
      </c>
      <c r="AC79" s="566">
        <f t="shared" si="47"/>
        <v>0</v>
      </c>
      <c r="AD79" s="566">
        <f t="shared" si="47"/>
        <v>0</v>
      </c>
      <c r="AE79" s="566">
        <f t="shared" si="47"/>
        <v>0</v>
      </c>
      <c r="AF79" s="566">
        <f t="shared" si="47"/>
        <v>0</v>
      </c>
      <c r="AG79" s="566">
        <f t="shared" si="47"/>
        <v>0</v>
      </c>
      <c r="AH79" s="566">
        <f>IF($N45&gt;AH$67,0,INDEX($O$34:$AR$63,$L79,(AH$67-$N45+1)))</f>
        <v>0</v>
      </c>
      <c r="AI79" s="566">
        <f t="shared" si="47"/>
        <v>24.274250134003282</v>
      </c>
      <c r="AJ79" s="566">
        <f t="shared" si="47"/>
        <v>24.274250134003282</v>
      </c>
      <c r="AK79" s="566">
        <f t="shared" si="47"/>
        <v>24.274250134003282</v>
      </c>
      <c r="AL79" s="566">
        <f t="shared" si="47"/>
        <v>24.274250134003282</v>
      </c>
      <c r="AM79" s="566">
        <f t="shared" si="47"/>
        <v>24.274250134003282</v>
      </c>
      <c r="AN79" s="566">
        <f t="shared" si="47"/>
        <v>24.274250134003282</v>
      </c>
      <c r="AO79" s="566">
        <f t="shared" si="47"/>
        <v>24.274250134003282</v>
      </c>
      <c r="AP79" s="566">
        <f t="shared" si="47"/>
        <v>24.274250134003282</v>
      </c>
      <c r="AQ79" s="567">
        <f t="shared" si="47"/>
        <v>24.274250134003282</v>
      </c>
      <c r="AR79" s="406"/>
      <c r="AS79" s="406"/>
      <c r="AT79" s="406"/>
      <c r="AU79" s="406"/>
      <c r="AV79" s="406"/>
      <c r="AW79" s="406"/>
      <c r="AX79" s="406"/>
      <c r="AY79" s="406"/>
      <c r="AZ79" s="406"/>
      <c r="BA79" s="406"/>
      <c r="BB79" s="406"/>
      <c r="BC79" s="406"/>
      <c r="BD79" s="406"/>
      <c r="BE79" s="406"/>
      <c r="BF79" s="406"/>
      <c r="BG79" s="406"/>
      <c r="BH79" s="406"/>
      <c r="BI79" s="406"/>
      <c r="BJ79" s="406"/>
      <c r="BK79" s="406"/>
      <c r="BL79" s="406"/>
      <c r="BM79" s="406"/>
      <c r="BN79" s="406"/>
      <c r="BO79" s="406"/>
      <c r="BP79" s="406"/>
      <c r="BQ79" s="406"/>
      <c r="BR79" s="406"/>
      <c r="BS79" s="406"/>
      <c r="BT79" s="406"/>
      <c r="BU79" s="406"/>
      <c r="BV79" s="406"/>
      <c r="BW79" s="406"/>
      <c r="BX79" s="406"/>
      <c r="BY79" s="406"/>
      <c r="BZ79" s="406"/>
      <c r="CA79" s="406"/>
      <c r="CB79" s="406"/>
      <c r="CC79" s="406"/>
      <c r="CD79" s="406"/>
      <c r="CE79" s="406"/>
      <c r="CF79" s="406"/>
      <c r="CG79" s="406"/>
      <c r="CH79" s="406"/>
      <c r="CI79" s="406"/>
      <c r="CJ79" s="406"/>
      <c r="CK79" s="406"/>
      <c r="CL79" s="406"/>
      <c r="CM79" s="406"/>
      <c r="CN79" s="406"/>
      <c r="CO79" s="406"/>
      <c r="CP79" s="406"/>
      <c r="CQ79" s="406"/>
      <c r="CR79" s="406"/>
      <c r="CS79" s="406"/>
      <c r="CT79" s="406"/>
      <c r="CU79" s="406"/>
      <c r="CV79" s="406"/>
      <c r="CW79" s="406"/>
      <c r="CX79" s="406"/>
      <c r="CY79" s="406"/>
      <c r="CZ79" s="406"/>
      <c r="DA79" s="406"/>
      <c r="DB79" s="406"/>
      <c r="DC79" s="406"/>
      <c r="DD79" s="406"/>
      <c r="DE79" s="406"/>
      <c r="DF79" s="406"/>
      <c r="DG79" s="406"/>
      <c r="DH79" s="406"/>
      <c r="DI79" s="406"/>
      <c r="DJ79" s="406"/>
      <c r="DK79" s="406"/>
      <c r="DL79" s="406"/>
      <c r="DM79" s="406"/>
      <c r="DN79" s="406"/>
      <c r="DO79" s="406"/>
      <c r="DP79" s="406"/>
      <c r="DQ79" s="406"/>
      <c r="DR79" s="406"/>
      <c r="DS79" s="406"/>
      <c r="DT79" s="406"/>
      <c r="DU79" s="406"/>
      <c r="DV79" s="406"/>
      <c r="DW79" s="406"/>
      <c r="DX79" s="406"/>
      <c r="DY79" s="406"/>
      <c r="DZ79" s="406"/>
      <c r="EA79" s="406"/>
      <c r="EB79" s="406"/>
      <c r="EC79" s="406"/>
      <c r="ED79" s="406"/>
      <c r="EE79" s="406"/>
      <c r="EF79" s="406"/>
      <c r="EG79" s="406"/>
      <c r="EH79" s="406"/>
      <c r="EI79" s="406"/>
      <c r="EJ79" s="406"/>
      <c r="EK79" s="406"/>
      <c r="EL79" s="406"/>
      <c r="EM79" s="406"/>
      <c r="EN79" s="406"/>
      <c r="EO79" s="406"/>
      <c r="EP79" s="406"/>
      <c r="EQ79" s="406"/>
      <c r="ER79" s="406"/>
      <c r="ES79" s="406"/>
      <c r="ET79" s="406"/>
      <c r="EU79" s="406"/>
      <c r="EV79" s="406"/>
      <c r="EW79" s="406"/>
      <c r="EX79" s="406"/>
      <c r="EY79" s="406"/>
      <c r="EZ79" s="406"/>
      <c r="FA79" s="406"/>
      <c r="FB79" s="406"/>
      <c r="FC79" s="406"/>
      <c r="FD79" s="406"/>
      <c r="FE79" s="406"/>
      <c r="FF79" s="406"/>
      <c r="FG79" s="406"/>
      <c r="FH79" s="406"/>
      <c r="FI79" s="406"/>
      <c r="FJ79" s="406"/>
      <c r="FK79" s="406"/>
      <c r="FL79" s="406"/>
      <c r="FM79" s="406"/>
      <c r="FN79" s="406"/>
      <c r="FO79" s="406"/>
      <c r="FP79" s="406"/>
      <c r="FQ79" s="406"/>
      <c r="FR79" s="406"/>
      <c r="FS79" s="406"/>
      <c r="FT79" s="406"/>
      <c r="FU79" s="406"/>
      <c r="FV79" s="406"/>
      <c r="FW79" s="406"/>
      <c r="FX79" s="406"/>
      <c r="FY79" s="406"/>
      <c r="FZ79" s="406"/>
      <c r="GA79" s="406"/>
      <c r="GB79" s="406"/>
      <c r="GC79" s="406"/>
      <c r="GD79" s="406"/>
      <c r="GE79" s="406"/>
      <c r="GF79" s="406"/>
      <c r="GG79" s="406"/>
      <c r="GH79" s="406"/>
      <c r="GI79" s="406"/>
      <c r="GJ79" s="406"/>
      <c r="GK79" s="406"/>
      <c r="GL79" s="406"/>
    </row>
    <row r="80" spans="1:194" ht="20.100000000000001" customHeight="1">
      <c r="A80" s="92"/>
      <c r="B80" s="79"/>
      <c r="C80" s="79"/>
      <c r="D80" s="79"/>
      <c r="E80" s="79"/>
      <c r="F80" s="79"/>
      <c r="G80" s="79"/>
      <c r="H80" s="93"/>
      <c r="I80" s="406"/>
      <c r="J80" s="406"/>
      <c r="K80" s="406"/>
      <c r="L80" s="406">
        <f t="shared" si="46"/>
        <v>13</v>
      </c>
      <c r="M80" s="532" t="str">
        <f t="shared" si="43"/>
        <v>from_wetland_to_grassland</v>
      </c>
      <c r="N80" s="530"/>
      <c r="O80" s="566">
        <f t="shared" si="45"/>
        <v>0</v>
      </c>
      <c r="P80" s="566">
        <f t="shared" si="47"/>
        <v>0</v>
      </c>
      <c r="Q80" s="566">
        <f t="shared" si="47"/>
        <v>0</v>
      </c>
      <c r="R80" s="566">
        <f t="shared" si="47"/>
        <v>0</v>
      </c>
      <c r="S80" s="566">
        <f t="shared" si="47"/>
        <v>0</v>
      </c>
      <c r="T80" s="566">
        <f t="shared" si="47"/>
        <v>0</v>
      </c>
      <c r="U80" s="566">
        <f t="shared" si="47"/>
        <v>0</v>
      </c>
      <c r="V80" s="566">
        <f t="shared" si="47"/>
        <v>0</v>
      </c>
      <c r="W80" s="566">
        <f t="shared" si="47"/>
        <v>0</v>
      </c>
      <c r="X80" s="566">
        <f t="shared" si="47"/>
        <v>0</v>
      </c>
      <c r="Y80" s="566">
        <f t="shared" si="47"/>
        <v>0</v>
      </c>
      <c r="Z80" s="566">
        <f t="shared" si="47"/>
        <v>0</v>
      </c>
      <c r="AA80" s="566">
        <f t="shared" si="47"/>
        <v>0</v>
      </c>
      <c r="AB80" s="566">
        <f t="shared" si="47"/>
        <v>0</v>
      </c>
      <c r="AC80" s="566">
        <f t="shared" si="47"/>
        <v>0</v>
      </c>
      <c r="AD80" s="566">
        <f t="shared" si="47"/>
        <v>0</v>
      </c>
      <c r="AE80" s="566">
        <f t="shared" si="47"/>
        <v>0</v>
      </c>
      <c r="AF80" s="566">
        <f t="shared" si="47"/>
        <v>0</v>
      </c>
      <c r="AG80" s="566">
        <f t="shared" si="47"/>
        <v>0</v>
      </c>
      <c r="AH80" s="566">
        <f t="shared" si="47"/>
        <v>0</v>
      </c>
      <c r="AI80" s="566">
        <f t="shared" si="47"/>
        <v>24.274250134003282</v>
      </c>
      <c r="AJ80" s="566">
        <f t="shared" si="47"/>
        <v>24.274250134003282</v>
      </c>
      <c r="AK80" s="566">
        <f t="shared" si="47"/>
        <v>24.274250134003282</v>
      </c>
      <c r="AL80" s="566">
        <f t="shared" si="47"/>
        <v>24.274250134003282</v>
      </c>
      <c r="AM80" s="566">
        <f t="shared" si="47"/>
        <v>24.274250134003282</v>
      </c>
      <c r="AN80" s="566">
        <f t="shared" si="47"/>
        <v>24.274250134003282</v>
      </c>
      <c r="AO80" s="566">
        <f t="shared" si="47"/>
        <v>24.274250134003282</v>
      </c>
      <c r="AP80" s="566">
        <f t="shared" si="47"/>
        <v>24.274250134003282</v>
      </c>
      <c r="AQ80" s="567">
        <f t="shared" si="47"/>
        <v>24.274250134003282</v>
      </c>
      <c r="AR80" s="406"/>
      <c r="AS80" s="406"/>
      <c r="AT80" s="406"/>
      <c r="AU80" s="406"/>
      <c r="AV80" s="406"/>
      <c r="AW80" s="406"/>
      <c r="AX80" s="406"/>
      <c r="AY80" s="406"/>
      <c r="AZ80" s="406"/>
      <c r="BA80" s="406"/>
      <c r="BB80" s="406"/>
      <c r="BC80" s="406"/>
      <c r="BD80" s="406"/>
      <c r="BE80" s="406"/>
      <c r="BF80" s="406"/>
      <c r="BG80" s="406"/>
      <c r="BH80" s="406"/>
      <c r="BI80" s="406"/>
      <c r="BJ80" s="406"/>
      <c r="BK80" s="406"/>
      <c r="BL80" s="406"/>
      <c r="BM80" s="406"/>
      <c r="BN80" s="406"/>
      <c r="BO80" s="406"/>
      <c r="BP80" s="406"/>
      <c r="BQ80" s="406"/>
      <c r="BR80" s="406"/>
      <c r="BS80" s="406"/>
      <c r="BT80" s="406"/>
      <c r="BU80" s="406"/>
      <c r="BV80" s="406"/>
      <c r="BW80" s="406"/>
      <c r="BX80" s="406"/>
      <c r="BY80" s="406"/>
      <c r="BZ80" s="406"/>
      <c r="CA80" s="406"/>
      <c r="CB80" s="406"/>
      <c r="CC80" s="406"/>
      <c r="CD80" s="406"/>
      <c r="CE80" s="406"/>
      <c r="CF80" s="406"/>
      <c r="CG80" s="406"/>
      <c r="CH80" s="406"/>
      <c r="CI80" s="406"/>
      <c r="CJ80" s="406"/>
      <c r="CK80" s="406"/>
      <c r="CL80" s="406"/>
      <c r="CM80" s="406"/>
      <c r="CN80" s="406"/>
      <c r="CO80" s="406"/>
      <c r="CP80" s="406"/>
      <c r="CQ80" s="406"/>
      <c r="CR80" s="406"/>
      <c r="CS80" s="406"/>
      <c r="CT80" s="406"/>
      <c r="CU80" s="406"/>
      <c r="CV80" s="406"/>
      <c r="CW80" s="406"/>
      <c r="CX80" s="406"/>
      <c r="CY80" s="406"/>
      <c r="CZ80" s="406"/>
      <c r="DA80" s="406"/>
      <c r="DB80" s="406"/>
      <c r="DC80" s="406"/>
      <c r="DD80" s="406"/>
      <c r="DE80" s="406"/>
      <c r="DF80" s="406"/>
      <c r="DG80" s="406"/>
      <c r="DH80" s="406"/>
      <c r="DI80" s="406"/>
      <c r="DJ80" s="406"/>
      <c r="DK80" s="406"/>
      <c r="DL80" s="406"/>
      <c r="DM80" s="406"/>
      <c r="DN80" s="406"/>
      <c r="DO80" s="406"/>
      <c r="DP80" s="406"/>
      <c r="DQ80" s="406"/>
      <c r="DR80" s="406"/>
      <c r="DS80" s="406"/>
      <c r="DT80" s="406"/>
      <c r="DU80" s="406"/>
      <c r="DV80" s="406"/>
      <c r="DW80" s="406"/>
      <c r="DX80" s="406"/>
      <c r="DY80" s="406"/>
      <c r="DZ80" s="406"/>
      <c r="EA80" s="406"/>
      <c r="EB80" s="406"/>
      <c r="EC80" s="406"/>
      <c r="ED80" s="406"/>
      <c r="EE80" s="406"/>
      <c r="EF80" s="406"/>
      <c r="EG80" s="406"/>
      <c r="EH80" s="406"/>
      <c r="EI80" s="406"/>
      <c r="EJ80" s="406"/>
      <c r="EK80" s="406"/>
      <c r="EL80" s="406"/>
      <c r="EM80" s="406"/>
      <c r="EN80" s="406"/>
      <c r="EO80" s="406"/>
      <c r="EP80" s="406"/>
      <c r="EQ80" s="406"/>
      <c r="ER80" s="406"/>
      <c r="ES80" s="406"/>
      <c r="ET80" s="406"/>
      <c r="EU80" s="406"/>
      <c r="EV80" s="406"/>
      <c r="EW80" s="406"/>
      <c r="EX80" s="406"/>
      <c r="EY80" s="406"/>
      <c r="EZ80" s="406"/>
      <c r="FA80" s="406"/>
      <c r="FB80" s="406"/>
      <c r="FC80" s="406"/>
      <c r="FD80" s="406"/>
      <c r="FE80" s="406"/>
      <c r="FF80" s="406"/>
      <c r="FG80" s="406"/>
      <c r="FH80" s="406"/>
      <c r="FI80" s="406"/>
      <c r="FJ80" s="406"/>
      <c r="FK80" s="406"/>
      <c r="FL80" s="406"/>
      <c r="FM80" s="406"/>
      <c r="FN80" s="406"/>
      <c r="FO80" s="406"/>
      <c r="FP80" s="406"/>
      <c r="FQ80" s="406"/>
      <c r="FR80" s="406"/>
      <c r="FS80" s="406"/>
      <c r="FT80" s="406"/>
      <c r="FU80" s="406"/>
      <c r="FV80" s="406"/>
      <c r="FW80" s="406"/>
      <c r="FX80" s="406"/>
      <c r="FY80" s="406"/>
      <c r="FZ80" s="406"/>
      <c r="GA80" s="406"/>
      <c r="GB80" s="406"/>
      <c r="GC80" s="406"/>
      <c r="GD80" s="406"/>
      <c r="GE80" s="406"/>
      <c r="GF80" s="406"/>
      <c r="GG80" s="406"/>
      <c r="GH80" s="406"/>
      <c r="GI80" s="406"/>
      <c r="GJ80" s="406"/>
      <c r="GK80" s="406"/>
      <c r="GL80" s="406"/>
    </row>
    <row r="81" spans="1:194" ht="20.100000000000001" customHeight="1">
      <c r="A81" s="92"/>
      <c r="B81" s="79"/>
      <c r="C81" s="79"/>
      <c r="D81" s="79"/>
      <c r="E81" s="79"/>
      <c r="F81" s="79"/>
      <c r="G81" s="79"/>
      <c r="H81" s="93"/>
      <c r="I81" s="406"/>
      <c r="J81" s="406"/>
      <c r="K81" s="406"/>
      <c r="L81" s="406">
        <f t="shared" si="46"/>
        <v>14</v>
      </c>
      <c r="M81" s="532" t="str">
        <f t="shared" si="43"/>
        <v>from_settlements_to_grassland</v>
      </c>
      <c r="N81" s="530"/>
      <c r="O81" s="566">
        <f t="shared" si="45"/>
        <v>0</v>
      </c>
      <c r="P81" s="566">
        <f t="shared" si="47"/>
        <v>0</v>
      </c>
      <c r="Q81" s="566">
        <f t="shared" si="47"/>
        <v>0</v>
      </c>
      <c r="R81" s="566">
        <f t="shared" si="47"/>
        <v>0</v>
      </c>
      <c r="S81" s="566">
        <f t="shared" si="47"/>
        <v>0</v>
      </c>
      <c r="T81" s="566">
        <f t="shared" si="47"/>
        <v>0</v>
      </c>
      <c r="U81" s="566">
        <f t="shared" si="47"/>
        <v>0</v>
      </c>
      <c r="V81" s="566">
        <f t="shared" si="47"/>
        <v>0</v>
      </c>
      <c r="W81" s="566">
        <f t="shared" si="47"/>
        <v>0</v>
      </c>
      <c r="X81" s="566">
        <f t="shared" si="47"/>
        <v>0</v>
      </c>
      <c r="Y81" s="566">
        <f t="shared" si="47"/>
        <v>0</v>
      </c>
      <c r="Z81" s="566">
        <f t="shared" si="47"/>
        <v>0</v>
      </c>
      <c r="AA81" s="566">
        <f t="shared" si="47"/>
        <v>0</v>
      </c>
      <c r="AB81" s="566">
        <f t="shared" si="47"/>
        <v>0</v>
      </c>
      <c r="AC81" s="566">
        <f t="shared" si="47"/>
        <v>0</v>
      </c>
      <c r="AD81" s="566">
        <f t="shared" si="47"/>
        <v>0</v>
      </c>
      <c r="AE81" s="566">
        <f t="shared" si="47"/>
        <v>0</v>
      </c>
      <c r="AF81" s="566">
        <f t="shared" si="47"/>
        <v>0</v>
      </c>
      <c r="AG81" s="566">
        <f t="shared" si="47"/>
        <v>0</v>
      </c>
      <c r="AH81" s="566">
        <f t="shared" si="47"/>
        <v>0</v>
      </c>
      <c r="AI81" s="566">
        <f t="shared" si="47"/>
        <v>24.274250134003282</v>
      </c>
      <c r="AJ81" s="566">
        <f t="shared" si="47"/>
        <v>24.274250134003282</v>
      </c>
      <c r="AK81" s="566">
        <f t="shared" si="47"/>
        <v>24.274250134003282</v>
      </c>
      <c r="AL81" s="566">
        <f t="shared" si="47"/>
        <v>24.274250134003282</v>
      </c>
      <c r="AM81" s="566">
        <f t="shared" si="47"/>
        <v>24.274250134003282</v>
      </c>
      <c r="AN81" s="566">
        <f t="shared" si="47"/>
        <v>24.274250134003282</v>
      </c>
      <c r="AO81" s="566">
        <f t="shared" si="47"/>
        <v>24.274250134003282</v>
      </c>
      <c r="AP81" s="566">
        <f t="shared" si="47"/>
        <v>24.274250134003282</v>
      </c>
      <c r="AQ81" s="567">
        <f t="shared" si="47"/>
        <v>24.274250134003282</v>
      </c>
      <c r="AR81" s="406"/>
      <c r="AS81" s="406"/>
      <c r="AT81" s="406"/>
      <c r="AU81" s="406"/>
      <c r="AV81" s="406"/>
      <c r="AW81" s="406"/>
      <c r="AX81" s="406"/>
      <c r="AY81" s="406"/>
      <c r="AZ81" s="406"/>
      <c r="BA81" s="406"/>
      <c r="BB81" s="406"/>
      <c r="BC81" s="406"/>
      <c r="BD81" s="406"/>
      <c r="BE81" s="406"/>
      <c r="BF81" s="406"/>
      <c r="BG81" s="406"/>
      <c r="BH81" s="406"/>
      <c r="BI81" s="406"/>
      <c r="BJ81" s="406"/>
      <c r="BK81" s="406"/>
      <c r="BL81" s="406"/>
      <c r="BM81" s="406"/>
      <c r="BN81" s="406"/>
      <c r="BO81" s="406"/>
      <c r="BP81" s="406"/>
      <c r="BQ81" s="406"/>
      <c r="BR81" s="406"/>
      <c r="BS81" s="406"/>
      <c r="BT81" s="406"/>
      <c r="BU81" s="406"/>
      <c r="BV81" s="406"/>
      <c r="BW81" s="406"/>
      <c r="BX81" s="406"/>
      <c r="BY81" s="406"/>
      <c r="BZ81" s="406"/>
      <c r="CA81" s="406"/>
      <c r="CB81" s="406"/>
      <c r="CC81" s="406"/>
      <c r="CD81" s="406"/>
      <c r="CE81" s="406"/>
      <c r="CF81" s="406"/>
      <c r="CG81" s="406"/>
      <c r="CH81" s="406"/>
      <c r="CI81" s="406"/>
      <c r="CJ81" s="406"/>
      <c r="CK81" s="406"/>
      <c r="CL81" s="406"/>
      <c r="CM81" s="406"/>
      <c r="CN81" s="406"/>
      <c r="CO81" s="406"/>
      <c r="CP81" s="406"/>
      <c r="CQ81" s="406"/>
      <c r="CR81" s="406"/>
      <c r="CS81" s="406"/>
      <c r="CT81" s="406"/>
      <c r="CU81" s="406"/>
      <c r="CV81" s="406"/>
      <c r="CW81" s="406"/>
      <c r="CX81" s="406"/>
      <c r="CY81" s="406"/>
      <c r="CZ81" s="406"/>
      <c r="DA81" s="406"/>
      <c r="DB81" s="406"/>
      <c r="DC81" s="406"/>
      <c r="DD81" s="406"/>
      <c r="DE81" s="406"/>
      <c r="DF81" s="406"/>
      <c r="DG81" s="406"/>
      <c r="DH81" s="406"/>
      <c r="DI81" s="406"/>
      <c r="DJ81" s="406"/>
      <c r="DK81" s="406"/>
      <c r="DL81" s="406"/>
      <c r="DM81" s="406"/>
      <c r="DN81" s="406"/>
      <c r="DO81" s="406"/>
      <c r="DP81" s="406"/>
      <c r="DQ81" s="406"/>
      <c r="DR81" s="406"/>
      <c r="DS81" s="406"/>
      <c r="DT81" s="406"/>
      <c r="DU81" s="406"/>
      <c r="DV81" s="406"/>
      <c r="DW81" s="406"/>
      <c r="DX81" s="406"/>
      <c r="DY81" s="406"/>
      <c r="DZ81" s="406"/>
      <c r="EA81" s="406"/>
      <c r="EB81" s="406"/>
      <c r="EC81" s="406"/>
      <c r="ED81" s="406"/>
      <c r="EE81" s="406"/>
      <c r="EF81" s="406"/>
      <c r="EG81" s="406"/>
      <c r="EH81" s="406"/>
      <c r="EI81" s="406"/>
      <c r="EJ81" s="406"/>
      <c r="EK81" s="406"/>
      <c r="EL81" s="406"/>
      <c r="EM81" s="406"/>
      <c r="EN81" s="406"/>
      <c r="EO81" s="406"/>
      <c r="EP81" s="406"/>
      <c r="EQ81" s="406"/>
      <c r="ER81" s="406"/>
      <c r="ES81" s="406"/>
      <c r="ET81" s="406"/>
      <c r="EU81" s="406"/>
      <c r="EV81" s="406"/>
      <c r="EW81" s="406"/>
      <c r="EX81" s="406"/>
      <c r="EY81" s="406"/>
      <c r="EZ81" s="406"/>
      <c r="FA81" s="406"/>
      <c r="FB81" s="406"/>
      <c r="FC81" s="406"/>
      <c r="FD81" s="406"/>
      <c r="FE81" s="406"/>
      <c r="FF81" s="406"/>
      <c r="FG81" s="406"/>
      <c r="FH81" s="406"/>
      <c r="FI81" s="406"/>
      <c r="FJ81" s="406"/>
      <c r="FK81" s="406"/>
      <c r="FL81" s="406"/>
      <c r="FM81" s="406"/>
      <c r="FN81" s="406"/>
      <c r="FO81" s="406"/>
      <c r="FP81" s="406"/>
      <c r="FQ81" s="406"/>
      <c r="FR81" s="406"/>
      <c r="FS81" s="406"/>
      <c r="FT81" s="406"/>
      <c r="FU81" s="406"/>
      <c r="FV81" s="406"/>
      <c r="FW81" s="406"/>
      <c r="FX81" s="406"/>
      <c r="FY81" s="406"/>
      <c r="FZ81" s="406"/>
      <c r="GA81" s="406"/>
      <c r="GB81" s="406"/>
      <c r="GC81" s="406"/>
      <c r="GD81" s="406"/>
      <c r="GE81" s="406"/>
      <c r="GF81" s="406"/>
      <c r="GG81" s="406"/>
      <c r="GH81" s="406"/>
      <c r="GI81" s="406"/>
      <c r="GJ81" s="406"/>
      <c r="GK81" s="406"/>
      <c r="GL81" s="406"/>
    </row>
    <row r="82" spans="1:194" ht="20.100000000000001" customHeight="1" thickBot="1">
      <c r="A82" s="92"/>
      <c r="B82" s="79"/>
      <c r="C82" s="79"/>
      <c r="D82" s="79"/>
      <c r="E82" s="79"/>
      <c r="F82" s="79"/>
      <c r="G82" s="79"/>
      <c r="H82" s="93"/>
      <c r="I82" s="406"/>
      <c r="J82" s="406"/>
      <c r="K82" s="406"/>
      <c r="L82" s="406">
        <f t="shared" si="46"/>
        <v>15</v>
      </c>
      <c r="M82" s="533" t="str">
        <f t="shared" si="43"/>
        <v>from_other_land_to_grassland</v>
      </c>
      <c r="N82" s="534"/>
      <c r="O82" s="568">
        <f t="shared" si="45"/>
        <v>0</v>
      </c>
      <c r="P82" s="568">
        <f t="shared" si="47"/>
        <v>0</v>
      </c>
      <c r="Q82" s="568">
        <f t="shared" si="47"/>
        <v>0</v>
      </c>
      <c r="R82" s="568">
        <f t="shared" si="47"/>
        <v>0</v>
      </c>
      <c r="S82" s="568">
        <f t="shared" si="47"/>
        <v>0</v>
      </c>
      <c r="T82" s="568">
        <f t="shared" si="47"/>
        <v>0</v>
      </c>
      <c r="U82" s="568">
        <f t="shared" si="47"/>
        <v>0</v>
      </c>
      <c r="V82" s="568">
        <f t="shared" si="47"/>
        <v>0</v>
      </c>
      <c r="W82" s="568">
        <f t="shared" si="47"/>
        <v>0</v>
      </c>
      <c r="X82" s="568">
        <f t="shared" si="47"/>
        <v>0</v>
      </c>
      <c r="Y82" s="568">
        <f t="shared" si="47"/>
        <v>0</v>
      </c>
      <c r="Z82" s="568">
        <f t="shared" si="47"/>
        <v>0</v>
      </c>
      <c r="AA82" s="568">
        <f t="shared" si="47"/>
        <v>0</v>
      </c>
      <c r="AB82" s="568">
        <f t="shared" si="47"/>
        <v>0</v>
      </c>
      <c r="AC82" s="568">
        <f t="shared" si="47"/>
        <v>0</v>
      </c>
      <c r="AD82" s="568">
        <f t="shared" si="47"/>
        <v>0</v>
      </c>
      <c r="AE82" s="568">
        <f t="shared" si="47"/>
        <v>0</v>
      </c>
      <c r="AF82" s="568">
        <f t="shared" si="47"/>
        <v>0</v>
      </c>
      <c r="AG82" s="568">
        <f t="shared" si="47"/>
        <v>0</v>
      </c>
      <c r="AH82" s="568">
        <f t="shared" si="47"/>
        <v>0</v>
      </c>
      <c r="AI82" s="568">
        <f t="shared" si="47"/>
        <v>0</v>
      </c>
      <c r="AJ82" s="568">
        <f t="shared" si="47"/>
        <v>0</v>
      </c>
      <c r="AK82" s="568">
        <f t="shared" si="47"/>
        <v>0</v>
      </c>
      <c r="AL82" s="568">
        <f t="shared" si="47"/>
        <v>0</v>
      </c>
      <c r="AM82" s="568">
        <f t="shared" si="47"/>
        <v>0</v>
      </c>
      <c r="AN82" s="568">
        <f t="shared" si="47"/>
        <v>0</v>
      </c>
      <c r="AO82" s="568">
        <f t="shared" si="47"/>
        <v>0</v>
      </c>
      <c r="AP82" s="568">
        <f t="shared" si="47"/>
        <v>0</v>
      </c>
      <c r="AQ82" s="569">
        <f t="shared" si="47"/>
        <v>0</v>
      </c>
      <c r="AR82" s="406"/>
      <c r="AS82" s="406"/>
      <c r="AT82" s="406"/>
      <c r="AU82" s="406"/>
      <c r="AV82" s="406"/>
      <c r="AW82" s="406"/>
      <c r="AX82" s="406"/>
      <c r="AY82" s="406"/>
      <c r="AZ82" s="406"/>
      <c r="BA82" s="406"/>
      <c r="BB82" s="406"/>
      <c r="BC82" s="406"/>
      <c r="BD82" s="406"/>
      <c r="BE82" s="406"/>
      <c r="BF82" s="406"/>
      <c r="BG82" s="406"/>
      <c r="BH82" s="406"/>
      <c r="BI82" s="406"/>
      <c r="BJ82" s="406"/>
      <c r="BK82" s="406"/>
      <c r="BL82" s="406"/>
      <c r="BM82" s="406"/>
      <c r="BN82" s="406"/>
      <c r="BO82" s="406"/>
      <c r="BP82" s="406"/>
      <c r="BQ82" s="406"/>
      <c r="BR82" s="406"/>
      <c r="BS82" s="406"/>
      <c r="BT82" s="406"/>
      <c r="BU82" s="406"/>
      <c r="BV82" s="406"/>
      <c r="BW82" s="406"/>
      <c r="BX82" s="406"/>
      <c r="BY82" s="406"/>
      <c r="BZ82" s="406"/>
      <c r="CA82" s="406"/>
      <c r="CB82" s="406"/>
      <c r="CC82" s="406"/>
      <c r="CD82" s="406"/>
      <c r="CE82" s="406"/>
      <c r="CF82" s="406"/>
      <c r="CG82" s="406"/>
      <c r="CH82" s="406"/>
      <c r="CI82" s="406"/>
      <c r="CJ82" s="406"/>
      <c r="CK82" s="406"/>
      <c r="CL82" s="406"/>
      <c r="CM82" s="406"/>
      <c r="CN82" s="406"/>
      <c r="CO82" s="406"/>
      <c r="CP82" s="406"/>
      <c r="CQ82" s="406"/>
      <c r="CR82" s="406"/>
      <c r="CS82" s="406"/>
      <c r="CT82" s="406"/>
      <c r="CU82" s="406"/>
      <c r="CV82" s="406"/>
      <c r="CW82" s="406"/>
      <c r="CX82" s="406"/>
      <c r="CY82" s="406"/>
      <c r="CZ82" s="406"/>
      <c r="DA82" s="406"/>
      <c r="DB82" s="406"/>
      <c r="DC82" s="406"/>
      <c r="DD82" s="406"/>
      <c r="DE82" s="406"/>
      <c r="DF82" s="406"/>
      <c r="DG82" s="406"/>
      <c r="DH82" s="406"/>
      <c r="DI82" s="406"/>
      <c r="DJ82" s="406"/>
      <c r="DK82" s="406"/>
      <c r="DL82" s="406"/>
      <c r="DM82" s="406"/>
      <c r="DN82" s="406"/>
      <c r="DO82" s="406"/>
      <c r="DP82" s="406"/>
      <c r="DQ82" s="406"/>
      <c r="DR82" s="406"/>
      <c r="DS82" s="406"/>
      <c r="DT82" s="406"/>
      <c r="DU82" s="406"/>
      <c r="DV82" s="406"/>
      <c r="DW82" s="406"/>
      <c r="DX82" s="406"/>
      <c r="DY82" s="406"/>
      <c r="DZ82" s="406"/>
      <c r="EA82" s="406"/>
      <c r="EB82" s="406"/>
      <c r="EC82" s="406"/>
      <c r="ED82" s="406"/>
      <c r="EE82" s="406"/>
      <c r="EF82" s="406"/>
      <c r="EG82" s="406"/>
      <c r="EH82" s="406"/>
      <c r="EI82" s="406"/>
      <c r="EJ82" s="406"/>
      <c r="EK82" s="406"/>
      <c r="EL82" s="406"/>
      <c r="EM82" s="406"/>
      <c r="EN82" s="406"/>
      <c r="EO82" s="406"/>
      <c r="EP82" s="406"/>
      <c r="EQ82" s="406"/>
      <c r="ER82" s="406"/>
      <c r="ES82" s="406"/>
      <c r="ET82" s="406"/>
      <c r="EU82" s="406"/>
      <c r="EV82" s="406"/>
      <c r="EW82" s="406"/>
      <c r="EX82" s="406"/>
      <c r="EY82" s="406"/>
      <c r="EZ82" s="406"/>
      <c r="FA82" s="406"/>
      <c r="FB82" s="406"/>
      <c r="FC82" s="406"/>
      <c r="FD82" s="406"/>
      <c r="FE82" s="406"/>
      <c r="FF82" s="406"/>
      <c r="FG82" s="406"/>
      <c r="FH82" s="406"/>
      <c r="FI82" s="406"/>
      <c r="FJ82" s="406"/>
      <c r="FK82" s="406"/>
      <c r="FL82" s="406"/>
      <c r="FM82" s="406"/>
      <c r="FN82" s="406"/>
      <c r="FO82" s="406"/>
      <c r="FP82" s="406"/>
      <c r="FQ82" s="406"/>
      <c r="FR82" s="406"/>
      <c r="FS82" s="406"/>
      <c r="FT82" s="406"/>
      <c r="FU82" s="406"/>
      <c r="FV82" s="406"/>
      <c r="FW82" s="406"/>
      <c r="FX82" s="406"/>
      <c r="FY82" s="406"/>
      <c r="FZ82" s="406"/>
      <c r="GA82" s="406"/>
      <c r="GB82" s="406"/>
      <c r="GC82" s="406"/>
      <c r="GD82" s="406"/>
      <c r="GE82" s="406"/>
      <c r="GF82" s="406"/>
      <c r="GG82" s="406"/>
      <c r="GH82" s="406"/>
      <c r="GI82" s="406"/>
      <c r="GJ82" s="406"/>
      <c r="GK82" s="406"/>
      <c r="GL82" s="406"/>
    </row>
    <row r="83" spans="1:194" ht="20.100000000000001" customHeight="1">
      <c r="A83" s="92"/>
      <c r="B83" s="79"/>
      <c r="C83" s="79"/>
      <c r="D83" s="79"/>
      <c r="E83" s="79"/>
      <c r="F83" s="79"/>
      <c r="G83" s="79"/>
      <c r="H83" s="93"/>
      <c r="I83" s="406"/>
      <c r="J83" s="406"/>
      <c r="K83" s="406"/>
      <c r="L83" s="406">
        <f t="shared" si="46"/>
        <v>16</v>
      </c>
      <c r="M83" s="531" t="str">
        <f t="shared" si="43"/>
        <v>land_converted_to_peat_extraction_(combined)</v>
      </c>
      <c r="N83" s="575"/>
      <c r="O83" s="576">
        <f t="shared" si="45"/>
        <v>15.806568321513016</v>
      </c>
      <c r="P83" s="576">
        <f t="shared" si="47"/>
        <v>15.806568321513016</v>
      </c>
      <c r="Q83" s="576">
        <f t="shared" si="47"/>
        <v>15.806568321513016</v>
      </c>
      <c r="R83" s="576">
        <f t="shared" si="47"/>
        <v>15.806568321513016</v>
      </c>
      <c r="S83" s="576">
        <f t="shared" si="47"/>
        <v>15.806568321513016</v>
      </c>
      <c r="T83" s="576">
        <f t="shared" si="47"/>
        <v>10.521834177239661</v>
      </c>
      <c r="U83" s="576">
        <f t="shared" si="47"/>
        <v>10.521834177239661</v>
      </c>
      <c r="V83" s="576">
        <f t="shared" si="47"/>
        <v>10.521834177239661</v>
      </c>
      <c r="W83" s="576">
        <f t="shared" si="47"/>
        <v>10.521834177239661</v>
      </c>
      <c r="X83" s="576">
        <f t="shared" si="47"/>
        <v>10.521834177239661</v>
      </c>
      <c r="Y83" s="576">
        <f t="shared" si="47"/>
        <v>10.521834177239661</v>
      </c>
      <c r="Z83" s="576">
        <f t="shared" si="47"/>
        <v>10.521834177239661</v>
      </c>
      <c r="AA83" s="576">
        <f t="shared" si="47"/>
        <v>10.521834177239661</v>
      </c>
      <c r="AB83" s="576">
        <f t="shared" si="47"/>
        <v>10.521834177239661</v>
      </c>
      <c r="AC83" s="576">
        <f t="shared" si="47"/>
        <v>10.521834177239661</v>
      </c>
      <c r="AD83" s="576">
        <f t="shared" si="47"/>
        <v>10.521834177239661</v>
      </c>
      <c r="AE83" s="576">
        <f t="shared" si="47"/>
        <v>10.521834177239661</v>
      </c>
      <c r="AF83" s="576">
        <f t="shared" si="47"/>
        <v>10.521834177239661</v>
      </c>
      <c r="AG83" s="576">
        <f t="shared" si="47"/>
        <v>10.521834177239661</v>
      </c>
      <c r="AH83" s="576">
        <f t="shared" si="47"/>
        <v>10.521834177239661</v>
      </c>
      <c r="AI83" s="576">
        <f t="shared" si="47"/>
        <v>10.521834177239661</v>
      </c>
      <c r="AJ83" s="576">
        <f t="shared" si="47"/>
        <v>10.521834177239661</v>
      </c>
      <c r="AK83" s="576">
        <f t="shared" si="47"/>
        <v>10.521834177239661</v>
      </c>
      <c r="AL83" s="576">
        <f t="shared" si="47"/>
        <v>10.521834177239661</v>
      </c>
      <c r="AM83" s="576">
        <f t="shared" si="47"/>
        <v>10.521834177239661</v>
      </c>
      <c r="AN83" s="576">
        <f t="shared" si="47"/>
        <v>10.521834177239661</v>
      </c>
      <c r="AO83" s="576">
        <f t="shared" si="47"/>
        <v>10.521834177239661</v>
      </c>
      <c r="AP83" s="576">
        <f t="shared" si="47"/>
        <v>10.521834177239661</v>
      </c>
      <c r="AQ83" s="577">
        <f t="shared" si="47"/>
        <v>10.521834177239661</v>
      </c>
      <c r="AR83" s="406"/>
      <c r="AS83" s="406"/>
      <c r="AT83" s="406"/>
      <c r="AU83" s="406"/>
      <c r="AV83" s="406"/>
      <c r="AW83" s="406"/>
      <c r="AX83" s="406"/>
      <c r="AY83" s="406"/>
      <c r="AZ83" s="406"/>
      <c r="BA83" s="406"/>
      <c r="BB83" s="406"/>
      <c r="BC83" s="406"/>
      <c r="BD83" s="406"/>
      <c r="BE83" s="406"/>
      <c r="BF83" s="406"/>
      <c r="BG83" s="406"/>
      <c r="BH83" s="406"/>
      <c r="BI83" s="406"/>
      <c r="BJ83" s="406"/>
      <c r="BK83" s="406"/>
      <c r="BL83" s="406"/>
      <c r="BM83" s="406"/>
      <c r="BN83" s="406"/>
      <c r="BO83" s="406"/>
      <c r="BP83" s="406"/>
      <c r="BQ83" s="406"/>
      <c r="BR83" s="406"/>
      <c r="BS83" s="406"/>
      <c r="BT83" s="406"/>
      <c r="BU83" s="406"/>
      <c r="BV83" s="406"/>
      <c r="BW83" s="406"/>
      <c r="BX83" s="406"/>
      <c r="BY83" s="406"/>
      <c r="BZ83" s="406"/>
      <c r="CA83" s="406"/>
      <c r="CB83" s="406"/>
      <c r="CC83" s="406"/>
      <c r="CD83" s="406"/>
      <c r="CE83" s="406"/>
      <c r="CF83" s="406"/>
      <c r="CG83" s="406"/>
      <c r="CH83" s="406"/>
      <c r="CI83" s="406"/>
      <c r="CJ83" s="406"/>
      <c r="CK83" s="406"/>
      <c r="CL83" s="406"/>
      <c r="CM83" s="406"/>
      <c r="CN83" s="406"/>
      <c r="CO83" s="406"/>
      <c r="CP83" s="406"/>
      <c r="CQ83" s="406"/>
      <c r="CR83" s="406"/>
      <c r="CS83" s="406"/>
      <c r="CT83" s="406"/>
      <c r="CU83" s="406"/>
      <c r="CV83" s="406"/>
      <c r="CW83" s="406"/>
      <c r="CX83" s="406"/>
      <c r="CY83" s="406"/>
      <c r="CZ83" s="406"/>
      <c r="DA83" s="406"/>
      <c r="DB83" s="406"/>
      <c r="DC83" s="406"/>
      <c r="DD83" s="406"/>
      <c r="DE83" s="406"/>
      <c r="DF83" s="406"/>
      <c r="DG83" s="406"/>
      <c r="DH83" s="406"/>
      <c r="DI83" s="406"/>
      <c r="DJ83" s="406"/>
      <c r="DK83" s="406"/>
      <c r="DL83" s="406"/>
      <c r="DM83" s="406"/>
      <c r="DN83" s="406"/>
      <c r="DO83" s="406"/>
      <c r="DP83" s="406"/>
      <c r="DQ83" s="406"/>
      <c r="DR83" s="406"/>
      <c r="DS83" s="406"/>
      <c r="DT83" s="406"/>
      <c r="DU83" s="406"/>
      <c r="DV83" s="406"/>
      <c r="DW83" s="406"/>
      <c r="DX83" s="406"/>
      <c r="DY83" s="406"/>
      <c r="DZ83" s="406"/>
      <c r="EA83" s="406"/>
      <c r="EB83" s="406"/>
      <c r="EC83" s="406"/>
      <c r="ED83" s="406"/>
      <c r="EE83" s="406"/>
      <c r="EF83" s="406"/>
      <c r="EG83" s="406"/>
      <c r="EH83" s="406"/>
      <c r="EI83" s="406"/>
      <c r="EJ83" s="406"/>
      <c r="EK83" s="406"/>
      <c r="EL83" s="406"/>
      <c r="EM83" s="406"/>
      <c r="EN83" s="406"/>
      <c r="EO83" s="406"/>
      <c r="EP83" s="406"/>
      <c r="EQ83" s="406"/>
      <c r="ER83" s="406"/>
      <c r="ES83" s="406"/>
      <c r="ET83" s="406"/>
      <c r="EU83" s="406"/>
      <c r="EV83" s="406"/>
      <c r="EW83" s="406"/>
      <c r="EX83" s="406"/>
      <c r="EY83" s="406"/>
      <c r="EZ83" s="406"/>
      <c r="FA83" s="406"/>
      <c r="FB83" s="406"/>
      <c r="FC83" s="406"/>
      <c r="FD83" s="406"/>
      <c r="FE83" s="406"/>
      <c r="FF83" s="406"/>
      <c r="FG83" s="406"/>
      <c r="FH83" s="406"/>
      <c r="FI83" s="406"/>
      <c r="FJ83" s="406"/>
      <c r="FK83" s="406"/>
      <c r="FL83" s="406"/>
      <c r="FM83" s="406"/>
      <c r="FN83" s="406"/>
      <c r="FO83" s="406"/>
      <c r="FP83" s="406"/>
      <c r="FQ83" s="406"/>
      <c r="FR83" s="406"/>
      <c r="FS83" s="406"/>
      <c r="FT83" s="406"/>
      <c r="FU83" s="406"/>
      <c r="FV83" s="406"/>
      <c r="FW83" s="406"/>
      <c r="FX83" s="406"/>
      <c r="FY83" s="406"/>
      <c r="FZ83" s="406"/>
      <c r="GA83" s="406"/>
      <c r="GB83" s="406"/>
      <c r="GC83" s="406"/>
      <c r="GD83" s="406"/>
      <c r="GE83" s="406"/>
      <c r="GF83" s="406"/>
      <c r="GG83" s="406"/>
      <c r="GH83" s="406"/>
      <c r="GI83" s="406"/>
      <c r="GJ83" s="406"/>
      <c r="GK83" s="406"/>
      <c r="GL83" s="406"/>
    </row>
    <row r="84" spans="1:194" ht="20.100000000000001" customHeight="1">
      <c r="A84" s="92"/>
      <c r="B84" s="79"/>
      <c r="C84" s="79"/>
      <c r="D84" s="79"/>
      <c r="E84" s="79"/>
      <c r="F84" s="79"/>
      <c r="G84" s="79"/>
      <c r="H84" s="93"/>
      <c r="I84" s="406"/>
      <c r="J84" s="406"/>
      <c r="K84" s="406"/>
      <c r="L84" s="406">
        <f t="shared" si="46"/>
        <v>17</v>
      </c>
      <c r="M84" s="532" t="str">
        <f t="shared" si="43"/>
        <v>peatland_restoration_(rewetting)</v>
      </c>
      <c r="N84" s="530"/>
      <c r="O84" s="566">
        <f t="shared" si="45"/>
        <v>-1.5766666666666667</v>
      </c>
      <c r="P84" s="566">
        <f t="shared" si="47"/>
        <v>-1.5766666666666667</v>
      </c>
      <c r="Q84" s="566">
        <f t="shared" si="47"/>
        <v>-1.5766666666666667</v>
      </c>
      <c r="R84" s="566">
        <f t="shared" si="47"/>
        <v>-1.5766666666666667</v>
      </c>
      <c r="S84" s="566">
        <f t="shared" si="47"/>
        <v>-1.5766666666666667</v>
      </c>
      <c r="T84" s="566">
        <f t="shared" si="47"/>
        <v>-1.5766666666666667</v>
      </c>
      <c r="U84" s="566">
        <f t="shared" si="47"/>
        <v>-1.5766666666666667</v>
      </c>
      <c r="V84" s="566">
        <f t="shared" si="47"/>
        <v>-1.5766666666666667</v>
      </c>
      <c r="W84" s="566">
        <f t="shared" si="47"/>
        <v>-1.5766666666666667</v>
      </c>
      <c r="X84" s="566">
        <f t="shared" si="47"/>
        <v>-1.5766666666666667</v>
      </c>
      <c r="Y84" s="566">
        <f t="shared" si="47"/>
        <v>-1.5766666666666667</v>
      </c>
      <c r="Z84" s="566">
        <f t="shared" si="47"/>
        <v>-1.5766666666666667</v>
      </c>
      <c r="AA84" s="566">
        <f t="shared" si="47"/>
        <v>-1.5766666666666667</v>
      </c>
      <c r="AB84" s="566">
        <f t="shared" si="47"/>
        <v>-1.5766666666666667</v>
      </c>
      <c r="AC84" s="566">
        <f t="shared" si="47"/>
        <v>-1.5766666666666667</v>
      </c>
      <c r="AD84" s="566">
        <f t="shared" si="47"/>
        <v>-1.5766666666666667</v>
      </c>
      <c r="AE84" s="566">
        <f t="shared" si="47"/>
        <v>-1.5766666666666667</v>
      </c>
      <c r="AF84" s="566">
        <f t="shared" si="47"/>
        <v>-1.5766666666666667</v>
      </c>
      <c r="AG84" s="566">
        <f t="shared" si="47"/>
        <v>-1.5766666666666667</v>
      </c>
      <c r="AH84" s="566">
        <f t="shared" si="47"/>
        <v>-1.5766666666666667</v>
      </c>
      <c r="AI84" s="566">
        <f t="shared" si="47"/>
        <v>-1.5766666666666667</v>
      </c>
      <c r="AJ84" s="566">
        <f t="shared" si="47"/>
        <v>-1.5766666666666667</v>
      </c>
      <c r="AK84" s="566">
        <f t="shared" si="47"/>
        <v>-1.5766666666666667</v>
      </c>
      <c r="AL84" s="566">
        <f t="shared" si="47"/>
        <v>-1.5766666666666667</v>
      </c>
      <c r="AM84" s="566">
        <f t="shared" si="47"/>
        <v>-1.5766666666666667</v>
      </c>
      <c r="AN84" s="566">
        <f t="shared" si="47"/>
        <v>-1.5766666666666667</v>
      </c>
      <c r="AO84" s="566">
        <f t="shared" si="47"/>
        <v>-1.5766666666666667</v>
      </c>
      <c r="AP84" s="566">
        <f t="shared" si="47"/>
        <v>-1.5766666666666667</v>
      </c>
      <c r="AQ84" s="567">
        <f t="shared" si="47"/>
        <v>-1.5766666666666667</v>
      </c>
      <c r="AR84" s="406"/>
      <c r="AS84" s="406"/>
      <c r="AT84" s="406"/>
      <c r="AU84" s="406"/>
      <c r="AV84" s="406"/>
      <c r="AW84" s="406"/>
      <c r="AX84" s="406"/>
      <c r="AY84" s="406"/>
      <c r="AZ84" s="406"/>
      <c r="BA84" s="406"/>
      <c r="BB84" s="406"/>
      <c r="BC84" s="406"/>
      <c r="BD84" s="406"/>
      <c r="BE84" s="406"/>
      <c r="BF84" s="406"/>
      <c r="BG84" s="406"/>
      <c r="BH84" s="406"/>
      <c r="BI84" s="406"/>
      <c r="BJ84" s="406"/>
      <c r="BK84" s="406"/>
      <c r="BL84" s="406"/>
      <c r="BM84" s="406"/>
      <c r="BN84" s="406"/>
      <c r="BO84" s="406"/>
      <c r="BP84" s="406"/>
      <c r="BQ84" s="406"/>
      <c r="BR84" s="406"/>
      <c r="BS84" s="406"/>
      <c r="BT84" s="406"/>
      <c r="BU84" s="406"/>
      <c r="BV84" s="406"/>
      <c r="BW84" s="406"/>
      <c r="BX84" s="406"/>
      <c r="BY84" s="406"/>
      <c r="BZ84" s="406"/>
      <c r="CA84" s="406"/>
      <c r="CB84" s="406"/>
      <c r="CC84" s="406"/>
      <c r="CD84" s="406"/>
      <c r="CE84" s="406"/>
      <c r="CF84" s="406"/>
      <c r="CG84" s="406"/>
      <c r="CH84" s="406"/>
      <c r="CI84" s="406"/>
      <c r="CJ84" s="406"/>
      <c r="CK84" s="406"/>
      <c r="CL84" s="406"/>
      <c r="CM84" s="406"/>
      <c r="CN84" s="406"/>
      <c r="CO84" s="406"/>
      <c r="CP84" s="406"/>
      <c r="CQ84" s="406"/>
      <c r="CR84" s="406"/>
      <c r="CS84" s="406"/>
      <c r="CT84" s="406"/>
      <c r="CU84" s="406"/>
      <c r="CV84" s="406"/>
      <c r="CW84" s="406"/>
      <c r="CX84" s="406"/>
      <c r="CY84" s="406"/>
      <c r="CZ84" s="406"/>
      <c r="DA84" s="406"/>
      <c r="DB84" s="406"/>
      <c r="DC84" s="406"/>
      <c r="DD84" s="406"/>
      <c r="DE84" s="406"/>
      <c r="DF84" s="406"/>
      <c r="DG84" s="406"/>
      <c r="DH84" s="406"/>
      <c r="DI84" s="406"/>
      <c r="DJ84" s="406"/>
      <c r="DK84" s="406"/>
      <c r="DL84" s="406"/>
      <c r="DM84" s="406"/>
      <c r="DN84" s="406"/>
      <c r="DO84" s="406"/>
      <c r="DP84" s="406"/>
      <c r="DQ84" s="406"/>
      <c r="DR84" s="406"/>
      <c r="DS84" s="406"/>
      <c r="DT84" s="406"/>
      <c r="DU84" s="406"/>
      <c r="DV84" s="406"/>
      <c r="DW84" s="406"/>
      <c r="DX84" s="406"/>
      <c r="DY84" s="406"/>
      <c r="DZ84" s="406"/>
      <c r="EA84" s="406"/>
      <c r="EB84" s="406"/>
      <c r="EC84" s="406"/>
      <c r="ED84" s="406"/>
      <c r="EE84" s="406"/>
      <c r="EF84" s="406"/>
      <c r="EG84" s="406"/>
      <c r="EH84" s="406"/>
      <c r="EI84" s="406"/>
      <c r="EJ84" s="406"/>
      <c r="EK84" s="406"/>
      <c r="EL84" s="406"/>
      <c r="EM84" s="406"/>
      <c r="EN84" s="406"/>
      <c r="EO84" s="406"/>
      <c r="EP84" s="406"/>
      <c r="EQ84" s="406"/>
      <c r="ER84" s="406"/>
      <c r="ES84" s="406"/>
      <c r="ET84" s="406"/>
      <c r="EU84" s="406"/>
      <c r="EV84" s="406"/>
      <c r="EW84" s="406"/>
      <c r="EX84" s="406"/>
      <c r="EY84" s="406"/>
      <c r="EZ84" s="406"/>
      <c r="FA84" s="406"/>
      <c r="FB84" s="406"/>
      <c r="FC84" s="406"/>
      <c r="FD84" s="406"/>
      <c r="FE84" s="406"/>
      <c r="FF84" s="406"/>
      <c r="FG84" s="406"/>
      <c r="FH84" s="406"/>
      <c r="FI84" s="406"/>
      <c r="FJ84" s="406"/>
      <c r="FK84" s="406"/>
      <c r="FL84" s="406"/>
      <c r="FM84" s="406"/>
      <c r="FN84" s="406"/>
      <c r="FO84" s="406"/>
      <c r="FP84" s="406"/>
      <c r="FQ84" s="406"/>
      <c r="FR84" s="406"/>
      <c r="FS84" s="406"/>
      <c r="FT84" s="406"/>
      <c r="FU84" s="406"/>
      <c r="FV84" s="406"/>
      <c r="FW84" s="406"/>
      <c r="FX84" s="406"/>
      <c r="FY84" s="406"/>
      <c r="FZ84" s="406"/>
      <c r="GA84" s="406"/>
      <c r="GB84" s="406"/>
      <c r="GC84" s="406"/>
      <c r="GD84" s="406"/>
      <c r="GE84" s="406"/>
      <c r="GF84" s="406"/>
      <c r="GG84" s="406"/>
      <c r="GH84" s="406"/>
      <c r="GI84" s="406"/>
      <c r="GJ84" s="406"/>
      <c r="GK84" s="406"/>
      <c r="GL84" s="406"/>
    </row>
    <row r="85" spans="1:194" ht="20.100000000000001" customHeight="1">
      <c r="A85" s="92"/>
      <c r="B85" s="79"/>
      <c r="C85" s="79"/>
      <c r="D85" s="79"/>
      <c r="E85" s="79"/>
      <c r="F85" s="79"/>
      <c r="G85" s="79"/>
      <c r="H85" s="93"/>
      <c r="I85" s="406"/>
      <c r="J85" s="406"/>
      <c r="K85" s="406"/>
      <c r="L85" s="406">
        <f t="shared" si="46"/>
        <v>18</v>
      </c>
      <c r="M85" s="532" t="str">
        <f t="shared" si="43"/>
        <v>forestland_converted_to_other_wetlands/flooded_land</v>
      </c>
      <c r="N85" s="530"/>
      <c r="O85" s="566">
        <f t="shared" si="45"/>
        <v>1.8074630223439534</v>
      </c>
      <c r="P85" s="566">
        <f t="shared" si="47"/>
        <v>1.8074630223439534</v>
      </c>
      <c r="Q85" s="566">
        <f t="shared" si="47"/>
        <v>1.8074630223439534</v>
      </c>
      <c r="R85" s="566">
        <f t="shared" si="47"/>
        <v>1.8074630223439534</v>
      </c>
      <c r="S85" s="566">
        <f t="shared" si="47"/>
        <v>1.8074630223439534</v>
      </c>
      <c r="T85" s="566">
        <f t="shared" si="47"/>
        <v>1.8074630223439534</v>
      </c>
      <c r="U85" s="566">
        <f t="shared" si="47"/>
        <v>1.8074630223439534</v>
      </c>
      <c r="V85" s="566">
        <f t="shared" si="47"/>
        <v>1.8074630223439534</v>
      </c>
      <c r="W85" s="566">
        <f t="shared" si="47"/>
        <v>1.8074630223439534</v>
      </c>
      <c r="X85" s="566">
        <f t="shared" si="47"/>
        <v>1.8074630223439534</v>
      </c>
      <c r="Y85" s="566">
        <f t="shared" si="47"/>
        <v>1.8074630223439534</v>
      </c>
      <c r="Z85" s="566">
        <f t="shared" si="47"/>
        <v>1.8074630223439534</v>
      </c>
      <c r="AA85" s="566">
        <f t="shared" si="47"/>
        <v>1.8074630223439534</v>
      </c>
      <c r="AB85" s="566">
        <f t="shared" si="47"/>
        <v>1.8074630223439534</v>
      </c>
      <c r="AC85" s="566">
        <f t="shared" si="47"/>
        <v>1.8074630223439534</v>
      </c>
      <c r="AD85" s="566">
        <f t="shared" si="47"/>
        <v>1.8074630223439534</v>
      </c>
      <c r="AE85" s="566">
        <f t="shared" si="47"/>
        <v>1.8074630223439534</v>
      </c>
      <c r="AF85" s="566">
        <f t="shared" si="47"/>
        <v>1.8074630223439534</v>
      </c>
      <c r="AG85" s="566">
        <f t="shared" si="47"/>
        <v>1.8074630223439534</v>
      </c>
      <c r="AH85" s="566">
        <f t="shared" si="47"/>
        <v>1.8074630223439534</v>
      </c>
      <c r="AI85" s="566">
        <f t="shared" si="47"/>
        <v>1.5590450363686366</v>
      </c>
      <c r="AJ85" s="566">
        <f t="shared" si="47"/>
        <v>1.5590450363686366</v>
      </c>
      <c r="AK85" s="566">
        <f t="shared" si="47"/>
        <v>1.5590450363686366</v>
      </c>
      <c r="AL85" s="566">
        <f t="shared" si="47"/>
        <v>1.5590450363686366</v>
      </c>
      <c r="AM85" s="566">
        <f t="shared" si="47"/>
        <v>1.5590450363686366</v>
      </c>
      <c r="AN85" s="566">
        <f t="shared" si="47"/>
        <v>1.5590450363686366</v>
      </c>
      <c r="AO85" s="566">
        <f t="shared" si="47"/>
        <v>1.5590450363686366</v>
      </c>
      <c r="AP85" s="566">
        <f t="shared" si="47"/>
        <v>1.5590450363686366</v>
      </c>
      <c r="AQ85" s="567">
        <f t="shared" si="47"/>
        <v>1.5590450363686366</v>
      </c>
      <c r="AR85" s="406"/>
      <c r="AS85" s="406"/>
      <c r="AT85" s="406"/>
      <c r="AU85" s="406"/>
      <c r="AV85" s="406"/>
      <c r="AW85" s="406"/>
      <c r="AX85" s="406"/>
      <c r="AY85" s="406"/>
      <c r="AZ85" s="406"/>
      <c r="BA85" s="406"/>
      <c r="BB85" s="406"/>
      <c r="BC85" s="406"/>
      <c r="BD85" s="406"/>
      <c r="BE85" s="406"/>
      <c r="BF85" s="406"/>
      <c r="BG85" s="406"/>
      <c r="BH85" s="406"/>
      <c r="BI85" s="406"/>
      <c r="BJ85" s="406"/>
      <c r="BK85" s="406"/>
      <c r="BL85" s="406"/>
      <c r="BM85" s="406"/>
      <c r="BN85" s="406"/>
      <c r="BO85" s="406"/>
      <c r="BP85" s="406"/>
      <c r="BQ85" s="406"/>
      <c r="BR85" s="406"/>
      <c r="BS85" s="406"/>
      <c r="BT85" s="406"/>
      <c r="BU85" s="406"/>
      <c r="BV85" s="406"/>
      <c r="BW85" s="406"/>
      <c r="BX85" s="406"/>
      <c r="BY85" s="406"/>
      <c r="BZ85" s="406"/>
      <c r="CA85" s="406"/>
      <c r="CB85" s="406"/>
      <c r="CC85" s="406"/>
      <c r="CD85" s="406"/>
      <c r="CE85" s="406"/>
      <c r="CF85" s="406"/>
      <c r="CG85" s="406"/>
      <c r="CH85" s="406"/>
      <c r="CI85" s="406"/>
      <c r="CJ85" s="406"/>
      <c r="CK85" s="406"/>
      <c r="CL85" s="406"/>
      <c r="CM85" s="406"/>
      <c r="CN85" s="406"/>
      <c r="CO85" s="406"/>
      <c r="CP85" s="406"/>
      <c r="CQ85" s="406"/>
      <c r="CR85" s="406"/>
      <c r="CS85" s="406"/>
      <c r="CT85" s="406"/>
      <c r="CU85" s="406"/>
      <c r="CV85" s="406"/>
      <c r="CW85" s="406"/>
      <c r="CX85" s="406"/>
      <c r="CY85" s="406"/>
      <c r="CZ85" s="406"/>
      <c r="DA85" s="406"/>
      <c r="DB85" s="406"/>
      <c r="DC85" s="406"/>
      <c r="DD85" s="406"/>
      <c r="DE85" s="406"/>
      <c r="DF85" s="406"/>
      <c r="DG85" s="406"/>
      <c r="DH85" s="406"/>
      <c r="DI85" s="406"/>
      <c r="DJ85" s="406"/>
      <c r="DK85" s="406"/>
      <c r="DL85" s="406"/>
      <c r="DM85" s="406"/>
      <c r="DN85" s="406"/>
      <c r="DO85" s="406"/>
      <c r="DP85" s="406"/>
      <c r="DQ85" s="406"/>
      <c r="DR85" s="406"/>
      <c r="DS85" s="406"/>
      <c r="DT85" s="406"/>
      <c r="DU85" s="406"/>
      <c r="DV85" s="406"/>
      <c r="DW85" s="406"/>
      <c r="DX85" s="406"/>
      <c r="DY85" s="406"/>
      <c r="DZ85" s="406"/>
      <c r="EA85" s="406"/>
      <c r="EB85" s="406"/>
      <c r="EC85" s="406"/>
      <c r="ED85" s="406"/>
      <c r="EE85" s="406"/>
      <c r="EF85" s="406"/>
      <c r="EG85" s="406"/>
      <c r="EH85" s="406"/>
      <c r="EI85" s="406"/>
      <c r="EJ85" s="406"/>
      <c r="EK85" s="406"/>
      <c r="EL85" s="406"/>
      <c r="EM85" s="406"/>
      <c r="EN85" s="406"/>
      <c r="EO85" s="406"/>
      <c r="EP85" s="406"/>
      <c r="EQ85" s="406"/>
      <c r="ER85" s="406"/>
      <c r="ES85" s="406"/>
      <c r="ET85" s="406"/>
      <c r="EU85" s="406"/>
      <c r="EV85" s="406"/>
      <c r="EW85" s="406"/>
      <c r="EX85" s="406"/>
      <c r="EY85" s="406"/>
      <c r="EZ85" s="406"/>
      <c r="FA85" s="406"/>
      <c r="FB85" s="406"/>
      <c r="FC85" s="406"/>
      <c r="FD85" s="406"/>
      <c r="FE85" s="406"/>
      <c r="FF85" s="406"/>
      <c r="FG85" s="406"/>
      <c r="FH85" s="406"/>
      <c r="FI85" s="406"/>
      <c r="FJ85" s="406"/>
      <c r="FK85" s="406"/>
      <c r="FL85" s="406"/>
      <c r="FM85" s="406"/>
      <c r="FN85" s="406"/>
      <c r="FO85" s="406"/>
      <c r="FP85" s="406"/>
      <c r="FQ85" s="406"/>
      <c r="FR85" s="406"/>
      <c r="FS85" s="406"/>
      <c r="FT85" s="406"/>
      <c r="FU85" s="406"/>
      <c r="FV85" s="406"/>
      <c r="FW85" s="406"/>
      <c r="FX85" s="406"/>
      <c r="FY85" s="406"/>
      <c r="FZ85" s="406"/>
      <c r="GA85" s="406"/>
      <c r="GB85" s="406"/>
      <c r="GC85" s="406"/>
      <c r="GD85" s="406"/>
      <c r="GE85" s="406"/>
      <c r="GF85" s="406"/>
      <c r="GG85" s="406"/>
      <c r="GH85" s="406"/>
      <c r="GI85" s="406"/>
      <c r="GJ85" s="406"/>
      <c r="GK85" s="406"/>
      <c r="GL85" s="406"/>
    </row>
    <row r="86" spans="1:194" ht="20.100000000000001" customHeight="1">
      <c r="A86" s="92"/>
      <c r="B86" s="79"/>
      <c r="C86" s="79"/>
      <c r="D86" s="79"/>
      <c r="E86" s="79"/>
      <c r="F86" s="79"/>
      <c r="G86" s="79"/>
      <c r="H86" s="93"/>
      <c r="I86" s="406"/>
      <c r="J86" s="406"/>
      <c r="K86" s="406"/>
      <c r="L86" s="406">
        <f t="shared" si="46"/>
        <v>19</v>
      </c>
      <c r="M86" s="532" t="str">
        <f t="shared" si="43"/>
        <v>cropland_converted_to_other_wetlands/flooded_land</v>
      </c>
      <c r="N86" s="530"/>
      <c r="O86" s="566">
        <f t="shared" si="45"/>
        <v>0</v>
      </c>
      <c r="P86" s="566">
        <f t="shared" si="47"/>
        <v>0</v>
      </c>
      <c r="Q86" s="566">
        <f t="shared" si="47"/>
        <v>0</v>
      </c>
      <c r="R86" s="566">
        <f t="shared" si="47"/>
        <v>0</v>
      </c>
      <c r="S86" s="566">
        <f t="shared" si="47"/>
        <v>0</v>
      </c>
      <c r="T86" s="566">
        <f t="shared" si="47"/>
        <v>0</v>
      </c>
      <c r="U86" s="566">
        <f t="shared" si="47"/>
        <v>0</v>
      </c>
      <c r="V86" s="566">
        <f t="shared" si="47"/>
        <v>0</v>
      </c>
      <c r="W86" s="566">
        <f t="shared" si="47"/>
        <v>0</v>
      </c>
      <c r="X86" s="566">
        <f t="shared" si="47"/>
        <v>0</v>
      </c>
      <c r="Y86" s="566">
        <f t="shared" si="47"/>
        <v>0</v>
      </c>
      <c r="Z86" s="566">
        <f t="shared" si="47"/>
        <v>0</v>
      </c>
      <c r="AA86" s="566">
        <f t="shared" si="47"/>
        <v>0</v>
      </c>
      <c r="AB86" s="566">
        <f t="shared" si="47"/>
        <v>0</v>
      </c>
      <c r="AC86" s="566">
        <f t="shared" si="47"/>
        <v>0</v>
      </c>
      <c r="AD86" s="566">
        <f t="shared" si="47"/>
        <v>0</v>
      </c>
      <c r="AE86" s="566">
        <f t="shared" si="47"/>
        <v>0</v>
      </c>
      <c r="AF86" s="566">
        <f t="shared" si="47"/>
        <v>0</v>
      </c>
      <c r="AG86" s="566">
        <f t="shared" si="47"/>
        <v>0</v>
      </c>
      <c r="AH86" s="566">
        <f t="shared" si="47"/>
        <v>0</v>
      </c>
      <c r="AI86" s="566">
        <f t="shared" si="47"/>
        <v>1.5590450363686366</v>
      </c>
      <c r="AJ86" s="566">
        <f t="shared" si="47"/>
        <v>1.5590450363686366</v>
      </c>
      <c r="AK86" s="566">
        <f t="shared" ref="P86:AQ95" si="48">IF($N52&gt;AK$67,0,INDEX($O$34:$AR$63,$L86,(AK$67-$N52+1)))</f>
        <v>1.5590450363686366</v>
      </c>
      <c r="AL86" s="566">
        <f t="shared" si="48"/>
        <v>1.5590450363686366</v>
      </c>
      <c r="AM86" s="566">
        <f t="shared" si="48"/>
        <v>1.5590450363686366</v>
      </c>
      <c r="AN86" s="566">
        <f t="shared" si="48"/>
        <v>1.5590450363686366</v>
      </c>
      <c r="AO86" s="566">
        <f t="shared" si="48"/>
        <v>1.5590450363686366</v>
      </c>
      <c r="AP86" s="566">
        <f t="shared" si="48"/>
        <v>1.5590450363686366</v>
      </c>
      <c r="AQ86" s="567">
        <f t="shared" si="48"/>
        <v>1.5590450363686366</v>
      </c>
      <c r="AR86" s="406"/>
      <c r="AS86" s="406"/>
      <c r="AT86" s="406"/>
      <c r="AU86" s="406"/>
      <c r="AV86" s="406"/>
      <c r="AW86" s="406"/>
      <c r="AX86" s="406"/>
      <c r="AY86" s="406"/>
      <c r="AZ86" s="406"/>
      <c r="BA86" s="406"/>
      <c r="BB86" s="406"/>
      <c r="BC86" s="406"/>
      <c r="BD86" s="406"/>
      <c r="BE86" s="406"/>
      <c r="BF86" s="406"/>
      <c r="BG86" s="406"/>
      <c r="BH86" s="406"/>
      <c r="BI86" s="406"/>
      <c r="BJ86" s="406"/>
      <c r="BK86" s="406"/>
      <c r="BL86" s="406"/>
      <c r="BM86" s="406"/>
      <c r="BN86" s="406"/>
      <c r="BO86" s="406"/>
      <c r="BP86" s="406"/>
      <c r="BQ86" s="406"/>
      <c r="BR86" s="406"/>
      <c r="BS86" s="406"/>
      <c r="BT86" s="406"/>
      <c r="BU86" s="406"/>
      <c r="BV86" s="406"/>
      <c r="BW86" s="406"/>
      <c r="BX86" s="406"/>
      <c r="BY86" s="406"/>
      <c r="BZ86" s="406"/>
      <c r="CA86" s="406"/>
      <c r="CB86" s="406"/>
      <c r="CC86" s="406"/>
      <c r="CD86" s="406"/>
      <c r="CE86" s="406"/>
      <c r="CF86" s="406"/>
      <c r="CG86" s="406"/>
      <c r="CH86" s="406"/>
      <c r="CI86" s="406"/>
      <c r="CJ86" s="406"/>
      <c r="CK86" s="406"/>
      <c r="CL86" s="406"/>
      <c r="CM86" s="406"/>
      <c r="CN86" s="406"/>
      <c r="CO86" s="406"/>
      <c r="CP86" s="406"/>
      <c r="CQ86" s="406"/>
      <c r="CR86" s="406"/>
      <c r="CS86" s="406"/>
      <c r="CT86" s="406"/>
      <c r="CU86" s="406"/>
      <c r="CV86" s="406"/>
      <c r="CW86" s="406"/>
      <c r="CX86" s="406"/>
      <c r="CY86" s="406"/>
      <c r="CZ86" s="406"/>
      <c r="DA86" s="406"/>
      <c r="DB86" s="406"/>
      <c r="DC86" s="406"/>
      <c r="DD86" s="406"/>
      <c r="DE86" s="406"/>
      <c r="DF86" s="406"/>
      <c r="DG86" s="406"/>
      <c r="DH86" s="406"/>
      <c r="DI86" s="406"/>
      <c r="DJ86" s="406"/>
      <c r="DK86" s="406"/>
      <c r="DL86" s="406"/>
      <c r="DM86" s="406"/>
      <c r="DN86" s="406"/>
      <c r="DO86" s="406"/>
      <c r="DP86" s="406"/>
      <c r="DQ86" s="406"/>
      <c r="DR86" s="406"/>
      <c r="DS86" s="406"/>
      <c r="DT86" s="406"/>
      <c r="DU86" s="406"/>
      <c r="DV86" s="406"/>
      <c r="DW86" s="406"/>
      <c r="DX86" s="406"/>
      <c r="DY86" s="406"/>
      <c r="DZ86" s="406"/>
      <c r="EA86" s="406"/>
      <c r="EB86" s="406"/>
      <c r="EC86" s="406"/>
      <c r="ED86" s="406"/>
      <c r="EE86" s="406"/>
      <c r="EF86" s="406"/>
      <c r="EG86" s="406"/>
      <c r="EH86" s="406"/>
      <c r="EI86" s="406"/>
      <c r="EJ86" s="406"/>
      <c r="EK86" s="406"/>
      <c r="EL86" s="406"/>
      <c r="EM86" s="406"/>
      <c r="EN86" s="406"/>
      <c r="EO86" s="406"/>
      <c r="EP86" s="406"/>
      <c r="EQ86" s="406"/>
      <c r="ER86" s="406"/>
      <c r="ES86" s="406"/>
      <c r="ET86" s="406"/>
      <c r="EU86" s="406"/>
      <c r="EV86" s="406"/>
      <c r="EW86" s="406"/>
      <c r="EX86" s="406"/>
      <c r="EY86" s="406"/>
      <c r="EZ86" s="406"/>
      <c r="FA86" s="406"/>
      <c r="FB86" s="406"/>
      <c r="FC86" s="406"/>
      <c r="FD86" s="406"/>
      <c r="FE86" s="406"/>
      <c r="FF86" s="406"/>
      <c r="FG86" s="406"/>
      <c r="FH86" s="406"/>
      <c r="FI86" s="406"/>
      <c r="FJ86" s="406"/>
      <c r="FK86" s="406"/>
      <c r="FL86" s="406"/>
      <c r="FM86" s="406"/>
      <c r="FN86" s="406"/>
      <c r="FO86" s="406"/>
      <c r="FP86" s="406"/>
      <c r="FQ86" s="406"/>
      <c r="FR86" s="406"/>
      <c r="FS86" s="406"/>
      <c r="FT86" s="406"/>
      <c r="FU86" s="406"/>
      <c r="FV86" s="406"/>
      <c r="FW86" s="406"/>
      <c r="FX86" s="406"/>
      <c r="FY86" s="406"/>
      <c r="FZ86" s="406"/>
      <c r="GA86" s="406"/>
      <c r="GB86" s="406"/>
      <c r="GC86" s="406"/>
      <c r="GD86" s="406"/>
      <c r="GE86" s="406"/>
      <c r="GF86" s="406"/>
      <c r="GG86" s="406"/>
      <c r="GH86" s="406"/>
      <c r="GI86" s="406"/>
      <c r="GJ86" s="406"/>
      <c r="GK86" s="406"/>
      <c r="GL86" s="406"/>
    </row>
    <row r="87" spans="1:194" ht="20.100000000000001" customHeight="1" thickBot="1">
      <c r="A87" s="92"/>
      <c r="B87" s="79"/>
      <c r="C87" s="79"/>
      <c r="D87" s="79"/>
      <c r="E87" s="79"/>
      <c r="F87" s="79"/>
      <c r="G87" s="79"/>
      <c r="H87" s="93"/>
      <c r="L87" s="406">
        <f t="shared" si="46"/>
        <v>20</v>
      </c>
      <c r="M87" s="533" t="str">
        <f t="shared" si="43"/>
        <v>grassland_converted_to_other_wetlands/flooded_land</v>
      </c>
      <c r="N87" s="534"/>
      <c r="O87" s="568">
        <f t="shared" si="45"/>
        <v>0</v>
      </c>
      <c r="P87" s="568">
        <f t="shared" si="48"/>
        <v>0</v>
      </c>
      <c r="Q87" s="568">
        <f t="shared" si="48"/>
        <v>0</v>
      </c>
      <c r="R87" s="568">
        <f t="shared" si="48"/>
        <v>0</v>
      </c>
      <c r="S87" s="568">
        <f t="shared" si="48"/>
        <v>0</v>
      </c>
      <c r="T87" s="568">
        <f t="shared" si="48"/>
        <v>0</v>
      </c>
      <c r="U87" s="568">
        <f t="shared" si="48"/>
        <v>0</v>
      </c>
      <c r="V87" s="568">
        <f t="shared" si="48"/>
        <v>0</v>
      </c>
      <c r="W87" s="568">
        <f t="shared" si="48"/>
        <v>0</v>
      </c>
      <c r="X87" s="568">
        <f t="shared" si="48"/>
        <v>0</v>
      </c>
      <c r="Y87" s="568">
        <f t="shared" si="48"/>
        <v>0</v>
      </c>
      <c r="Z87" s="568">
        <f t="shared" si="48"/>
        <v>0</v>
      </c>
      <c r="AA87" s="568">
        <f t="shared" si="48"/>
        <v>0</v>
      </c>
      <c r="AB87" s="568">
        <f t="shared" si="48"/>
        <v>0</v>
      </c>
      <c r="AC87" s="568">
        <f t="shared" si="48"/>
        <v>0</v>
      </c>
      <c r="AD87" s="568">
        <f t="shared" si="48"/>
        <v>0</v>
      </c>
      <c r="AE87" s="568">
        <f t="shared" si="48"/>
        <v>0</v>
      </c>
      <c r="AF87" s="568">
        <f t="shared" si="48"/>
        <v>0</v>
      </c>
      <c r="AG87" s="568">
        <f t="shared" si="48"/>
        <v>0</v>
      </c>
      <c r="AH87" s="568">
        <f t="shared" si="48"/>
        <v>0</v>
      </c>
      <c r="AI87" s="568">
        <f t="shared" si="48"/>
        <v>1.5590450363686366</v>
      </c>
      <c r="AJ87" s="568">
        <f t="shared" si="48"/>
        <v>1.5590450363686366</v>
      </c>
      <c r="AK87" s="568">
        <f t="shared" si="48"/>
        <v>1.5590450363686366</v>
      </c>
      <c r="AL87" s="568">
        <f t="shared" si="48"/>
        <v>1.5590450363686366</v>
      </c>
      <c r="AM87" s="568">
        <f t="shared" si="48"/>
        <v>1.5590450363686366</v>
      </c>
      <c r="AN87" s="568">
        <f t="shared" si="48"/>
        <v>1.5590450363686366</v>
      </c>
      <c r="AO87" s="568">
        <f t="shared" si="48"/>
        <v>1.5590450363686366</v>
      </c>
      <c r="AP87" s="568">
        <f t="shared" si="48"/>
        <v>1.5590450363686366</v>
      </c>
      <c r="AQ87" s="569">
        <f t="shared" si="48"/>
        <v>1.5590450363686366</v>
      </c>
      <c r="AR87" s="406"/>
      <c r="AS87" s="406"/>
      <c r="AT87" s="406"/>
      <c r="AU87" s="406"/>
      <c r="AV87" s="406"/>
      <c r="AW87" s="406"/>
      <c r="AX87" s="406"/>
      <c r="AY87" s="406"/>
      <c r="AZ87" s="406"/>
      <c r="BA87" s="406"/>
      <c r="BB87" s="406"/>
      <c r="BC87" s="406"/>
      <c r="BD87" s="406"/>
      <c r="BE87" s="406"/>
      <c r="BF87" s="406"/>
      <c r="BG87" s="406"/>
      <c r="BH87" s="406"/>
      <c r="BI87" s="406"/>
      <c r="BJ87" s="406"/>
      <c r="BK87" s="406"/>
      <c r="BL87" s="406"/>
      <c r="BM87" s="406"/>
      <c r="BN87" s="406"/>
      <c r="BO87" s="406"/>
      <c r="BP87" s="406"/>
      <c r="BQ87" s="406"/>
      <c r="BR87" s="406"/>
      <c r="BS87" s="406"/>
      <c r="BT87" s="406"/>
      <c r="BU87" s="406"/>
      <c r="BV87" s="406"/>
      <c r="BW87" s="406"/>
      <c r="BX87" s="406"/>
      <c r="BY87" s="406"/>
      <c r="BZ87" s="406"/>
      <c r="CA87" s="406"/>
      <c r="CB87" s="406"/>
      <c r="CC87" s="406"/>
      <c r="CD87" s="406"/>
      <c r="CE87" s="406"/>
      <c r="CF87" s="406"/>
      <c r="CG87" s="406"/>
      <c r="CH87" s="406"/>
      <c r="CI87" s="406"/>
      <c r="CJ87" s="406"/>
      <c r="CK87" s="406"/>
      <c r="CL87" s="406"/>
      <c r="CM87" s="406"/>
      <c r="CN87" s="406"/>
      <c r="CO87" s="406"/>
      <c r="CP87" s="406"/>
      <c r="CQ87" s="406"/>
      <c r="CR87" s="406"/>
      <c r="CS87" s="406"/>
      <c r="CT87" s="406"/>
      <c r="CU87" s="406"/>
      <c r="CV87" s="406"/>
      <c r="CW87" s="406"/>
      <c r="CX87" s="406"/>
      <c r="CY87" s="406"/>
      <c r="CZ87" s="406"/>
      <c r="DA87" s="406"/>
      <c r="DB87" s="406"/>
      <c r="DC87" s="406"/>
      <c r="DD87" s="406"/>
      <c r="DE87" s="406"/>
      <c r="DF87" s="406"/>
      <c r="DG87" s="406"/>
      <c r="DH87" s="406"/>
      <c r="DI87" s="406"/>
      <c r="DJ87" s="406"/>
      <c r="DK87" s="406"/>
      <c r="DL87" s="406"/>
      <c r="DM87" s="406"/>
      <c r="DN87" s="406"/>
      <c r="DO87" s="406"/>
      <c r="DP87" s="406"/>
      <c r="DQ87" s="406"/>
      <c r="DR87" s="406"/>
      <c r="DS87" s="406"/>
      <c r="DT87" s="406"/>
      <c r="DU87" s="406"/>
      <c r="DV87" s="406"/>
      <c r="DW87" s="406"/>
      <c r="DX87" s="406"/>
      <c r="DY87" s="406"/>
      <c r="DZ87" s="406"/>
      <c r="EA87" s="406"/>
      <c r="EB87" s="406"/>
      <c r="EC87" s="406"/>
      <c r="ED87" s="406"/>
      <c r="EE87" s="406"/>
      <c r="EF87" s="406"/>
      <c r="EG87" s="406"/>
      <c r="EH87" s="406"/>
      <c r="EI87" s="406"/>
      <c r="EJ87" s="406"/>
      <c r="EK87" s="406"/>
      <c r="EL87" s="406"/>
      <c r="EM87" s="406"/>
      <c r="EN87" s="406"/>
      <c r="EO87" s="406"/>
      <c r="EP87" s="406"/>
      <c r="EQ87" s="406"/>
      <c r="ER87" s="406"/>
      <c r="ES87" s="406"/>
      <c r="ET87" s="406"/>
      <c r="EU87" s="406"/>
      <c r="EV87" s="406"/>
      <c r="EW87" s="406"/>
      <c r="EX87" s="406"/>
      <c r="EY87" s="406"/>
      <c r="EZ87" s="406"/>
      <c r="FA87" s="406"/>
      <c r="FB87" s="406"/>
      <c r="FC87" s="406"/>
      <c r="FD87" s="406"/>
      <c r="FE87" s="406"/>
      <c r="FF87" s="406"/>
      <c r="FG87" s="406"/>
      <c r="FH87" s="406"/>
      <c r="FI87" s="406"/>
      <c r="FJ87" s="406"/>
      <c r="FK87" s="406"/>
      <c r="FL87" s="406"/>
      <c r="FM87" s="406"/>
      <c r="FN87" s="406"/>
      <c r="FO87" s="406"/>
      <c r="FP87" s="406"/>
      <c r="FQ87" s="406"/>
      <c r="FR87" s="406"/>
      <c r="FS87" s="406"/>
      <c r="FT87" s="406"/>
      <c r="FU87" s="406"/>
      <c r="FV87" s="406"/>
      <c r="FW87" s="406"/>
      <c r="FX87" s="406"/>
      <c r="FY87" s="406"/>
      <c r="FZ87" s="406"/>
      <c r="GA87" s="406"/>
      <c r="GB87" s="406"/>
      <c r="GC87" s="406"/>
      <c r="GD87" s="406"/>
      <c r="GE87" s="406"/>
      <c r="GF87" s="406"/>
      <c r="GG87" s="406"/>
      <c r="GH87" s="406"/>
      <c r="GI87" s="406"/>
      <c r="GJ87" s="406"/>
      <c r="GK87" s="406"/>
      <c r="GL87" s="406"/>
    </row>
    <row r="88" spans="1:194" ht="20.100000000000001" customHeight="1">
      <c r="A88" s="92"/>
      <c r="B88" s="79"/>
      <c r="C88" s="79"/>
      <c r="D88" s="79"/>
      <c r="E88" s="79"/>
      <c r="F88" s="79"/>
      <c r="G88" s="79"/>
      <c r="H88" s="93"/>
      <c r="L88" s="406">
        <f t="shared" si="46"/>
        <v>21</v>
      </c>
      <c r="M88" s="531" t="str">
        <f t="shared" si="43"/>
        <v>from_forestland_to_settlements</v>
      </c>
      <c r="N88" s="575"/>
      <c r="O88" s="576">
        <f t="shared" si="45"/>
        <v>741.9215968845466</v>
      </c>
      <c r="P88" s="576">
        <f t="shared" si="48"/>
        <v>6.0949302178800195</v>
      </c>
      <c r="Q88" s="576">
        <f t="shared" si="48"/>
        <v>6.0949302178800195</v>
      </c>
      <c r="R88" s="576">
        <f t="shared" si="48"/>
        <v>6.0949302178800195</v>
      </c>
      <c r="S88" s="576">
        <f t="shared" si="48"/>
        <v>6.0949302178800195</v>
      </c>
      <c r="T88" s="576">
        <f t="shared" si="48"/>
        <v>6.0949302178800195</v>
      </c>
      <c r="U88" s="576">
        <f t="shared" si="48"/>
        <v>6.0949302178800195</v>
      </c>
      <c r="V88" s="576">
        <f t="shared" si="48"/>
        <v>6.0949302178800195</v>
      </c>
      <c r="W88" s="576">
        <f t="shared" si="48"/>
        <v>6.0949302178800195</v>
      </c>
      <c r="X88" s="576">
        <f t="shared" si="48"/>
        <v>6.0949302178800195</v>
      </c>
      <c r="Y88" s="576">
        <f t="shared" si="48"/>
        <v>6.0949302178800195</v>
      </c>
      <c r="Z88" s="576">
        <f t="shared" si="48"/>
        <v>6.0949302178800195</v>
      </c>
      <c r="AA88" s="576">
        <f t="shared" si="48"/>
        <v>6.0949302178800195</v>
      </c>
      <c r="AB88" s="576">
        <f t="shared" si="48"/>
        <v>6.0949302178800195</v>
      </c>
      <c r="AC88" s="576">
        <f t="shared" si="48"/>
        <v>6.0949302178800195</v>
      </c>
      <c r="AD88" s="576">
        <f t="shared" si="48"/>
        <v>6.0949302178800195</v>
      </c>
      <c r="AE88" s="576">
        <f t="shared" si="48"/>
        <v>6.0949302178800195</v>
      </c>
      <c r="AF88" s="576">
        <f t="shared" si="48"/>
        <v>6.0949302178800195</v>
      </c>
      <c r="AG88" s="576">
        <f t="shared" si="48"/>
        <v>6.0949302178800195</v>
      </c>
      <c r="AH88" s="576">
        <f t="shared" si="48"/>
        <v>6.0949302178800195</v>
      </c>
      <c r="AI88" s="576">
        <f t="shared" si="48"/>
        <v>0</v>
      </c>
      <c r="AJ88" s="576">
        <f t="shared" si="48"/>
        <v>0</v>
      </c>
      <c r="AK88" s="576">
        <f t="shared" si="48"/>
        <v>0</v>
      </c>
      <c r="AL88" s="576">
        <f t="shared" si="48"/>
        <v>0</v>
      </c>
      <c r="AM88" s="576">
        <f t="shared" si="48"/>
        <v>0</v>
      </c>
      <c r="AN88" s="576">
        <f t="shared" si="48"/>
        <v>0</v>
      </c>
      <c r="AO88" s="576">
        <f t="shared" si="48"/>
        <v>0</v>
      </c>
      <c r="AP88" s="576">
        <f t="shared" si="48"/>
        <v>0</v>
      </c>
      <c r="AQ88" s="577">
        <f t="shared" si="48"/>
        <v>0</v>
      </c>
      <c r="AR88" s="406"/>
      <c r="AS88" s="406"/>
      <c r="AT88" s="406"/>
      <c r="AU88" s="406"/>
      <c r="AV88" s="406"/>
      <c r="AW88" s="406"/>
      <c r="AX88" s="406"/>
      <c r="AY88" s="406"/>
      <c r="AZ88" s="406"/>
      <c r="BA88" s="406"/>
      <c r="BB88" s="406"/>
      <c r="BC88" s="406"/>
      <c r="BD88" s="406"/>
      <c r="BE88" s="406"/>
      <c r="BF88" s="406"/>
      <c r="BG88" s="406"/>
      <c r="BH88" s="406"/>
      <c r="BI88" s="406"/>
      <c r="BJ88" s="406"/>
      <c r="BK88" s="406"/>
      <c r="BL88" s="406"/>
      <c r="BM88" s="406"/>
      <c r="BN88" s="406"/>
      <c r="BO88" s="406"/>
      <c r="BP88" s="406"/>
      <c r="BQ88" s="406"/>
      <c r="BR88" s="406"/>
      <c r="BS88" s="406"/>
      <c r="BT88" s="406"/>
      <c r="BU88" s="406"/>
      <c r="BV88" s="406"/>
      <c r="BW88" s="406"/>
      <c r="BX88" s="406"/>
      <c r="BY88" s="406"/>
      <c r="BZ88" s="406"/>
      <c r="CA88" s="406"/>
      <c r="CB88" s="406"/>
      <c r="CC88" s="406"/>
      <c r="CD88" s="406"/>
      <c r="CE88" s="406"/>
      <c r="CF88" s="406"/>
      <c r="CG88" s="406"/>
      <c r="CH88" s="406"/>
      <c r="CI88" s="406"/>
      <c r="CJ88" s="406"/>
      <c r="CK88" s="406"/>
      <c r="CL88" s="406"/>
      <c r="CM88" s="406"/>
      <c r="CN88" s="406"/>
      <c r="CO88" s="406"/>
      <c r="CP88" s="406"/>
      <c r="CQ88" s="406"/>
      <c r="CR88" s="406"/>
      <c r="CS88" s="406"/>
      <c r="CT88" s="406"/>
      <c r="CU88" s="406"/>
      <c r="CV88" s="406"/>
      <c r="CW88" s="406"/>
      <c r="CX88" s="406"/>
      <c r="CY88" s="406"/>
      <c r="CZ88" s="406"/>
      <c r="DA88" s="406"/>
      <c r="DB88" s="406"/>
      <c r="DC88" s="406"/>
      <c r="DD88" s="406"/>
      <c r="DE88" s="406"/>
      <c r="DF88" s="406"/>
      <c r="DG88" s="406"/>
      <c r="DH88" s="406"/>
      <c r="DI88" s="406"/>
      <c r="DJ88" s="406"/>
      <c r="DK88" s="406"/>
      <c r="DL88" s="406"/>
      <c r="DM88" s="406"/>
      <c r="DN88" s="406"/>
      <c r="DO88" s="406"/>
      <c r="DP88" s="406"/>
      <c r="DQ88" s="406"/>
      <c r="DR88" s="406"/>
      <c r="DS88" s="406"/>
      <c r="DT88" s="406"/>
      <c r="DU88" s="406"/>
      <c r="DV88" s="406"/>
      <c r="DW88" s="406"/>
      <c r="DX88" s="406"/>
      <c r="DY88" s="406"/>
      <c r="DZ88" s="406"/>
      <c r="EA88" s="406"/>
      <c r="EB88" s="406"/>
      <c r="EC88" s="406"/>
      <c r="ED88" s="406"/>
      <c r="EE88" s="406"/>
      <c r="EF88" s="406"/>
      <c r="EG88" s="406"/>
      <c r="EH88" s="406"/>
      <c r="EI88" s="406"/>
      <c r="EJ88" s="406"/>
      <c r="EK88" s="406"/>
      <c r="EL88" s="406"/>
      <c r="EM88" s="406"/>
      <c r="EN88" s="406"/>
      <c r="EO88" s="406"/>
      <c r="EP88" s="406"/>
      <c r="EQ88" s="406"/>
      <c r="ER88" s="406"/>
      <c r="ES88" s="406"/>
      <c r="ET88" s="406"/>
      <c r="EU88" s="406"/>
      <c r="EV88" s="406"/>
      <c r="EW88" s="406"/>
      <c r="EX88" s="406"/>
      <c r="EY88" s="406"/>
      <c r="EZ88" s="406"/>
      <c r="FA88" s="406"/>
      <c r="FB88" s="406"/>
      <c r="FC88" s="406"/>
      <c r="FD88" s="406"/>
      <c r="FE88" s="406"/>
      <c r="FF88" s="406"/>
      <c r="FG88" s="406"/>
      <c r="FH88" s="406"/>
      <c r="FI88" s="406"/>
      <c r="FJ88" s="406"/>
      <c r="FK88" s="406"/>
      <c r="FL88" s="406"/>
      <c r="FM88" s="406"/>
      <c r="FN88" s="406"/>
      <c r="FO88" s="406"/>
      <c r="FP88" s="406"/>
      <c r="FQ88" s="406"/>
      <c r="FR88" s="406"/>
      <c r="FS88" s="406"/>
      <c r="FT88" s="406"/>
      <c r="FU88" s="406"/>
      <c r="FV88" s="406"/>
      <c r="FW88" s="406"/>
      <c r="FX88" s="406"/>
      <c r="FY88" s="406"/>
      <c r="FZ88" s="406"/>
      <c r="GA88" s="406"/>
      <c r="GB88" s="406"/>
      <c r="GC88" s="406"/>
      <c r="GD88" s="406"/>
      <c r="GE88" s="406"/>
      <c r="GF88" s="406"/>
      <c r="GG88" s="406"/>
      <c r="GH88" s="406"/>
      <c r="GI88" s="406"/>
      <c r="GJ88" s="406"/>
      <c r="GK88" s="406"/>
      <c r="GL88" s="406"/>
    </row>
    <row r="89" spans="1:194" ht="20.100000000000001" customHeight="1">
      <c r="A89" s="92"/>
      <c r="B89" s="79"/>
      <c r="C89" s="79"/>
      <c r="D89" s="79"/>
      <c r="E89" s="79"/>
      <c r="F89" s="79"/>
      <c r="G89" s="79"/>
      <c r="H89" s="93"/>
      <c r="L89" s="406">
        <f t="shared" si="46"/>
        <v>22</v>
      </c>
      <c r="M89" s="532" t="str">
        <f t="shared" si="43"/>
        <v>from_cropland_to_settlements</v>
      </c>
      <c r="N89" s="530"/>
      <c r="O89" s="566">
        <f t="shared" si="45"/>
        <v>3.7240199912014367</v>
      </c>
      <c r="P89" s="566">
        <f t="shared" si="48"/>
        <v>3.7240199912014367</v>
      </c>
      <c r="Q89" s="566">
        <f t="shared" si="48"/>
        <v>3.7240199912014367</v>
      </c>
      <c r="R89" s="566">
        <f t="shared" si="48"/>
        <v>3.7240199912014367</v>
      </c>
      <c r="S89" s="566">
        <f t="shared" si="48"/>
        <v>3.7240199912014367</v>
      </c>
      <c r="T89" s="566">
        <f t="shared" si="48"/>
        <v>3.7240199912014367</v>
      </c>
      <c r="U89" s="566">
        <f t="shared" si="48"/>
        <v>3.7240199912014367</v>
      </c>
      <c r="V89" s="566">
        <f t="shared" si="48"/>
        <v>3.7240199912014367</v>
      </c>
      <c r="W89" s="566">
        <f t="shared" si="48"/>
        <v>3.7240199912014367</v>
      </c>
      <c r="X89" s="566">
        <f t="shared" si="48"/>
        <v>3.7240199912014367</v>
      </c>
      <c r="Y89" s="566">
        <f t="shared" si="48"/>
        <v>3.7240199912014367</v>
      </c>
      <c r="Z89" s="566">
        <f t="shared" si="48"/>
        <v>3.7240199912014367</v>
      </c>
      <c r="AA89" s="566">
        <f t="shared" si="48"/>
        <v>3.7240199912014367</v>
      </c>
      <c r="AB89" s="566">
        <f t="shared" si="48"/>
        <v>3.7240199912014367</v>
      </c>
      <c r="AC89" s="566">
        <f t="shared" si="48"/>
        <v>3.7240199912014367</v>
      </c>
      <c r="AD89" s="566">
        <f t="shared" si="48"/>
        <v>3.7240199912014367</v>
      </c>
      <c r="AE89" s="566">
        <f t="shared" si="48"/>
        <v>3.7240199912014367</v>
      </c>
      <c r="AF89" s="566">
        <f t="shared" si="48"/>
        <v>3.7240199912014367</v>
      </c>
      <c r="AG89" s="566">
        <f t="shared" si="48"/>
        <v>3.7240199912014367</v>
      </c>
      <c r="AH89" s="566">
        <f t="shared" si="48"/>
        <v>3.7240199912014367</v>
      </c>
      <c r="AI89" s="566">
        <f t="shared" si="48"/>
        <v>0</v>
      </c>
      <c r="AJ89" s="566">
        <f t="shared" si="48"/>
        <v>0</v>
      </c>
      <c r="AK89" s="566">
        <f t="shared" si="48"/>
        <v>0</v>
      </c>
      <c r="AL89" s="566">
        <f t="shared" si="48"/>
        <v>0</v>
      </c>
      <c r="AM89" s="566">
        <f t="shared" si="48"/>
        <v>0</v>
      </c>
      <c r="AN89" s="566">
        <f t="shared" si="48"/>
        <v>0</v>
      </c>
      <c r="AO89" s="566">
        <f t="shared" si="48"/>
        <v>0</v>
      </c>
      <c r="AP89" s="566">
        <f t="shared" si="48"/>
        <v>0</v>
      </c>
      <c r="AQ89" s="567">
        <f t="shared" si="48"/>
        <v>0</v>
      </c>
      <c r="AR89" s="406"/>
      <c r="AS89" s="406"/>
      <c r="AT89" s="406"/>
      <c r="AU89" s="406"/>
      <c r="AV89" s="406"/>
      <c r="AW89" s="406"/>
      <c r="AX89" s="406"/>
      <c r="AY89" s="406"/>
      <c r="AZ89" s="406"/>
      <c r="BA89" s="406"/>
      <c r="BB89" s="406"/>
      <c r="BC89" s="406"/>
      <c r="BD89" s="406"/>
      <c r="BE89" s="406"/>
      <c r="BF89" s="406"/>
      <c r="BG89" s="406"/>
      <c r="BH89" s="406"/>
      <c r="BI89" s="406"/>
      <c r="BJ89" s="406"/>
      <c r="BK89" s="406"/>
      <c r="BL89" s="406"/>
      <c r="BM89" s="406"/>
      <c r="BN89" s="406"/>
      <c r="BO89" s="406"/>
      <c r="BP89" s="406"/>
      <c r="BQ89" s="406"/>
      <c r="BR89" s="406"/>
      <c r="BS89" s="406"/>
      <c r="BT89" s="406"/>
      <c r="BU89" s="406"/>
      <c r="BV89" s="406"/>
      <c r="BW89" s="406"/>
      <c r="BX89" s="406"/>
      <c r="BY89" s="406"/>
      <c r="BZ89" s="406"/>
      <c r="CA89" s="406"/>
      <c r="CB89" s="406"/>
      <c r="CC89" s="406"/>
      <c r="CD89" s="406"/>
      <c r="CE89" s="406"/>
      <c r="CF89" s="406"/>
      <c r="CG89" s="406"/>
      <c r="CH89" s="406"/>
      <c r="CI89" s="406"/>
      <c r="CJ89" s="406"/>
      <c r="CK89" s="406"/>
      <c r="CL89" s="406"/>
      <c r="CM89" s="406"/>
      <c r="CN89" s="406"/>
      <c r="CO89" s="406"/>
      <c r="CP89" s="406"/>
      <c r="CQ89" s="406"/>
      <c r="CR89" s="406"/>
      <c r="CS89" s="406"/>
      <c r="CT89" s="406"/>
      <c r="CU89" s="406"/>
      <c r="CV89" s="406"/>
      <c r="CW89" s="406"/>
      <c r="CX89" s="406"/>
      <c r="CY89" s="406"/>
      <c r="CZ89" s="406"/>
      <c r="DA89" s="406"/>
      <c r="DB89" s="406"/>
      <c r="DC89" s="406"/>
      <c r="DD89" s="406"/>
      <c r="DE89" s="406"/>
      <c r="DF89" s="406"/>
      <c r="DG89" s="406"/>
      <c r="DH89" s="406"/>
      <c r="DI89" s="406"/>
      <c r="DJ89" s="406"/>
      <c r="DK89" s="406"/>
      <c r="DL89" s="406"/>
      <c r="DM89" s="406"/>
      <c r="DN89" s="406"/>
      <c r="DO89" s="406"/>
      <c r="DP89" s="406"/>
      <c r="DQ89" s="406"/>
      <c r="DR89" s="406"/>
      <c r="DS89" s="406"/>
      <c r="DT89" s="406"/>
      <c r="DU89" s="406"/>
      <c r="DV89" s="406"/>
      <c r="DW89" s="406"/>
      <c r="DX89" s="406"/>
      <c r="DY89" s="406"/>
      <c r="DZ89" s="406"/>
      <c r="EA89" s="406"/>
      <c r="EB89" s="406"/>
      <c r="EC89" s="406"/>
      <c r="ED89" s="406"/>
      <c r="EE89" s="406"/>
      <c r="EF89" s="406"/>
      <c r="EG89" s="406"/>
      <c r="EH89" s="406"/>
      <c r="EI89" s="406"/>
      <c r="EJ89" s="406"/>
      <c r="EK89" s="406"/>
      <c r="EL89" s="406"/>
      <c r="EM89" s="406"/>
      <c r="EN89" s="406"/>
      <c r="EO89" s="406"/>
      <c r="EP89" s="406"/>
      <c r="EQ89" s="406"/>
      <c r="ER89" s="406"/>
      <c r="ES89" s="406"/>
      <c r="ET89" s="406"/>
      <c r="EU89" s="406"/>
      <c r="EV89" s="406"/>
      <c r="EW89" s="406"/>
      <c r="EX89" s="406"/>
      <c r="EY89" s="406"/>
      <c r="EZ89" s="406"/>
      <c r="FA89" s="406"/>
      <c r="FB89" s="406"/>
      <c r="FC89" s="406"/>
      <c r="FD89" s="406"/>
      <c r="FE89" s="406"/>
      <c r="FF89" s="406"/>
      <c r="FG89" s="406"/>
      <c r="FH89" s="406"/>
      <c r="FI89" s="406"/>
      <c r="FJ89" s="406"/>
      <c r="FK89" s="406"/>
      <c r="FL89" s="406"/>
      <c r="FM89" s="406"/>
      <c r="FN89" s="406"/>
      <c r="FO89" s="406"/>
      <c r="FP89" s="406"/>
      <c r="FQ89" s="406"/>
      <c r="FR89" s="406"/>
      <c r="FS89" s="406"/>
      <c r="FT89" s="406"/>
      <c r="FU89" s="406"/>
      <c r="FV89" s="406"/>
      <c r="FW89" s="406"/>
      <c r="FX89" s="406"/>
      <c r="FY89" s="406"/>
      <c r="FZ89" s="406"/>
      <c r="GA89" s="406"/>
      <c r="GB89" s="406"/>
      <c r="GC89" s="406"/>
      <c r="GD89" s="406"/>
      <c r="GE89" s="406"/>
      <c r="GF89" s="406"/>
      <c r="GG89" s="406"/>
      <c r="GH89" s="406"/>
      <c r="GI89" s="406"/>
      <c r="GJ89" s="406"/>
      <c r="GK89" s="406"/>
      <c r="GL89" s="406"/>
    </row>
    <row r="90" spans="1:194" ht="20.100000000000001" customHeight="1">
      <c r="A90" s="92"/>
      <c r="B90" s="79"/>
      <c r="C90" s="79"/>
      <c r="D90" s="79"/>
      <c r="E90" s="79"/>
      <c r="F90" s="79"/>
      <c r="G90" s="79"/>
      <c r="H90" s="93"/>
      <c r="L90" s="406">
        <f t="shared" si="46"/>
        <v>23</v>
      </c>
      <c r="M90" s="532" t="str">
        <f t="shared" si="43"/>
        <v>from_grassland_to_settlements</v>
      </c>
      <c r="N90" s="530"/>
      <c r="O90" s="566">
        <f t="shared" si="45"/>
        <v>6.2465272160942567</v>
      </c>
      <c r="P90" s="566">
        <f t="shared" si="48"/>
        <v>6.2465272160942567</v>
      </c>
      <c r="Q90" s="566">
        <f t="shared" si="48"/>
        <v>6.2465272160942567</v>
      </c>
      <c r="R90" s="566">
        <f t="shared" si="48"/>
        <v>6.2465272160942567</v>
      </c>
      <c r="S90" s="566">
        <f t="shared" si="48"/>
        <v>6.2465272160942567</v>
      </c>
      <c r="T90" s="566">
        <f t="shared" si="48"/>
        <v>6.2465272160942567</v>
      </c>
      <c r="U90" s="566">
        <f t="shared" si="48"/>
        <v>6.2465272160942567</v>
      </c>
      <c r="V90" s="566">
        <f t="shared" si="48"/>
        <v>6.2465272160942567</v>
      </c>
      <c r="W90" s="566">
        <f t="shared" si="48"/>
        <v>6.2465272160942567</v>
      </c>
      <c r="X90" s="566">
        <f t="shared" si="48"/>
        <v>6.2465272160942567</v>
      </c>
      <c r="Y90" s="566">
        <f t="shared" si="48"/>
        <v>6.2465272160942567</v>
      </c>
      <c r="Z90" s="566">
        <f t="shared" si="48"/>
        <v>6.2465272160942567</v>
      </c>
      <c r="AA90" s="566">
        <f t="shared" si="48"/>
        <v>6.2465272160942567</v>
      </c>
      <c r="AB90" s="566">
        <f t="shared" si="48"/>
        <v>6.2465272160942567</v>
      </c>
      <c r="AC90" s="566">
        <f t="shared" si="48"/>
        <v>6.2465272160942567</v>
      </c>
      <c r="AD90" s="566">
        <f t="shared" si="48"/>
        <v>6.2465272160942567</v>
      </c>
      <c r="AE90" s="566">
        <f t="shared" si="48"/>
        <v>6.2465272160942567</v>
      </c>
      <c r="AF90" s="566">
        <f t="shared" si="48"/>
        <v>6.2465272160942567</v>
      </c>
      <c r="AG90" s="566">
        <f t="shared" si="48"/>
        <v>6.2465272160942567</v>
      </c>
      <c r="AH90" s="566">
        <f t="shared" si="48"/>
        <v>6.2465272160942567</v>
      </c>
      <c r="AI90" s="566">
        <f t="shared" si="48"/>
        <v>0</v>
      </c>
      <c r="AJ90" s="566">
        <f t="shared" si="48"/>
        <v>0</v>
      </c>
      <c r="AK90" s="566">
        <f t="shared" si="48"/>
        <v>0</v>
      </c>
      <c r="AL90" s="566">
        <f t="shared" si="48"/>
        <v>0</v>
      </c>
      <c r="AM90" s="566">
        <f t="shared" si="48"/>
        <v>0</v>
      </c>
      <c r="AN90" s="566">
        <f t="shared" si="48"/>
        <v>0</v>
      </c>
      <c r="AO90" s="566">
        <f t="shared" si="48"/>
        <v>0</v>
      </c>
      <c r="AP90" s="566">
        <f t="shared" si="48"/>
        <v>0</v>
      </c>
      <c r="AQ90" s="567">
        <f t="shared" si="48"/>
        <v>0</v>
      </c>
      <c r="AR90" s="406"/>
      <c r="AS90" s="406"/>
      <c r="AT90" s="406"/>
      <c r="AU90" s="406"/>
      <c r="AV90" s="406"/>
      <c r="AW90" s="406"/>
      <c r="AX90" s="406"/>
      <c r="AY90" s="406"/>
      <c r="AZ90" s="406"/>
      <c r="BA90" s="406"/>
      <c r="BB90" s="406"/>
      <c r="BC90" s="406"/>
      <c r="BD90" s="406"/>
      <c r="BE90" s="406"/>
      <c r="BF90" s="406"/>
      <c r="BG90" s="406"/>
      <c r="BH90" s="406"/>
      <c r="BI90" s="406"/>
      <c r="BJ90" s="406"/>
      <c r="BK90" s="406"/>
      <c r="BL90" s="406"/>
      <c r="BM90" s="406"/>
      <c r="BN90" s="406"/>
      <c r="BO90" s="406"/>
      <c r="BP90" s="406"/>
      <c r="BQ90" s="406"/>
      <c r="BR90" s="406"/>
      <c r="BS90" s="406"/>
      <c r="BT90" s="406"/>
      <c r="BU90" s="406"/>
      <c r="BV90" s="406"/>
      <c r="BW90" s="406"/>
      <c r="BX90" s="406"/>
      <c r="BY90" s="406"/>
      <c r="BZ90" s="406"/>
      <c r="CA90" s="406"/>
      <c r="CB90" s="406"/>
      <c r="CC90" s="406"/>
      <c r="CD90" s="406"/>
      <c r="CE90" s="406"/>
      <c r="CF90" s="406"/>
      <c r="CG90" s="406"/>
      <c r="CH90" s="406"/>
      <c r="CI90" s="406"/>
      <c r="CJ90" s="406"/>
      <c r="CK90" s="406"/>
      <c r="CL90" s="406"/>
      <c r="CM90" s="406"/>
      <c r="CN90" s="406"/>
      <c r="CO90" s="406"/>
      <c r="CP90" s="406"/>
      <c r="CQ90" s="406"/>
      <c r="CR90" s="406"/>
      <c r="CS90" s="406"/>
      <c r="CT90" s="406"/>
      <c r="CU90" s="406"/>
      <c r="CV90" s="406"/>
      <c r="CW90" s="406"/>
      <c r="CX90" s="406"/>
      <c r="CY90" s="406"/>
      <c r="CZ90" s="406"/>
      <c r="DA90" s="406"/>
      <c r="DB90" s="406"/>
      <c r="DC90" s="406"/>
      <c r="DD90" s="406"/>
      <c r="DE90" s="406"/>
      <c r="DF90" s="406"/>
      <c r="DG90" s="406"/>
      <c r="DH90" s="406"/>
      <c r="DI90" s="406"/>
      <c r="DJ90" s="406"/>
      <c r="DK90" s="406"/>
      <c r="DL90" s="406"/>
      <c r="DM90" s="406"/>
      <c r="DN90" s="406"/>
      <c r="DO90" s="406"/>
      <c r="DP90" s="406"/>
      <c r="DQ90" s="406"/>
      <c r="DR90" s="406"/>
      <c r="DS90" s="406"/>
      <c r="DT90" s="406"/>
      <c r="DU90" s="406"/>
      <c r="DV90" s="406"/>
      <c r="DW90" s="406"/>
      <c r="DX90" s="406"/>
      <c r="DY90" s="406"/>
      <c r="DZ90" s="406"/>
      <c r="EA90" s="406"/>
      <c r="EB90" s="406"/>
      <c r="EC90" s="406"/>
      <c r="ED90" s="406"/>
      <c r="EE90" s="406"/>
      <c r="EF90" s="406"/>
      <c r="EG90" s="406"/>
      <c r="EH90" s="406"/>
      <c r="EI90" s="406"/>
      <c r="EJ90" s="406"/>
      <c r="EK90" s="406"/>
      <c r="EL90" s="406"/>
      <c r="EM90" s="406"/>
      <c r="EN90" s="406"/>
      <c r="EO90" s="406"/>
      <c r="EP90" s="406"/>
      <c r="EQ90" s="406"/>
      <c r="ER90" s="406"/>
      <c r="ES90" s="406"/>
      <c r="ET90" s="406"/>
      <c r="EU90" s="406"/>
      <c r="EV90" s="406"/>
      <c r="EW90" s="406"/>
      <c r="EX90" s="406"/>
      <c r="EY90" s="406"/>
      <c r="EZ90" s="406"/>
      <c r="FA90" s="406"/>
      <c r="FB90" s="406"/>
      <c r="FC90" s="406"/>
      <c r="FD90" s="406"/>
      <c r="FE90" s="406"/>
      <c r="FF90" s="406"/>
      <c r="FG90" s="406"/>
      <c r="FH90" s="406"/>
      <c r="FI90" s="406"/>
      <c r="FJ90" s="406"/>
      <c r="FK90" s="406"/>
      <c r="FL90" s="406"/>
      <c r="FM90" s="406"/>
      <c r="FN90" s="406"/>
      <c r="FO90" s="406"/>
      <c r="FP90" s="406"/>
      <c r="FQ90" s="406"/>
      <c r="FR90" s="406"/>
      <c r="FS90" s="406"/>
      <c r="FT90" s="406"/>
      <c r="FU90" s="406"/>
      <c r="FV90" s="406"/>
      <c r="FW90" s="406"/>
      <c r="FX90" s="406"/>
      <c r="FY90" s="406"/>
      <c r="FZ90" s="406"/>
      <c r="GA90" s="406"/>
      <c r="GB90" s="406"/>
      <c r="GC90" s="406"/>
      <c r="GD90" s="406"/>
      <c r="GE90" s="406"/>
      <c r="GF90" s="406"/>
      <c r="GG90" s="406"/>
      <c r="GH90" s="406"/>
      <c r="GI90" s="406"/>
      <c r="GJ90" s="406"/>
      <c r="GK90" s="406"/>
      <c r="GL90" s="406"/>
    </row>
    <row r="91" spans="1:194" ht="20.100000000000001" customHeight="1">
      <c r="A91" s="92"/>
      <c r="B91" s="79"/>
      <c r="C91" s="79"/>
      <c r="D91" s="79"/>
      <c r="E91" s="79"/>
      <c r="F91" s="79"/>
      <c r="G91" s="79"/>
      <c r="H91" s="93"/>
      <c r="L91" s="406">
        <f t="shared" si="46"/>
        <v>24</v>
      </c>
      <c r="M91" s="532" t="str">
        <f t="shared" si="43"/>
        <v>from_wetland_to_settlements</v>
      </c>
      <c r="N91" s="530"/>
      <c r="O91" s="566">
        <f t="shared" si="45"/>
        <v>0</v>
      </c>
      <c r="P91" s="566">
        <f t="shared" si="48"/>
        <v>0</v>
      </c>
      <c r="Q91" s="566">
        <f t="shared" si="48"/>
        <v>0</v>
      </c>
      <c r="R91" s="566">
        <f t="shared" si="48"/>
        <v>0</v>
      </c>
      <c r="S91" s="566">
        <f t="shared" si="48"/>
        <v>0</v>
      </c>
      <c r="T91" s="566">
        <f t="shared" si="48"/>
        <v>0</v>
      </c>
      <c r="U91" s="566">
        <f t="shared" si="48"/>
        <v>0</v>
      </c>
      <c r="V91" s="566">
        <f t="shared" si="48"/>
        <v>0</v>
      </c>
      <c r="W91" s="566">
        <f t="shared" si="48"/>
        <v>0</v>
      </c>
      <c r="X91" s="566">
        <f t="shared" si="48"/>
        <v>0</v>
      </c>
      <c r="Y91" s="566">
        <f t="shared" si="48"/>
        <v>0</v>
      </c>
      <c r="Z91" s="566">
        <f t="shared" si="48"/>
        <v>0</v>
      </c>
      <c r="AA91" s="566">
        <f t="shared" si="48"/>
        <v>0</v>
      </c>
      <c r="AB91" s="566">
        <f t="shared" si="48"/>
        <v>0</v>
      </c>
      <c r="AC91" s="566">
        <f t="shared" si="48"/>
        <v>0</v>
      </c>
      <c r="AD91" s="566">
        <f t="shared" si="48"/>
        <v>0</v>
      </c>
      <c r="AE91" s="566">
        <f t="shared" si="48"/>
        <v>0</v>
      </c>
      <c r="AF91" s="566">
        <f t="shared" si="48"/>
        <v>0</v>
      </c>
      <c r="AG91" s="566">
        <f t="shared" si="48"/>
        <v>0</v>
      </c>
      <c r="AH91" s="566">
        <f t="shared" si="48"/>
        <v>0</v>
      </c>
      <c r="AI91" s="566">
        <f t="shared" si="48"/>
        <v>0</v>
      </c>
      <c r="AJ91" s="566">
        <f t="shared" si="48"/>
        <v>0</v>
      </c>
      <c r="AK91" s="566">
        <f t="shared" si="48"/>
        <v>0</v>
      </c>
      <c r="AL91" s="566">
        <f t="shared" si="48"/>
        <v>0</v>
      </c>
      <c r="AM91" s="566">
        <f t="shared" si="48"/>
        <v>0</v>
      </c>
      <c r="AN91" s="566">
        <f t="shared" si="48"/>
        <v>0</v>
      </c>
      <c r="AO91" s="566">
        <f t="shared" si="48"/>
        <v>0</v>
      </c>
      <c r="AP91" s="566">
        <f t="shared" si="48"/>
        <v>0</v>
      </c>
      <c r="AQ91" s="567">
        <f t="shared" si="48"/>
        <v>0</v>
      </c>
      <c r="AR91" s="406"/>
      <c r="AS91" s="406"/>
      <c r="AT91" s="406"/>
      <c r="AU91" s="406"/>
      <c r="AV91" s="406"/>
      <c r="AW91" s="406"/>
      <c r="AX91" s="406"/>
      <c r="AY91" s="406"/>
      <c r="AZ91" s="406"/>
      <c r="BA91" s="406"/>
      <c r="BB91" s="406"/>
      <c r="BC91" s="406"/>
      <c r="BD91" s="406"/>
      <c r="BE91" s="406"/>
      <c r="BF91" s="406"/>
      <c r="BG91" s="406"/>
      <c r="BH91" s="406"/>
      <c r="BI91" s="406"/>
      <c r="BJ91" s="406"/>
      <c r="BK91" s="406"/>
      <c r="BL91" s="406"/>
      <c r="BM91" s="406"/>
      <c r="BN91" s="406"/>
      <c r="BO91" s="406"/>
      <c r="BP91" s="406"/>
      <c r="BQ91" s="406"/>
      <c r="BR91" s="406"/>
      <c r="BS91" s="406"/>
      <c r="BT91" s="406"/>
      <c r="BU91" s="406"/>
      <c r="BV91" s="406"/>
      <c r="BW91" s="406"/>
      <c r="BX91" s="406"/>
      <c r="BY91" s="406"/>
      <c r="BZ91" s="406"/>
      <c r="CA91" s="406"/>
      <c r="CB91" s="406"/>
      <c r="CC91" s="406"/>
      <c r="CD91" s="406"/>
      <c r="CE91" s="406"/>
      <c r="CF91" s="406"/>
      <c r="CG91" s="406"/>
      <c r="CH91" s="406"/>
      <c r="CI91" s="406"/>
      <c r="CJ91" s="406"/>
      <c r="CK91" s="406"/>
      <c r="CL91" s="406"/>
      <c r="CM91" s="406"/>
      <c r="CN91" s="406"/>
      <c r="CO91" s="406"/>
      <c r="CP91" s="406"/>
      <c r="CQ91" s="406"/>
      <c r="CR91" s="406"/>
      <c r="CS91" s="406"/>
      <c r="CT91" s="406"/>
      <c r="CU91" s="406"/>
      <c r="CV91" s="406"/>
      <c r="CW91" s="406"/>
      <c r="CX91" s="406"/>
      <c r="CY91" s="406"/>
      <c r="CZ91" s="406"/>
      <c r="DA91" s="406"/>
      <c r="DB91" s="406"/>
      <c r="DC91" s="406"/>
      <c r="DD91" s="406"/>
      <c r="DE91" s="406"/>
      <c r="DF91" s="406"/>
      <c r="DG91" s="406"/>
      <c r="DH91" s="406"/>
      <c r="DI91" s="406"/>
      <c r="DJ91" s="406"/>
      <c r="DK91" s="406"/>
      <c r="DL91" s="406"/>
      <c r="DM91" s="406"/>
      <c r="DN91" s="406"/>
      <c r="DO91" s="406"/>
      <c r="DP91" s="406"/>
      <c r="DQ91" s="406"/>
      <c r="DR91" s="406"/>
      <c r="DS91" s="406"/>
      <c r="DT91" s="406"/>
      <c r="DU91" s="406"/>
      <c r="DV91" s="406"/>
      <c r="DW91" s="406"/>
      <c r="DX91" s="406"/>
      <c r="DY91" s="406"/>
      <c r="DZ91" s="406"/>
      <c r="EA91" s="406"/>
      <c r="EB91" s="406"/>
      <c r="EC91" s="406"/>
      <c r="ED91" s="406"/>
      <c r="EE91" s="406"/>
      <c r="EF91" s="406"/>
      <c r="EG91" s="406"/>
      <c r="EH91" s="406"/>
      <c r="EI91" s="406"/>
      <c r="EJ91" s="406"/>
      <c r="EK91" s="406"/>
      <c r="EL91" s="406"/>
      <c r="EM91" s="406"/>
      <c r="EN91" s="406"/>
      <c r="EO91" s="406"/>
      <c r="EP91" s="406"/>
      <c r="EQ91" s="406"/>
      <c r="ER91" s="406"/>
      <c r="ES91" s="406"/>
      <c r="ET91" s="406"/>
      <c r="EU91" s="406"/>
      <c r="EV91" s="406"/>
      <c r="EW91" s="406"/>
      <c r="EX91" s="406"/>
      <c r="EY91" s="406"/>
      <c r="EZ91" s="406"/>
      <c r="FA91" s="406"/>
      <c r="FB91" s="406"/>
      <c r="FC91" s="406"/>
      <c r="FD91" s="406"/>
      <c r="FE91" s="406"/>
      <c r="FF91" s="406"/>
      <c r="FG91" s="406"/>
      <c r="FH91" s="406"/>
      <c r="FI91" s="406"/>
      <c r="FJ91" s="406"/>
      <c r="FK91" s="406"/>
      <c r="FL91" s="406"/>
      <c r="FM91" s="406"/>
      <c r="FN91" s="406"/>
      <c r="FO91" s="406"/>
      <c r="FP91" s="406"/>
      <c r="FQ91" s="406"/>
      <c r="FR91" s="406"/>
      <c r="FS91" s="406"/>
      <c r="FT91" s="406"/>
      <c r="FU91" s="406"/>
      <c r="FV91" s="406"/>
      <c r="FW91" s="406"/>
      <c r="FX91" s="406"/>
      <c r="FY91" s="406"/>
      <c r="FZ91" s="406"/>
      <c r="GA91" s="406"/>
      <c r="GB91" s="406"/>
      <c r="GC91" s="406"/>
      <c r="GD91" s="406"/>
      <c r="GE91" s="406"/>
      <c r="GF91" s="406"/>
      <c r="GG91" s="406"/>
      <c r="GH91" s="406"/>
      <c r="GI91" s="406"/>
      <c r="GJ91" s="406"/>
      <c r="GK91" s="406"/>
      <c r="GL91" s="406"/>
    </row>
    <row r="92" spans="1:194" ht="20.100000000000001" customHeight="1" thickBot="1">
      <c r="A92" s="92"/>
      <c r="B92" s="79"/>
      <c r="C92" s="79"/>
      <c r="D92" s="79"/>
      <c r="E92" s="79"/>
      <c r="F92" s="79"/>
      <c r="G92" s="79"/>
      <c r="H92" s="93"/>
      <c r="L92" s="406">
        <f t="shared" si="46"/>
        <v>25</v>
      </c>
      <c r="M92" s="533" t="str">
        <f t="shared" si="43"/>
        <v>from_other_land_to_settlements</v>
      </c>
      <c r="N92" s="534"/>
      <c r="O92" s="568">
        <f t="shared" si="45"/>
        <v>6.0627476064897872</v>
      </c>
      <c r="P92" s="568">
        <f t="shared" si="48"/>
        <v>6.0627476064897872</v>
      </c>
      <c r="Q92" s="568">
        <f t="shared" si="48"/>
        <v>6.0627476064897872</v>
      </c>
      <c r="R92" s="568">
        <f t="shared" si="48"/>
        <v>6.0627476064897872</v>
      </c>
      <c r="S92" s="568">
        <f t="shared" si="48"/>
        <v>6.0627476064897872</v>
      </c>
      <c r="T92" s="568">
        <f t="shared" si="48"/>
        <v>6.0627476064897872</v>
      </c>
      <c r="U92" s="568">
        <f t="shared" si="48"/>
        <v>6.0627476064897872</v>
      </c>
      <c r="V92" s="568">
        <f t="shared" si="48"/>
        <v>6.0627476064897872</v>
      </c>
      <c r="W92" s="568">
        <f t="shared" si="48"/>
        <v>6.0627476064897872</v>
      </c>
      <c r="X92" s="568">
        <f t="shared" si="48"/>
        <v>6.0627476064897872</v>
      </c>
      <c r="Y92" s="568">
        <f t="shared" si="48"/>
        <v>6.0627476064897872</v>
      </c>
      <c r="Z92" s="568">
        <f t="shared" si="48"/>
        <v>6.0627476064897872</v>
      </c>
      <c r="AA92" s="568">
        <f t="shared" si="48"/>
        <v>6.0627476064897872</v>
      </c>
      <c r="AB92" s="568">
        <f t="shared" si="48"/>
        <v>6.0627476064897872</v>
      </c>
      <c r="AC92" s="568">
        <f t="shared" si="48"/>
        <v>6.0627476064897872</v>
      </c>
      <c r="AD92" s="568">
        <f t="shared" si="48"/>
        <v>6.0627476064897872</v>
      </c>
      <c r="AE92" s="568">
        <f t="shared" si="48"/>
        <v>6.0627476064897872</v>
      </c>
      <c r="AF92" s="568">
        <f t="shared" si="48"/>
        <v>6.0627476064897872</v>
      </c>
      <c r="AG92" s="568">
        <f t="shared" si="48"/>
        <v>6.0627476064897872</v>
      </c>
      <c r="AH92" s="568">
        <f t="shared" si="48"/>
        <v>6.0627476064897872</v>
      </c>
      <c r="AI92" s="568">
        <f t="shared" si="48"/>
        <v>0</v>
      </c>
      <c r="AJ92" s="568">
        <f t="shared" si="48"/>
        <v>0</v>
      </c>
      <c r="AK92" s="568">
        <f t="shared" si="48"/>
        <v>0</v>
      </c>
      <c r="AL92" s="568">
        <f t="shared" si="48"/>
        <v>0</v>
      </c>
      <c r="AM92" s="568">
        <f t="shared" si="48"/>
        <v>0</v>
      </c>
      <c r="AN92" s="568">
        <f t="shared" si="48"/>
        <v>0</v>
      </c>
      <c r="AO92" s="568">
        <f t="shared" si="48"/>
        <v>0</v>
      </c>
      <c r="AP92" s="568">
        <f t="shared" si="48"/>
        <v>0</v>
      </c>
      <c r="AQ92" s="569">
        <f t="shared" si="48"/>
        <v>0</v>
      </c>
      <c r="AR92" s="406"/>
      <c r="AS92" s="406"/>
      <c r="AT92" s="406"/>
      <c r="AU92" s="406"/>
      <c r="AV92" s="406"/>
      <c r="AW92" s="406"/>
      <c r="AX92" s="406"/>
      <c r="AY92" s="406"/>
      <c r="AZ92" s="406"/>
      <c r="BA92" s="406"/>
      <c r="BB92" s="406"/>
      <c r="BC92" s="406"/>
      <c r="BD92" s="406"/>
      <c r="BE92" s="406"/>
      <c r="BF92" s="406"/>
      <c r="BG92" s="406"/>
      <c r="BH92" s="406"/>
      <c r="BI92" s="406"/>
      <c r="BJ92" s="406"/>
      <c r="BK92" s="406"/>
      <c r="BL92" s="406"/>
      <c r="BM92" s="406"/>
      <c r="BN92" s="406"/>
      <c r="BO92" s="406"/>
      <c r="BP92" s="406"/>
      <c r="BQ92" s="406"/>
      <c r="BR92" s="406"/>
      <c r="BS92" s="406"/>
      <c r="BT92" s="406"/>
      <c r="BU92" s="406"/>
      <c r="BV92" s="406"/>
      <c r="BW92" s="406"/>
      <c r="BX92" s="406"/>
      <c r="BY92" s="406"/>
      <c r="BZ92" s="406"/>
      <c r="CA92" s="406"/>
      <c r="CB92" s="406"/>
      <c r="CC92" s="406"/>
      <c r="CD92" s="406"/>
      <c r="CE92" s="406"/>
      <c r="CF92" s="406"/>
      <c r="CG92" s="406"/>
      <c r="CH92" s="406"/>
      <c r="CI92" s="406"/>
      <c r="CJ92" s="406"/>
      <c r="CK92" s="406"/>
      <c r="CL92" s="406"/>
      <c r="CM92" s="406"/>
      <c r="CN92" s="406"/>
      <c r="CO92" s="406"/>
      <c r="CP92" s="406"/>
      <c r="CQ92" s="406"/>
      <c r="CR92" s="406"/>
      <c r="CS92" s="406"/>
      <c r="CT92" s="406"/>
      <c r="CU92" s="406"/>
      <c r="CV92" s="406"/>
      <c r="CW92" s="406"/>
      <c r="CX92" s="406"/>
      <c r="CY92" s="406"/>
      <c r="CZ92" s="406"/>
      <c r="DA92" s="406"/>
      <c r="DB92" s="406"/>
      <c r="DC92" s="406"/>
      <c r="DD92" s="406"/>
      <c r="DE92" s="406"/>
      <c r="DF92" s="406"/>
      <c r="DG92" s="406"/>
      <c r="DH92" s="406"/>
      <c r="DI92" s="406"/>
      <c r="DJ92" s="406"/>
      <c r="DK92" s="406"/>
      <c r="DL92" s="406"/>
      <c r="DM92" s="406"/>
      <c r="DN92" s="406"/>
      <c r="DO92" s="406"/>
      <c r="DP92" s="406"/>
      <c r="DQ92" s="406"/>
      <c r="DR92" s="406"/>
      <c r="DS92" s="406"/>
      <c r="DT92" s="406"/>
      <c r="DU92" s="406"/>
      <c r="DV92" s="406"/>
      <c r="DW92" s="406"/>
      <c r="DX92" s="406"/>
      <c r="DY92" s="406"/>
      <c r="DZ92" s="406"/>
      <c r="EA92" s="406"/>
      <c r="EB92" s="406"/>
      <c r="EC92" s="406"/>
      <c r="ED92" s="406"/>
      <c r="EE92" s="406"/>
      <c r="EF92" s="406"/>
      <c r="EG92" s="406"/>
      <c r="EH92" s="406"/>
      <c r="EI92" s="406"/>
      <c r="EJ92" s="406"/>
      <c r="EK92" s="406"/>
      <c r="EL92" s="406"/>
      <c r="EM92" s="406"/>
      <c r="EN92" s="406"/>
      <c r="EO92" s="406"/>
      <c r="EP92" s="406"/>
      <c r="EQ92" s="406"/>
      <c r="ER92" s="406"/>
      <c r="ES92" s="406"/>
      <c r="ET92" s="406"/>
      <c r="EU92" s="406"/>
      <c r="EV92" s="406"/>
      <c r="EW92" s="406"/>
      <c r="EX92" s="406"/>
      <c r="EY92" s="406"/>
      <c r="EZ92" s="406"/>
      <c r="FA92" s="406"/>
      <c r="FB92" s="406"/>
      <c r="FC92" s="406"/>
      <c r="FD92" s="406"/>
      <c r="FE92" s="406"/>
      <c r="FF92" s="406"/>
      <c r="FG92" s="406"/>
      <c r="FH92" s="406"/>
      <c r="FI92" s="406"/>
      <c r="FJ92" s="406"/>
      <c r="FK92" s="406"/>
      <c r="FL92" s="406"/>
      <c r="FM92" s="406"/>
      <c r="FN92" s="406"/>
      <c r="FO92" s="406"/>
      <c r="FP92" s="406"/>
      <c r="FQ92" s="406"/>
      <c r="FR92" s="406"/>
      <c r="FS92" s="406"/>
      <c r="FT92" s="406"/>
      <c r="FU92" s="406"/>
      <c r="FV92" s="406"/>
      <c r="FW92" s="406"/>
      <c r="FX92" s="406"/>
      <c r="FY92" s="406"/>
      <c r="FZ92" s="406"/>
      <c r="GA92" s="406"/>
      <c r="GB92" s="406"/>
      <c r="GC92" s="406"/>
      <c r="GD92" s="406"/>
      <c r="GE92" s="406"/>
      <c r="GF92" s="406"/>
      <c r="GG92" s="406"/>
      <c r="GH92" s="406"/>
      <c r="GI92" s="406"/>
      <c r="GJ92" s="406"/>
      <c r="GK92" s="406"/>
      <c r="GL92" s="406"/>
    </row>
    <row r="93" spans="1:194" ht="20.100000000000001" customHeight="1">
      <c r="A93" s="92"/>
      <c r="B93" s="79"/>
      <c r="C93" s="79"/>
      <c r="D93" s="79"/>
      <c r="E93" s="79"/>
      <c r="F93" s="79"/>
      <c r="G93" s="79"/>
      <c r="H93" s="93"/>
      <c r="L93" s="406">
        <f t="shared" si="46"/>
        <v>26</v>
      </c>
      <c r="M93" s="531" t="str">
        <f t="shared" si="43"/>
        <v>from_forestland_to_other_land</v>
      </c>
      <c r="N93" s="575"/>
      <c r="O93" s="576">
        <f t="shared" si="45"/>
        <v>742.2249163310961</v>
      </c>
      <c r="P93" s="576">
        <f t="shared" si="48"/>
        <v>6.3982496644295175</v>
      </c>
      <c r="Q93" s="576">
        <f t="shared" si="48"/>
        <v>6.3982496644295175</v>
      </c>
      <c r="R93" s="576">
        <f t="shared" si="48"/>
        <v>6.3982496644295175</v>
      </c>
      <c r="S93" s="576">
        <f t="shared" si="48"/>
        <v>6.3982496644295175</v>
      </c>
      <c r="T93" s="576">
        <f t="shared" si="48"/>
        <v>6.3982496644295175</v>
      </c>
      <c r="U93" s="576">
        <f t="shared" si="48"/>
        <v>6.3982496644295175</v>
      </c>
      <c r="V93" s="576">
        <f t="shared" si="48"/>
        <v>6.3982496644295175</v>
      </c>
      <c r="W93" s="576">
        <f t="shared" si="48"/>
        <v>6.3982496644295175</v>
      </c>
      <c r="X93" s="576">
        <f t="shared" si="48"/>
        <v>6.3982496644295175</v>
      </c>
      <c r="Y93" s="576">
        <f t="shared" si="48"/>
        <v>6.3982496644295175</v>
      </c>
      <c r="Z93" s="576">
        <f t="shared" si="48"/>
        <v>6.3982496644295175</v>
      </c>
      <c r="AA93" s="576">
        <f t="shared" si="48"/>
        <v>6.3982496644295175</v>
      </c>
      <c r="AB93" s="576">
        <f t="shared" si="48"/>
        <v>6.3982496644295175</v>
      </c>
      <c r="AC93" s="576">
        <f t="shared" si="48"/>
        <v>6.3982496644295175</v>
      </c>
      <c r="AD93" s="576">
        <f t="shared" si="48"/>
        <v>6.3982496644295175</v>
      </c>
      <c r="AE93" s="576">
        <f t="shared" si="48"/>
        <v>6.3982496644295175</v>
      </c>
      <c r="AF93" s="576">
        <f t="shared" si="48"/>
        <v>6.3982496644295175</v>
      </c>
      <c r="AG93" s="576">
        <f t="shared" si="48"/>
        <v>6.3982496644295175</v>
      </c>
      <c r="AH93" s="576">
        <f t="shared" si="48"/>
        <v>6.3982496644295175</v>
      </c>
      <c r="AI93" s="576">
        <f t="shared" si="48"/>
        <v>0</v>
      </c>
      <c r="AJ93" s="576">
        <f t="shared" si="48"/>
        <v>0</v>
      </c>
      <c r="AK93" s="576">
        <f t="shared" si="48"/>
        <v>0</v>
      </c>
      <c r="AL93" s="576">
        <f t="shared" si="48"/>
        <v>0</v>
      </c>
      <c r="AM93" s="576">
        <f t="shared" si="48"/>
        <v>0</v>
      </c>
      <c r="AN93" s="576">
        <f t="shared" si="48"/>
        <v>0</v>
      </c>
      <c r="AO93" s="576">
        <f t="shared" si="48"/>
        <v>0</v>
      </c>
      <c r="AP93" s="576">
        <f t="shared" si="48"/>
        <v>0</v>
      </c>
      <c r="AQ93" s="577">
        <f t="shared" si="48"/>
        <v>0</v>
      </c>
      <c r="AR93" s="406"/>
      <c r="AS93" s="406"/>
      <c r="AT93" s="406"/>
      <c r="AU93" s="406"/>
      <c r="AV93" s="406"/>
      <c r="AW93" s="406"/>
      <c r="AX93" s="406"/>
      <c r="AY93" s="406"/>
      <c r="AZ93" s="406"/>
      <c r="BA93" s="406"/>
      <c r="BB93" s="406"/>
      <c r="BC93" s="406"/>
      <c r="BD93" s="406"/>
      <c r="BE93" s="406"/>
      <c r="BF93" s="406"/>
      <c r="BG93" s="406"/>
      <c r="BH93" s="406"/>
      <c r="BI93" s="406"/>
      <c r="BJ93" s="406"/>
      <c r="BK93" s="406"/>
      <c r="BL93" s="406"/>
      <c r="BM93" s="406"/>
      <c r="BN93" s="406"/>
      <c r="BO93" s="406"/>
      <c r="BP93" s="406"/>
      <c r="BQ93" s="406"/>
      <c r="BR93" s="406"/>
      <c r="BS93" s="406"/>
      <c r="BT93" s="406"/>
      <c r="BU93" s="406"/>
      <c r="BV93" s="406"/>
      <c r="BW93" s="406"/>
      <c r="BX93" s="406"/>
      <c r="BY93" s="406"/>
      <c r="BZ93" s="406"/>
      <c r="CA93" s="406"/>
      <c r="CB93" s="406"/>
      <c r="CC93" s="406"/>
      <c r="CD93" s="406"/>
      <c r="CE93" s="406"/>
      <c r="CF93" s="406"/>
      <c r="CG93" s="406"/>
      <c r="CH93" s="406"/>
      <c r="CI93" s="406"/>
      <c r="CJ93" s="406"/>
      <c r="CK93" s="406"/>
      <c r="CL93" s="406"/>
      <c r="CM93" s="406"/>
      <c r="CN93" s="406"/>
      <c r="CO93" s="406"/>
      <c r="CP93" s="406"/>
      <c r="CQ93" s="406"/>
      <c r="CR93" s="406"/>
      <c r="CS93" s="406"/>
      <c r="CT93" s="406"/>
      <c r="CU93" s="406"/>
      <c r="CV93" s="406"/>
      <c r="CW93" s="406"/>
      <c r="CX93" s="406"/>
      <c r="CY93" s="406"/>
      <c r="CZ93" s="406"/>
      <c r="DA93" s="406"/>
      <c r="DB93" s="406"/>
      <c r="DC93" s="406"/>
      <c r="DD93" s="406"/>
      <c r="DE93" s="406"/>
      <c r="DF93" s="406"/>
      <c r="DG93" s="406"/>
      <c r="DH93" s="406"/>
      <c r="DI93" s="406"/>
      <c r="DJ93" s="406"/>
      <c r="DK93" s="406"/>
      <c r="DL93" s="406"/>
      <c r="DM93" s="406"/>
      <c r="DN93" s="406"/>
      <c r="DO93" s="406"/>
      <c r="DP93" s="406"/>
      <c r="DQ93" s="406"/>
      <c r="DR93" s="406"/>
      <c r="DS93" s="406"/>
      <c r="DT93" s="406"/>
      <c r="DU93" s="406"/>
      <c r="DV93" s="406"/>
      <c r="DW93" s="406"/>
      <c r="DX93" s="406"/>
      <c r="DY93" s="406"/>
      <c r="DZ93" s="406"/>
      <c r="EA93" s="406"/>
      <c r="EB93" s="406"/>
      <c r="EC93" s="406"/>
      <c r="ED93" s="406"/>
      <c r="EE93" s="406"/>
      <c r="EF93" s="406"/>
      <c r="EG93" s="406"/>
      <c r="EH93" s="406"/>
      <c r="EI93" s="406"/>
      <c r="EJ93" s="406"/>
      <c r="EK93" s="406"/>
      <c r="EL93" s="406"/>
      <c r="EM93" s="406"/>
      <c r="EN93" s="406"/>
      <c r="EO93" s="406"/>
      <c r="EP93" s="406"/>
      <c r="EQ93" s="406"/>
      <c r="ER93" s="406"/>
      <c r="ES93" s="406"/>
      <c r="ET93" s="406"/>
      <c r="EU93" s="406"/>
      <c r="EV93" s="406"/>
      <c r="EW93" s="406"/>
      <c r="EX93" s="406"/>
      <c r="EY93" s="406"/>
      <c r="EZ93" s="406"/>
      <c r="FA93" s="406"/>
      <c r="FB93" s="406"/>
      <c r="FC93" s="406"/>
      <c r="FD93" s="406"/>
      <c r="FE93" s="406"/>
      <c r="FF93" s="406"/>
      <c r="FG93" s="406"/>
      <c r="FH93" s="406"/>
      <c r="FI93" s="406"/>
      <c r="FJ93" s="406"/>
      <c r="FK93" s="406"/>
      <c r="FL93" s="406"/>
      <c r="FM93" s="406"/>
      <c r="FN93" s="406"/>
      <c r="FO93" s="406"/>
      <c r="FP93" s="406"/>
      <c r="FQ93" s="406"/>
      <c r="FR93" s="406"/>
      <c r="FS93" s="406"/>
      <c r="FT93" s="406"/>
      <c r="FU93" s="406"/>
      <c r="FV93" s="406"/>
      <c r="FW93" s="406"/>
      <c r="FX93" s="406"/>
      <c r="FY93" s="406"/>
      <c r="FZ93" s="406"/>
      <c r="GA93" s="406"/>
      <c r="GB93" s="406"/>
      <c r="GC93" s="406"/>
      <c r="GD93" s="406"/>
      <c r="GE93" s="406"/>
      <c r="GF93" s="406"/>
      <c r="GG93" s="406"/>
      <c r="GH93" s="406"/>
      <c r="GI93" s="406"/>
      <c r="GJ93" s="406"/>
      <c r="GK93" s="406"/>
      <c r="GL93" s="406"/>
    </row>
    <row r="94" spans="1:194" ht="20.100000000000001" customHeight="1" thickBot="1">
      <c r="A94" s="240"/>
      <c r="B94" s="241"/>
      <c r="C94" s="241"/>
      <c r="D94" s="241"/>
      <c r="E94" s="241"/>
      <c r="F94" s="241"/>
      <c r="G94" s="241"/>
      <c r="H94" s="242"/>
      <c r="L94" s="406">
        <f t="shared" si="46"/>
        <v>27</v>
      </c>
      <c r="M94" s="532" t="str">
        <f t="shared" si="43"/>
        <v>from_cropland_to_other_land</v>
      </c>
      <c r="N94" s="530"/>
      <c r="O94" s="566">
        <f t="shared" si="45"/>
        <v>0</v>
      </c>
      <c r="P94" s="566">
        <f t="shared" si="48"/>
        <v>0</v>
      </c>
      <c r="Q94" s="566">
        <f t="shared" si="48"/>
        <v>0</v>
      </c>
      <c r="R94" s="566">
        <f t="shared" si="48"/>
        <v>0</v>
      </c>
      <c r="S94" s="566">
        <f t="shared" si="48"/>
        <v>0</v>
      </c>
      <c r="T94" s="566">
        <f t="shared" si="48"/>
        <v>0</v>
      </c>
      <c r="U94" s="566">
        <f t="shared" si="48"/>
        <v>0</v>
      </c>
      <c r="V94" s="566">
        <f t="shared" si="48"/>
        <v>0</v>
      </c>
      <c r="W94" s="566">
        <f t="shared" si="48"/>
        <v>0</v>
      </c>
      <c r="X94" s="566">
        <f t="shared" si="48"/>
        <v>0</v>
      </c>
      <c r="Y94" s="566">
        <f t="shared" si="48"/>
        <v>0</v>
      </c>
      <c r="Z94" s="566">
        <f t="shared" si="48"/>
        <v>0</v>
      </c>
      <c r="AA94" s="566">
        <f t="shared" si="48"/>
        <v>0</v>
      </c>
      <c r="AB94" s="566">
        <f t="shared" si="48"/>
        <v>0</v>
      </c>
      <c r="AC94" s="566">
        <f t="shared" si="48"/>
        <v>0</v>
      </c>
      <c r="AD94" s="566">
        <f t="shared" si="48"/>
        <v>0</v>
      </c>
      <c r="AE94" s="566">
        <f t="shared" si="48"/>
        <v>0</v>
      </c>
      <c r="AF94" s="566">
        <f t="shared" si="48"/>
        <v>0</v>
      </c>
      <c r="AG94" s="566">
        <f t="shared" si="48"/>
        <v>0</v>
      </c>
      <c r="AH94" s="566">
        <f t="shared" si="48"/>
        <v>0</v>
      </c>
      <c r="AI94" s="566">
        <f t="shared" si="48"/>
        <v>0</v>
      </c>
      <c r="AJ94" s="566">
        <f t="shared" si="48"/>
        <v>0</v>
      </c>
      <c r="AK94" s="566">
        <f t="shared" si="48"/>
        <v>0</v>
      </c>
      <c r="AL94" s="566">
        <f t="shared" si="48"/>
        <v>0</v>
      </c>
      <c r="AM94" s="566">
        <f t="shared" si="48"/>
        <v>0</v>
      </c>
      <c r="AN94" s="566">
        <f t="shared" si="48"/>
        <v>0</v>
      </c>
      <c r="AO94" s="566">
        <f t="shared" si="48"/>
        <v>0</v>
      </c>
      <c r="AP94" s="566">
        <f t="shared" si="48"/>
        <v>0</v>
      </c>
      <c r="AQ94" s="567">
        <f t="shared" si="48"/>
        <v>0</v>
      </c>
      <c r="AR94" s="406"/>
      <c r="AS94" s="406"/>
      <c r="AT94" s="406"/>
      <c r="AU94" s="406"/>
      <c r="AV94" s="406"/>
      <c r="AW94" s="406"/>
      <c r="AX94" s="406"/>
      <c r="AY94" s="406"/>
      <c r="AZ94" s="406"/>
      <c r="BA94" s="406"/>
      <c r="BB94" s="406"/>
      <c r="BC94" s="406"/>
      <c r="BD94" s="406"/>
      <c r="BE94" s="406"/>
      <c r="BF94" s="406"/>
      <c r="BG94" s="406"/>
      <c r="BH94" s="406"/>
      <c r="BI94" s="406"/>
      <c r="BJ94" s="406"/>
      <c r="BK94" s="406"/>
      <c r="BL94" s="406"/>
      <c r="BM94" s="406"/>
      <c r="BN94" s="406"/>
      <c r="BO94" s="406"/>
      <c r="BP94" s="406"/>
      <c r="BQ94" s="406"/>
      <c r="BR94" s="406"/>
      <c r="BS94" s="406"/>
      <c r="BT94" s="406"/>
      <c r="BU94" s="406"/>
      <c r="BV94" s="406"/>
      <c r="BW94" s="406"/>
      <c r="BX94" s="406"/>
      <c r="BY94" s="406"/>
      <c r="BZ94" s="406"/>
      <c r="CA94" s="406"/>
      <c r="CB94" s="406"/>
      <c r="CC94" s="406"/>
      <c r="CD94" s="406"/>
      <c r="CE94" s="406"/>
      <c r="CF94" s="406"/>
      <c r="CG94" s="406"/>
      <c r="CH94" s="406"/>
      <c r="CI94" s="406"/>
      <c r="CJ94" s="406"/>
      <c r="CK94" s="406"/>
      <c r="CL94" s="406"/>
      <c r="CM94" s="406"/>
      <c r="CN94" s="406"/>
      <c r="CO94" s="406"/>
      <c r="CP94" s="406"/>
      <c r="CQ94" s="406"/>
      <c r="CR94" s="406"/>
      <c r="CS94" s="406"/>
      <c r="CT94" s="406"/>
      <c r="CU94" s="406"/>
      <c r="CV94" s="406"/>
      <c r="CW94" s="406"/>
      <c r="CX94" s="406"/>
      <c r="CY94" s="406"/>
      <c r="CZ94" s="406"/>
      <c r="DA94" s="406"/>
      <c r="DB94" s="406"/>
      <c r="DC94" s="406"/>
      <c r="DD94" s="406"/>
      <c r="DE94" s="406"/>
      <c r="DF94" s="406"/>
      <c r="DG94" s="406"/>
      <c r="DH94" s="406"/>
      <c r="DI94" s="406"/>
      <c r="DJ94" s="406"/>
      <c r="DK94" s="406"/>
      <c r="DL94" s="406"/>
      <c r="DM94" s="406"/>
      <c r="DN94" s="406"/>
      <c r="DO94" s="406"/>
      <c r="DP94" s="406"/>
      <c r="DQ94" s="406"/>
      <c r="DR94" s="406"/>
      <c r="DS94" s="406"/>
      <c r="DT94" s="406"/>
      <c r="DU94" s="406"/>
      <c r="DV94" s="406"/>
      <c r="DW94" s="406"/>
      <c r="DX94" s="406"/>
      <c r="DY94" s="406"/>
      <c r="DZ94" s="406"/>
      <c r="EA94" s="406"/>
      <c r="EB94" s="406"/>
      <c r="EC94" s="406"/>
      <c r="ED94" s="406"/>
      <c r="EE94" s="406"/>
      <c r="EF94" s="406"/>
      <c r="EG94" s="406"/>
      <c r="EH94" s="406"/>
      <c r="EI94" s="406"/>
      <c r="EJ94" s="406"/>
      <c r="EK94" s="406"/>
      <c r="EL94" s="406"/>
      <c r="EM94" s="406"/>
      <c r="EN94" s="406"/>
      <c r="EO94" s="406"/>
      <c r="EP94" s="406"/>
      <c r="EQ94" s="406"/>
      <c r="ER94" s="406"/>
      <c r="ES94" s="406"/>
      <c r="ET94" s="406"/>
      <c r="EU94" s="406"/>
      <c r="EV94" s="406"/>
      <c r="EW94" s="406"/>
      <c r="EX94" s="406"/>
      <c r="EY94" s="406"/>
      <c r="EZ94" s="406"/>
      <c r="FA94" s="406"/>
      <c r="FB94" s="406"/>
      <c r="FC94" s="406"/>
      <c r="FD94" s="406"/>
      <c r="FE94" s="406"/>
      <c r="FF94" s="406"/>
      <c r="FG94" s="406"/>
      <c r="FH94" s="406"/>
      <c r="FI94" s="406"/>
      <c r="FJ94" s="406"/>
      <c r="FK94" s="406"/>
      <c r="FL94" s="406"/>
      <c r="FM94" s="406"/>
      <c r="FN94" s="406"/>
      <c r="FO94" s="406"/>
      <c r="FP94" s="406"/>
      <c r="FQ94" s="406"/>
      <c r="FR94" s="406"/>
      <c r="FS94" s="406"/>
      <c r="FT94" s="406"/>
      <c r="FU94" s="406"/>
      <c r="FV94" s="406"/>
      <c r="FW94" s="406"/>
      <c r="FX94" s="406"/>
      <c r="FY94" s="406"/>
      <c r="FZ94" s="406"/>
      <c r="GA94" s="406"/>
      <c r="GB94" s="406"/>
      <c r="GC94" s="406"/>
      <c r="GD94" s="406"/>
      <c r="GE94" s="406"/>
      <c r="GF94" s="406"/>
      <c r="GG94" s="406"/>
      <c r="GH94" s="406"/>
      <c r="GI94" s="406"/>
      <c r="GJ94" s="406"/>
      <c r="GK94" s="406"/>
      <c r="GL94" s="406"/>
    </row>
    <row r="95" spans="1:194" ht="20.100000000000001" customHeight="1">
      <c r="L95" s="406">
        <f t="shared" si="46"/>
        <v>28</v>
      </c>
      <c r="M95" s="532" t="str">
        <f t="shared" si="43"/>
        <v>from_grassland_to_other_land</v>
      </c>
      <c r="N95" s="530"/>
      <c r="O95" s="566">
        <f t="shared" si="45"/>
        <v>0</v>
      </c>
      <c r="P95" s="566">
        <f t="shared" si="48"/>
        <v>0</v>
      </c>
      <c r="Q95" s="566">
        <f t="shared" si="48"/>
        <v>0</v>
      </c>
      <c r="R95" s="566">
        <f t="shared" si="48"/>
        <v>0</v>
      </c>
      <c r="S95" s="566">
        <f t="shared" si="48"/>
        <v>0</v>
      </c>
      <c r="T95" s="566">
        <f t="shared" si="48"/>
        <v>0</v>
      </c>
      <c r="U95" s="566">
        <f t="shared" si="48"/>
        <v>0</v>
      </c>
      <c r="V95" s="566">
        <f t="shared" si="48"/>
        <v>0</v>
      </c>
      <c r="W95" s="566">
        <f t="shared" si="48"/>
        <v>0</v>
      </c>
      <c r="X95" s="566">
        <f t="shared" si="48"/>
        <v>0</v>
      </c>
      <c r="Y95" s="566">
        <f t="shared" si="48"/>
        <v>0</v>
      </c>
      <c r="Z95" s="566">
        <f t="shared" si="48"/>
        <v>0</v>
      </c>
      <c r="AA95" s="566">
        <f t="shared" si="48"/>
        <v>0</v>
      </c>
      <c r="AB95" s="566">
        <f t="shared" si="48"/>
        <v>0</v>
      </c>
      <c r="AC95" s="566">
        <f t="shared" si="48"/>
        <v>0</v>
      </c>
      <c r="AD95" s="566">
        <f t="shared" si="48"/>
        <v>0</v>
      </c>
      <c r="AE95" s="566">
        <f t="shared" si="48"/>
        <v>0</v>
      </c>
      <c r="AF95" s="566">
        <f t="shared" si="48"/>
        <v>0</v>
      </c>
      <c r="AG95" s="566">
        <f t="shared" si="48"/>
        <v>0</v>
      </c>
      <c r="AH95" s="566">
        <f t="shared" si="48"/>
        <v>0</v>
      </c>
      <c r="AI95" s="566">
        <f t="shared" si="48"/>
        <v>0</v>
      </c>
      <c r="AJ95" s="566">
        <f t="shared" si="48"/>
        <v>0</v>
      </c>
      <c r="AK95" s="566">
        <f t="shared" si="48"/>
        <v>0</v>
      </c>
      <c r="AL95" s="566">
        <f t="shared" si="48"/>
        <v>0</v>
      </c>
      <c r="AM95" s="566">
        <f t="shared" si="48"/>
        <v>0</v>
      </c>
      <c r="AN95" s="566">
        <f t="shared" ref="P95:AQ97" si="49">IF($N61&gt;AN$67,0,INDEX($O$34:$AR$63,$L95,(AN$67-$N61+1)))</f>
        <v>0</v>
      </c>
      <c r="AO95" s="566">
        <f t="shared" si="49"/>
        <v>0</v>
      </c>
      <c r="AP95" s="566">
        <f t="shared" si="49"/>
        <v>0</v>
      </c>
      <c r="AQ95" s="567">
        <f t="shared" si="49"/>
        <v>0</v>
      </c>
      <c r="AR95" s="406"/>
      <c r="AS95" s="406"/>
      <c r="AT95" s="406"/>
      <c r="AU95" s="406"/>
      <c r="AV95" s="406"/>
      <c r="AW95" s="406"/>
      <c r="AX95" s="406"/>
      <c r="AY95" s="406"/>
      <c r="AZ95" s="406"/>
      <c r="BA95" s="406"/>
      <c r="BB95" s="406"/>
      <c r="BC95" s="406"/>
      <c r="BD95" s="406"/>
      <c r="BE95" s="406"/>
      <c r="BF95" s="406"/>
      <c r="BG95" s="406"/>
      <c r="BH95" s="406"/>
      <c r="BI95" s="406"/>
      <c r="BJ95" s="406"/>
      <c r="BK95" s="406"/>
      <c r="BL95" s="406"/>
      <c r="BM95" s="406"/>
      <c r="BN95" s="406"/>
      <c r="BO95" s="406"/>
      <c r="BP95" s="406"/>
      <c r="BQ95" s="406"/>
      <c r="BR95" s="406"/>
      <c r="BS95" s="406"/>
      <c r="BT95" s="406"/>
      <c r="BU95" s="406"/>
      <c r="BV95" s="406"/>
      <c r="BW95" s="406"/>
      <c r="BX95" s="406"/>
      <c r="BY95" s="406"/>
      <c r="BZ95" s="406"/>
      <c r="CA95" s="406"/>
      <c r="CB95" s="406"/>
      <c r="CC95" s="406"/>
      <c r="CD95" s="406"/>
      <c r="CE95" s="406"/>
      <c r="CF95" s="406"/>
      <c r="CG95" s="406"/>
      <c r="CH95" s="406"/>
      <c r="CI95" s="406"/>
      <c r="CJ95" s="406"/>
      <c r="CK95" s="406"/>
      <c r="CL95" s="406"/>
      <c r="CM95" s="406"/>
      <c r="CN95" s="406"/>
      <c r="CO95" s="406"/>
      <c r="CP95" s="406"/>
      <c r="CQ95" s="406"/>
      <c r="CR95" s="406"/>
      <c r="CS95" s="406"/>
      <c r="CT95" s="406"/>
      <c r="CU95" s="406"/>
      <c r="CV95" s="406"/>
      <c r="CW95" s="406"/>
      <c r="CX95" s="406"/>
      <c r="CY95" s="406"/>
      <c r="CZ95" s="406"/>
      <c r="DA95" s="406"/>
      <c r="DB95" s="406"/>
      <c r="DC95" s="406"/>
      <c r="DD95" s="406"/>
      <c r="DE95" s="406"/>
      <c r="DF95" s="406"/>
      <c r="DG95" s="406"/>
      <c r="DH95" s="406"/>
      <c r="DI95" s="406"/>
      <c r="DJ95" s="406"/>
      <c r="DK95" s="406"/>
      <c r="DL95" s="406"/>
      <c r="DM95" s="406"/>
      <c r="DN95" s="406"/>
      <c r="DO95" s="406"/>
      <c r="DP95" s="406"/>
      <c r="DQ95" s="406"/>
      <c r="DR95" s="406"/>
      <c r="DS95" s="406"/>
      <c r="DT95" s="406"/>
      <c r="DU95" s="406"/>
      <c r="DV95" s="406"/>
      <c r="DW95" s="406"/>
      <c r="DX95" s="406"/>
      <c r="DY95" s="406"/>
      <c r="DZ95" s="406"/>
      <c r="EA95" s="406"/>
      <c r="EB95" s="406"/>
      <c r="EC95" s="406"/>
      <c r="ED95" s="406"/>
      <c r="EE95" s="406"/>
      <c r="EF95" s="406"/>
      <c r="EG95" s="406"/>
      <c r="EH95" s="406"/>
      <c r="EI95" s="406"/>
      <c r="EJ95" s="406"/>
      <c r="EK95" s="406"/>
      <c r="EL95" s="406"/>
      <c r="EM95" s="406"/>
      <c r="EN95" s="406"/>
      <c r="EO95" s="406"/>
      <c r="EP95" s="406"/>
      <c r="EQ95" s="406"/>
      <c r="ER95" s="406"/>
      <c r="ES95" s="406"/>
      <c r="ET95" s="406"/>
      <c r="EU95" s="406"/>
      <c r="EV95" s="406"/>
      <c r="EW95" s="406"/>
      <c r="EX95" s="406"/>
      <c r="EY95" s="406"/>
      <c r="EZ95" s="406"/>
      <c r="FA95" s="406"/>
      <c r="FB95" s="406"/>
      <c r="FC95" s="406"/>
      <c r="FD95" s="406"/>
      <c r="FE95" s="406"/>
      <c r="FF95" s="406"/>
      <c r="FG95" s="406"/>
      <c r="FH95" s="406"/>
      <c r="FI95" s="406"/>
      <c r="FJ95" s="406"/>
      <c r="FK95" s="406"/>
      <c r="FL95" s="406"/>
      <c r="FM95" s="406"/>
      <c r="FN95" s="406"/>
      <c r="FO95" s="406"/>
      <c r="FP95" s="406"/>
      <c r="FQ95" s="406"/>
      <c r="FR95" s="406"/>
      <c r="FS95" s="406"/>
      <c r="FT95" s="406"/>
      <c r="FU95" s="406"/>
      <c r="FV95" s="406"/>
      <c r="FW95" s="406"/>
      <c r="FX95" s="406"/>
      <c r="FY95" s="406"/>
      <c r="FZ95" s="406"/>
      <c r="GA95" s="406"/>
      <c r="GB95" s="406"/>
      <c r="GC95" s="406"/>
      <c r="GD95" s="406"/>
      <c r="GE95" s="406"/>
      <c r="GF95" s="406"/>
      <c r="GG95" s="406"/>
      <c r="GH95" s="406"/>
      <c r="GI95" s="406"/>
      <c r="GJ95" s="406"/>
      <c r="GK95" s="406"/>
      <c r="GL95" s="406"/>
    </row>
    <row r="96" spans="1:194" ht="20.100000000000001" customHeight="1">
      <c r="L96" s="406">
        <f t="shared" si="46"/>
        <v>29</v>
      </c>
      <c r="M96" s="532" t="str">
        <f t="shared" si="43"/>
        <v>from_wetland_to_other_land</v>
      </c>
      <c r="N96" s="530"/>
      <c r="O96" s="566">
        <f t="shared" si="45"/>
        <v>0</v>
      </c>
      <c r="P96" s="566">
        <f t="shared" si="49"/>
        <v>0</v>
      </c>
      <c r="Q96" s="566">
        <f t="shared" si="49"/>
        <v>0</v>
      </c>
      <c r="R96" s="566">
        <f t="shared" si="49"/>
        <v>0</v>
      </c>
      <c r="S96" s="566">
        <f t="shared" si="49"/>
        <v>0</v>
      </c>
      <c r="T96" s="566">
        <f t="shared" si="49"/>
        <v>0</v>
      </c>
      <c r="U96" s="566">
        <f t="shared" si="49"/>
        <v>0</v>
      </c>
      <c r="V96" s="566">
        <f t="shared" si="49"/>
        <v>0</v>
      </c>
      <c r="W96" s="566">
        <f t="shared" si="49"/>
        <v>0</v>
      </c>
      <c r="X96" s="566">
        <f t="shared" si="49"/>
        <v>0</v>
      </c>
      <c r="Y96" s="566">
        <f t="shared" si="49"/>
        <v>0</v>
      </c>
      <c r="Z96" s="566">
        <f t="shared" si="49"/>
        <v>0</v>
      </c>
      <c r="AA96" s="566">
        <f t="shared" si="49"/>
        <v>0</v>
      </c>
      <c r="AB96" s="566">
        <f t="shared" si="49"/>
        <v>0</v>
      </c>
      <c r="AC96" s="566">
        <f t="shared" si="49"/>
        <v>0</v>
      </c>
      <c r="AD96" s="566">
        <f t="shared" si="49"/>
        <v>0</v>
      </c>
      <c r="AE96" s="566">
        <f t="shared" si="49"/>
        <v>0</v>
      </c>
      <c r="AF96" s="566">
        <f t="shared" si="49"/>
        <v>0</v>
      </c>
      <c r="AG96" s="566">
        <f t="shared" si="49"/>
        <v>0</v>
      </c>
      <c r="AH96" s="566">
        <f t="shared" si="49"/>
        <v>0</v>
      </c>
      <c r="AI96" s="566">
        <f t="shared" si="49"/>
        <v>0</v>
      </c>
      <c r="AJ96" s="566">
        <f t="shared" si="49"/>
        <v>0</v>
      </c>
      <c r="AK96" s="566">
        <f t="shared" si="49"/>
        <v>0</v>
      </c>
      <c r="AL96" s="566">
        <f t="shared" si="49"/>
        <v>0</v>
      </c>
      <c r="AM96" s="566">
        <f t="shared" si="49"/>
        <v>0</v>
      </c>
      <c r="AN96" s="566">
        <f t="shared" si="49"/>
        <v>0</v>
      </c>
      <c r="AO96" s="566">
        <f t="shared" si="49"/>
        <v>0</v>
      </c>
      <c r="AP96" s="566">
        <f t="shared" si="49"/>
        <v>0</v>
      </c>
      <c r="AQ96" s="567">
        <f t="shared" si="49"/>
        <v>0</v>
      </c>
      <c r="AR96" s="406"/>
      <c r="AS96" s="406"/>
      <c r="AT96" s="406"/>
      <c r="AU96" s="406"/>
      <c r="AV96" s="406"/>
      <c r="AW96" s="406"/>
      <c r="AX96" s="406"/>
      <c r="AY96" s="406"/>
      <c r="AZ96" s="406"/>
      <c r="BA96" s="406"/>
      <c r="BB96" s="406"/>
      <c r="BC96" s="406"/>
      <c r="BD96" s="406"/>
      <c r="BE96" s="406"/>
      <c r="BF96" s="406"/>
      <c r="BG96" s="406"/>
      <c r="BH96" s="406"/>
      <c r="BI96" s="406"/>
      <c r="BJ96" s="406"/>
      <c r="BK96" s="406"/>
      <c r="BL96" s="406"/>
      <c r="BM96" s="406"/>
      <c r="BN96" s="406"/>
      <c r="BO96" s="406"/>
      <c r="BP96" s="406"/>
      <c r="BQ96" s="406"/>
      <c r="BR96" s="406"/>
      <c r="BS96" s="406"/>
      <c r="BT96" s="406"/>
      <c r="BU96" s="406"/>
      <c r="BV96" s="406"/>
      <c r="BW96" s="406"/>
      <c r="BX96" s="406"/>
      <c r="BY96" s="406"/>
      <c r="BZ96" s="406"/>
      <c r="CA96" s="406"/>
      <c r="CB96" s="406"/>
      <c r="CC96" s="406"/>
      <c r="CD96" s="406"/>
      <c r="CE96" s="406"/>
      <c r="CF96" s="406"/>
      <c r="CG96" s="406"/>
      <c r="CH96" s="406"/>
      <c r="CI96" s="406"/>
      <c r="CJ96" s="406"/>
      <c r="CK96" s="406"/>
      <c r="CL96" s="406"/>
      <c r="CM96" s="406"/>
      <c r="CN96" s="406"/>
      <c r="CO96" s="406"/>
      <c r="CP96" s="406"/>
      <c r="CQ96" s="406"/>
      <c r="CR96" s="406"/>
      <c r="CS96" s="406"/>
      <c r="CT96" s="406"/>
      <c r="CU96" s="406"/>
      <c r="CV96" s="406"/>
      <c r="CW96" s="406"/>
      <c r="CX96" s="406"/>
      <c r="CY96" s="406"/>
      <c r="CZ96" s="406"/>
      <c r="DA96" s="406"/>
      <c r="DB96" s="406"/>
      <c r="DC96" s="406"/>
      <c r="DD96" s="406"/>
      <c r="DE96" s="406"/>
      <c r="DF96" s="406"/>
      <c r="DG96" s="406"/>
      <c r="DH96" s="406"/>
      <c r="DI96" s="406"/>
      <c r="DJ96" s="406"/>
      <c r="DK96" s="406"/>
      <c r="DL96" s="406"/>
      <c r="DM96" s="406"/>
      <c r="DN96" s="406"/>
      <c r="DO96" s="406"/>
      <c r="DP96" s="406"/>
      <c r="DQ96" s="406"/>
      <c r="DR96" s="406"/>
      <c r="DS96" s="406"/>
      <c r="DT96" s="406"/>
      <c r="DU96" s="406"/>
      <c r="DV96" s="406"/>
      <c r="DW96" s="406"/>
      <c r="DX96" s="406"/>
      <c r="DY96" s="406"/>
      <c r="DZ96" s="406"/>
      <c r="EA96" s="406"/>
      <c r="EB96" s="406"/>
      <c r="EC96" s="406"/>
      <c r="ED96" s="406"/>
      <c r="EE96" s="406"/>
      <c r="EF96" s="406"/>
      <c r="EG96" s="406"/>
      <c r="EH96" s="406"/>
      <c r="EI96" s="406"/>
      <c r="EJ96" s="406"/>
      <c r="EK96" s="406"/>
      <c r="EL96" s="406"/>
      <c r="EM96" s="406"/>
      <c r="EN96" s="406"/>
      <c r="EO96" s="406"/>
      <c r="EP96" s="406"/>
      <c r="EQ96" s="406"/>
      <c r="ER96" s="406"/>
      <c r="ES96" s="406"/>
      <c r="ET96" s="406"/>
      <c r="EU96" s="406"/>
      <c r="EV96" s="406"/>
      <c r="EW96" s="406"/>
      <c r="EX96" s="406"/>
      <c r="EY96" s="406"/>
      <c r="EZ96" s="406"/>
      <c r="FA96" s="406"/>
      <c r="FB96" s="406"/>
      <c r="FC96" s="406"/>
      <c r="FD96" s="406"/>
      <c r="FE96" s="406"/>
      <c r="FF96" s="406"/>
      <c r="FG96" s="406"/>
      <c r="FH96" s="406"/>
      <c r="FI96" s="406"/>
      <c r="FJ96" s="406"/>
      <c r="FK96" s="406"/>
      <c r="FL96" s="406"/>
      <c r="FM96" s="406"/>
      <c r="FN96" s="406"/>
      <c r="FO96" s="406"/>
      <c r="FP96" s="406"/>
      <c r="FQ96" s="406"/>
      <c r="FR96" s="406"/>
      <c r="FS96" s="406"/>
      <c r="FT96" s="406"/>
      <c r="FU96" s="406"/>
      <c r="FV96" s="406"/>
      <c r="FW96" s="406"/>
      <c r="FX96" s="406"/>
      <c r="FY96" s="406"/>
      <c r="FZ96" s="406"/>
      <c r="GA96" s="406"/>
      <c r="GB96" s="406"/>
      <c r="GC96" s="406"/>
      <c r="GD96" s="406"/>
      <c r="GE96" s="406"/>
      <c r="GF96" s="406"/>
      <c r="GG96" s="406"/>
      <c r="GH96" s="406"/>
      <c r="GI96" s="406"/>
      <c r="GJ96" s="406"/>
      <c r="GK96" s="406"/>
      <c r="GL96" s="406"/>
    </row>
    <row r="97" spans="12:194" ht="20.100000000000001" customHeight="1" thickBot="1">
      <c r="L97" s="406">
        <f t="shared" si="46"/>
        <v>30</v>
      </c>
      <c r="M97" s="533" t="str">
        <f>M63</f>
        <v>from_settlements_to_other_land</v>
      </c>
      <c r="N97" s="534"/>
      <c r="O97" s="568">
        <f t="shared" si="45"/>
        <v>0</v>
      </c>
      <c r="P97" s="568">
        <f t="shared" si="49"/>
        <v>0</v>
      </c>
      <c r="Q97" s="568">
        <f t="shared" si="49"/>
        <v>0</v>
      </c>
      <c r="R97" s="568">
        <f t="shared" si="49"/>
        <v>0</v>
      </c>
      <c r="S97" s="568">
        <f t="shared" si="49"/>
        <v>0</v>
      </c>
      <c r="T97" s="568">
        <f t="shared" si="49"/>
        <v>0</v>
      </c>
      <c r="U97" s="568">
        <f t="shared" si="49"/>
        <v>0</v>
      </c>
      <c r="V97" s="568">
        <f t="shared" si="49"/>
        <v>0</v>
      </c>
      <c r="W97" s="568">
        <f t="shared" si="49"/>
        <v>0</v>
      </c>
      <c r="X97" s="568">
        <f t="shared" si="49"/>
        <v>0</v>
      </c>
      <c r="Y97" s="568">
        <f t="shared" si="49"/>
        <v>0</v>
      </c>
      <c r="Z97" s="568">
        <f t="shared" si="49"/>
        <v>0</v>
      </c>
      <c r="AA97" s="568">
        <f t="shared" si="49"/>
        <v>0</v>
      </c>
      <c r="AB97" s="568">
        <f t="shared" si="49"/>
        <v>0</v>
      </c>
      <c r="AC97" s="568">
        <f t="shared" si="49"/>
        <v>0</v>
      </c>
      <c r="AD97" s="568">
        <f t="shared" si="49"/>
        <v>0</v>
      </c>
      <c r="AE97" s="568">
        <f t="shared" si="49"/>
        <v>0</v>
      </c>
      <c r="AF97" s="568">
        <f t="shared" si="49"/>
        <v>0</v>
      </c>
      <c r="AG97" s="568">
        <f t="shared" si="49"/>
        <v>0</v>
      </c>
      <c r="AH97" s="568">
        <f t="shared" si="49"/>
        <v>0</v>
      </c>
      <c r="AI97" s="568">
        <f t="shared" si="49"/>
        <v>0</v>
      </c>
      <c r="AJ97" s="568">
        <f t="shared" si="49"/>
        <v>0</v>
      </c>
      <c r="AK97" s="568">
        <f t="shared" si="49"/>
        <v>0</v>
      </c>
      <c r="AL97" s="568">
        <f t="shared" si="49"/>
        <v>0</v>
      </c>
      <c r="AM97" s="568">
        <f t="shared" si="49"/>
        <v>0</v>
      </c>
      <c r="AN97" s="568">
        <f t="shared" si="49"/>
        <v>0</v>
      </c>
      <c r="AO97" s="568">
        <f t="shared" si="49"/>
        <v>0</v>
      </c>
      <c r="AP97" s="568">
        <f t="shared" si="49"/>
        <v>0</v>
      </c>
      <c r="AQ97" s="569">
        <f t="shared" si="49"/>
        <v>0</v>
      </c>
      <c r="AR97" s="406"/>
      <c r="AS97" s="406"/>
      <c r="AT97" s="406"/>
      <c r="AU97" s="406"/>
      <c r="AV97" s="406"/>
      <c r="AW97" s="406"/>
      <c r="AX97" s="406"/>
      <c r="AY97" s="406"/>
      <c r="AZ97" s="406"/>
      <c r="BA97" s="406"/>
      <c r="BB97" s="406"/>
      <c r="BC97" s="406"/>
      <c r="BD97" s="406"/>
      <c r="BE97" s="406"/>
      <c r="BF97" s="406"/>
      <c r="BG97" s="406"/>
      <c r="BH97" s="406"/>
      <c r="BI97" s="406"/>
      <c r="BJ97" s="406"/>
      <c r="BK97" s="406"/>
      <c r="BL97" s="406"/>
      <c r="BM97" s="406"/>
      <c r="BN97" s="406"/>
      <c r="BO97" s="406"/>
      <c r="BP97" s="406"/>
      <c r="BQ97" s="406"/>
      <c r="BR97" s="406"/>
      <c r="BS97" s="406"/>
      <c r="BT97" s="406"/>
      <c r="BU97" s="406"/>
      <c r="BV97" s="406"/>
      <c r="BW97" s="406"/>
      <c r="BX97" s="406"/>
      <c r="BY97" s="406"/>
      <c r="BZ97" s="406"/>
      <c r="CA97" s="406"/>
      <c r="CB97" s="406"/>
      <c r="CC97" s="406"/>
      <c r="CD97" s="406"/>
      <c r="CE97" s="406"/>
      <c r="CF97" s="406"/>
      <c r="CG97" s="406"/>
      <c r="CH97" s="406"/>
      <c r="CI97" s="406"/>
      <c r="CJ97" s="406"/>
      <c r="CK97" s="406"/>
      <c r="CL97" s="406"/>
      <c r="CM97" s="406"/>
      <c r="CN97" s="406"/>
      <c r="CO97" s="406"/>
      <c r="CP97" s="406"/>
      <c r="CQ97" s="406"/>
      <c r="CR97" s="406"/>
      <c r="CS97" s="406"/>
      <c r="CT97" s="406"/>
      <c r="CU97" s="406"/>
      <c r="CV97" s="406"/>
      <c r="CW97" s="406"/>
      <c r="CX97" s="406"/>
      <c r="CY97" s="406"/>
      <c r="CZ97" s="406"/>
      <c r="DA97" s="406"/>
      <c r="DB97" s="406"/>
      <c r="DC97" s="406"/>
      <c r="DD97" s="406"/>
      <c r="DE97" s="406"/>
      <c r="DF97" s="406"/>
      <c r="DG97" s="406"/>
      <c r="DH97" s="406"/>
      <c r="DI97" s="406"/>
      <c r="DJ97" s="406"/>
      <c r="DK97" s="406"/>
      <c r="DL97" s="406"/>
      <c r="DM97" s="406"/>
      <c r="DN97" s="406"/>
      <c r="DO97" s="406"/>
      <c r="DP97" s="406"/>
      <c r="DQ97" s="406"/>
      <c r="DR97" s="406"/>
      <c r="DS97" s="406"/>
      <c r="DT97" s="406"/>
      <c r="DU97" s="406"/>
      <c r="DV97" s="406"/>
      <c r="DW97" s="406"/>
      <c r="DX97" s="406"/>
      <c r="DY97" s="406"/>
      <c r="DZ97" s="406"/>
      <c r="EA97" s="406"/>
      <c r="EB97" s="406"/>
      <c r="EC97" s="406"/>
      <c r="ED97" s="406"/>
      <c r="EE97" s="406"/>
      <c r="EF97" s="406"/>
      <c r="EG97" s="406"/>
      <c r="EH97" s="406"/>
      <c r="EI97" s="406"/>
      <c r="EJ97" s="406"/>
      <c r="EK97" s="406"/>
      <c r="EL97" s="406"/>
      <c r="EM97" s="406"/>
      <c r="EN97" s="406"/>
      <c r="EO97" s="406"/>
      <c r="EP97" s="406"/>
      <c r="EQ97" s="406"/>
      <c r="ER97" s="406"/>
      <c r="ES97" s="406"/>
      <c r="ET97" s="406"/>
      <c r="EU97" s="406"/>
      <c r="EV97" s="406"/>
      <c r="EW97" s="406"/>
      <c r="EX97" s="406"/>
      <c r="EY97" s="406"/>
      <c r="EZ97" s="406"/>
      <c r="FA97" s="406"/>
      <c r="FB97" s="406"/>
      <c r="FC97" s="406"/>
      <c r="FD97" s="406"/>
      <c r="FE97" s="406"/>
      <c r="FF97" s="406"/>
      <c r="FG97" s="406"/>
      <c r="FH97" s="406"/>
      <c r="FI97" s="406"/>
      <c r="FJ97" s="406"/>
      <c r="FK97" s="406"/>
      <c r="FL97" s="406"/>
      <c r="FM97" s="406"/>
      <c r="FN97" s="406"/>
      <c r="FO97" s="406"/>
      <c r="FP97" s="406"/>
      <c r="FQ97" s="406"/>
      <c r="FR97" s="406"/>
      <c r="FS97" s="406"/>
      <c r="FT97" s="406"/>
      <c r="FU97" s="406"/>
      <c r="FV97" s="406"/>
      <c r="FW97" s="406"/>
      <c r="FX97" s="406"/>
      <c r="FY97" s="406"/>
      <c r="FZ97" s="406"/>
      <c r="GA97" s="406"/>
      <c r="GB97" s="406"/>
      <c r="GC97" s="406"/>
      <c r="GD97" s="406"/>
      <c r="GE97" s="406"/>
      <c r="GF97" s="406"/>
      <c r="GG97" s="406"/>
      <c r="GH97" s="406"/>
      <c r="GI97" s="406"/>
      <c r="GJ97" s="406"/>
      <c r="GK97" s="406"/>
      <c r="GL97" s="406"/>
    </row>
    <row r="98" spans="12:194" ht="20.100000000000001" customHeight="1">
      <c r="L98" s="406"/>
      <c r="M98" s="406"/>
      <c r="N98" s="406"/>
      <c r="O98" s="570">
        <f>SUM(O68:O97)</f>
        <v>1054.2904487301864</v>
      </c>
      <c r="P98" s="570">
        <f t="shared" ref="P98:AQ98" si="50">SUM(P68:P97)</f>
        <v>-1153.1895512698129</v>
      </c>
      <c r="Q98" s="570">
        <f t="shared" si="50"/>
        <v>-1153.1895512698129</v>
      </c>
      <c r="R98" s="570">
        <f t="shared" si="50"/>
        <v>-1153.1895512698129</v>
      </c>
      <c r="S98" s="570">
        <f t="shared" si="50"/>
        <v>-1153.1895512698129</v>
      </c>
      <c r="T98" s="570">
        <f t="shared" si="50"/>
        <v>-1158.4742854140861</v>
      </c>
      <c r="U98" s="570">
        <f t="shared" si="50"/>
        <v>-1158.4742854140861</v>
      </c>
      <c r="V98" s="570">
        <f t="shared" si="50"/>
        <v>-1158.4742854140861</v>
      </c>
      <c r="W98" s="570">
        <f t="shared" si="50"/>
        <v>-1158.4742854140861</v>
      </c>
      <c r="X98" s="570">
        <f t="shared" si="50"/>
        <v>-1158.4742854140861</v>
      </c>
      <c r="Y98" s="570">
        <f t="shared" si="50"/>
        <v>-1158.4742854140861</v>
      </c>
      <c r="Z98" s="570">
        <f t="shared" si="50"/>
        <v>-1158.4742854140861</v>
      </c>
      <c r="AA98" s="570">
        <f t="shared" si="50"/>
        <v>-1158.4742854140861</v>
      </c>
      <c r="AB98" s="570">
        <f t="shared" si="50"/>
        <v>-1158.4742854140861</v>
      </c>
      <c r="AC98" s="570">
        <f t="shared" si="50"/>
        <v>-1158.4742854140861</v>
      </c>
      <c r="AD98" s="570">
        <f t="shared" si="50"/>
        <v>-1158.4742854140861</v>
      </c>
      <c r="AE98" s="570">
        <f t="shared" si="50"/>
        <v>-1158.4742854140861</v>
      </c>
      <c r="AF98" s="570">
        <f t="shared" si="50"/>
        <v>-1158.4742854140861</v>
      </c>
      <c r="AG98" s="570">
        <f t="shared" si="50"/>
        <v>-1158.4742854140861</v>
      </c>
      <c r="AH98" s="570">
        <f t="shared" si="50"/>
        <v>-1158.4742854140861</v>
      </c>
      <c r="AI98" s="570">
        <f t="shared" si="50"/>
        <v>-262.06737800734516</v>
      </c>
      <c r="AJ98" s="570">
        <f t="shared" si="50"/>
        <v>-262.06737800734516</v>
      </c>
      <c r="AK98" s="570">
        <f t="shared" si="50"/>
        <v>-262.06737800734516</v>
      </c>
      <c r="AL98" s="570">
        <f t="shared" si="50"/>
        <v>-262.06737800734516</v>
      </c>
      <c r="AM98" s="570">
        <f t="shared" si="50"/>
        <v>-262.06737800734516</v>
      </c>
      <c r="AN98" s="570">
        <f t="shared" si="50"/>
        <v>-262.06737800734516</v>
      </c>
      <c r="AO98" s="570">
        <f t="shared" si="50"/>
        <v>-262.06737800734516</v>
      </c>
      <c r="AP98" s="570">
        <f t="shared" si="50"/>
        <v>-262.06737800734516</v>
      </c>
      <c r="AQ98" s="570">
        <f t="shared" si="50"/>
        <v>-262.06737800734516</v>
      </c>
      <c r="AR98" s="406"/>
      <c r="AS98" s="406"/>
      <c r="AT98" s="406"/>
      <c r="AU98" s="406"/>
      <c r="AV98" s="406"/>
      <c r="AW98" s="406"/>
      <c r="AX98" s="406"/>
      <c r="AY98" s="406"/>
      <c r="AZ98" s="406"/>
      <c r="BA98" s="406"/>
      <c r="BB98" s="406"/>
      <c r="BC98" s="406"/>
      <c r="BD98" s="406"/>
      <c r="BE98" s="406"/>
      <c r="BF98" s="406"/>
      <c r="BG98" s="406"/>
      <c r="BH98" s="406"/>
      <c r="BI98" s="406"/>
      <c r="BJ98" s="406"/>
      <c r="BK98" s="406"/>
      <c r="BL98" s="406"/>
      <c r="BM98" s="406"/>
      <c r="BN98" s="406"/>
      <c r="BO98" s="406"/>
      <c r="BP98" s="406"/>
      <c r="BQ98" s="406"/>
      <c r="BR98" s="406"/>
      <c r="BS98" s="406"/>
      <c r="BT98" s="406"/>
      <c r="BU98" s="406"/>
      <c r="BV98" s="406"/>
      <c r="BW98" s="406"/>
      <c r="BX98" s="406"/>
      <c r="BY98" s="406"/>
      <c r="BZ98" s="406"/>
      <c r="CA98" s="406"/>
      <c r="CB98" s="406"/>
      <c r="CC98" s="406"/>
      <c r="CD98" s="406"/>
      <c r="CE98" s="406"/>
      <c r="CF98" s="406"/>
      <c r="CG98" s="406"/>
      <c r="CH98" s="406"/>
      <c r="CI98" s="406"/>
      <c r="CJ98" s="406"/>
      <c r="CK98" s="406"/>
      <c r="CL98" s="406"/>
      <c r="CM98" s="406"/>
      <c r="CN98" s="406"/>
      <c r="CO98" s="406"/>
      <c r="CP98" s="406"/>
      <c r="CQ98" s="406"/>
      <c r="CR98" s="406"/>
      <c r="CS98" s="406"/>
      <c r="CT98" s="406"/>
      <c r="CU98" s="406"/>
      <c r="CV98" s="406"/>
      <c r="CW98" s="406"/>
      <c r="CX98" s="406"/>
      <c r="CY98" s="406"/>
      <c r="CZ98" s="406"/>
      <c r="DA98" s="406"/>
      <c r="DB98" s="406"/>
      <c r="DC98" s="406"/>
      <c r="DD98" s="406"/>
      <c r="DE98" s="406"/>
      <c r="DF98" s="406"/>
      <c r="DG98" s="406"/>
      <c r="DH98" s="406"/>
      <c r="DI98" s="406"/>
      <c r="DJ98" s="406"/>
      <c r="DK98" s="406"/>
      <c r="DL98" s="406"/>
      <c r="DM98" s="406"/>
      <c r="DN98" s="406"/>
      <c r="DO98" s="406"/>
      <c r="DP98" s="406"/>
      <c r="DQ98" s="406"/>
      <c r="DR98" s="406"/>
      <c r="DS98" s="406"/>
      <c r="DT98" s="406"/>
      <c r="DU98" s="406"/>
      <c r="DV98" s="406"/>
      <c r="DW98" s="406"/>
      <c r="DX98" s="406"/>
      <c r="DY98" s="406"/>
      <c r="DZ98" s="406"/>
      <c r="EA98" s="406"/>
      <c r="EB98" s="406"/>
      <c r="EC98" s="406"/>
      <c r="ED98" s="406"/>
      <c r="EE98" s="406"/>
      <c r="EF98" s="406"/>
      <c r="EG98" s="406"/>
      <c r="EH98" s="406"/>
      <c r="EI98" s="406"/>
      <c r="EJ98" s="406"/>
      <c r="EK98" s="406"/>
      <c r="EL98" s="406"/>
      <c r="EM98" s="406"/>
      <c r="EN98" s="406"/>
      <c r="EO98" s="406"/>
      <c r="EP98" s="406"/>
      <c r="EQ98" s="406"/>
      <c r="ER98" s="406"/>
      <c r="ES98" s="406"/>
      <c r="ET98" s="406"/>
      <c r="EU98" s="406"/>
      <c r="EV98" s="406"/>
      <c r="EW98" s="406"/>
      <c r="EX98" s="406"/>
      <c r="EY98" s="406"/>
      <c r="EZ98" s="406"/>
      <c r="FA98" s="406"/>
      <c r="FB98" s="406"/>
      <c r="FC98" s="406"/>
      <c r="FD98" s="406"/>
      <c r="FE98" s="406"/>
      <c r="FF98" s="406"/>
      <c r="FG98" s="406"/>
      <c r="FH98" s="406"/>
      <c r="FI98" s="406"/>
      <c r="FJ98" s="406"/>
      <c r="FK98" s="406"/>
      <c r="FL98" s="406"/>
      <c r="FM98" s="406"/>
      <c r="FN98" s="406"/>
      <c r="FO98" s="406"/>
      <c r="FP98" s="406"/>
      <c r="FQ98" s="406"/>
      <c r="FR98" s="406"/>
      <c r="FS98" s="406"/>
      <c r="FT98" s="406"/>
      <c r="FU98" s="406"/>
      <c r="FV98" s="406"/>
      <c r="FW98" s="406"/>
      <c r="FX98" s="406"/>
      <c r="FY98" s="406"/>
      <c r="FZ98" s="406"/>
      <c r="GA98" s="406"/>
      <c r="GB98" s="406"/>
      <c r="GC98" s="406"/>
      <c r="GD98" s="406"/>
      <c r="GE98" s="406"/>
      <c r="GF98" s="406"/>
      <c r="GG98" s="406"/>
      <c r="GH98" s="406"/>
      <c r="GI98" s="406"/>
      <c r="GJ98" s="406"/>
      <c r="GK98" s="406"/>
      <c r="GL98" s="406"/>
    </row>
    <row r="99" spans="12:194" ht="20.100000000000001" customHeight="1">
      <c r="L99" s="406"/>
      <c r="M99" s="406"/>
      <c r="N99" s="406"/>
      <c r="O99" s="406"/>
      <c r="P99" s="406"/>
      <c r="Q99" s="406"/>
      <c r="R99" s="406"/>
      <c r="S99" s="406"/>
      <c r="T99" s="406"/>
      <c r="U99" s="406"/>
      <c r="V99" s="406"/>
      <c r="W99" s="406"/>
      <c r="X99" s="406"/>
      <c r="Y99" s="406"/>
      <c r="Z99" s="406"/>
      <c r="AA99" s="406"/>
      <c r="AB99" s="406"/>
      <c r="AC99" s="406"/>
      <c r="AD99" s="406"/>
      <c r="AE99" s="406"/>
      <c r="AF99" s="406"/>
      <c r="AG99" s="406"/>
      <c r="AH99" s="406"/>
      <c r="AI99" s="406"/>
      <c r="AJ99" s="406"/>
      <c r="AK99" s="406"/>
      <c r="AL99" s="406"/>
      <c r="AM99" s="406"/>
      <c r="AN99" s="406"/>
      <c r="AO99" s="406"/>
      <c r="AP99" s="406"/>
      <c r="AQ99" s="406"/>
      <c r="AR99" s="406"/>
      <c r="AS99" s="406"/>
      <c r="AT99" s="406"/>
      <c r="AU99" s="406"/>
      <c r="AV99" s="406"/>
      <c r="AW99" s="406"/>
      <c r="AX99" s="406"/>
      <c r="AY99" s="406"/>
      <c r="AZ99" s="406"/>
      <c r="BA99" s="406"/>
      <c r="BB99" s="406"/>
      <c r="BC99" s="406"/>
      <c r="BD99" s="406"/>
      <c r="BE99" s="406"/>
      <c r="BF99" s="406"/>
      <c r="BG99" s="406"/>
      <c r="BH99" s="406"/>
      <c r="BI99" s="406"/>
      <c r="BJ99" s="406"/>
      <c r="BK99" s="406"/>
      <c r="BL99" s="406"/>
      <c r="BM99" s="406"/>
      <c r="BN99" s="406"/>
      <c r="BO99" s="406"/>
      <c r="BP99" s="406"/>
      <c r="BQ99" s="406"/>
      <c r="BR99" s="406"/>
      <c r="BS99" s="406"/>
      <c r="BT99" s="406"/>
      <c r="BU99" s="406"/>
      <c r="BV99" s="406"/>
      <c r="BW99" s="406"/>
      <c r="BX99" s="406"/>
      <c r="BY99" s="406"/>
      <c r="BZ99" s="406"/>
      <c r="CA99" s="406"/>
      <c r="CB99" s="406"/>
      <c r="CC99" s="406"/>
      <c r="CD99" s="406"/>
      <c r="CE99" s="406"/>
      <c r="CF99" s="406"/>
      <c r="CG99" s="406"/>
      <c r="CH99" s="406"/>
      <c r="CI99" s="406"/>
      <c r="CJ99" s="406"/>
      <c r="CK99" s="406"/>
      <c r="CL99" s="406"/>
      <c r="CM99" s="406"/>
      <c r="CN99" s="406"/>
      <c r="CO99" s="406"/>
      <c r="CP99" s="406"/>
      <c r="CQ99" s="406"/>
      <c r="CR99" s="406"/>
      <c r="CS99" s="406"/>
      <c r="CT99" s="406"/>
      <c r="CU99" s="406"/>
      <c r="CV99" s="406"/>
      <c r="CW99" s="406"/>
      <c r="CX99" s="406"/>
      <c r="CY99" s="406"/>
      <c r="CZ99" s="406"/>
      <c r="DA99" s="406"/>
      <c r="DB99" s="406"/>
      <c r="DC99" s="406"/>
      <c r="DD99" s="406"/>
      <c r="DE99" s="406"/>
      <c r="DF99" s="406"/>
      <c r="DG99" s="406"/>
      <c r="DH99" s="406"/>
      <c r="DI99" s="406"/>
      <c r="DJ99" s="406"/>
      <c r="DK99" s="406"/>
      <c r="DL99" s="406"/>
      <c r="DM99" s="406"/>
      <c r="DN99" s="406"/>
      <c r="DO99" s="406"/>
      <c r="DP99" s="406"/>
      <c r="DQ99" s="406"/>
      <c r="DR99" s="406"/>
      <c r="DS99" s="406"/>
      <c r="DT99" s="406"/>
      <c r="DU99" s="406"/>
      <c r="DV99" s="406"/>
      <c r="DW99" s="406"/>
      <c r="DX99" s="406"/>
      <c r="DY99" s="406"/>
      <c r="DZ99" s="406"/>
      <c r="EA99" s="406"/>
      <c r="EB99" s="406"/>
      <c r="EC99" s="406"/>
      <c r="ED99" s="406"/>
      <c r="EE99" s="406"/>
      <c r="EF99" s="406"/>
      <c r="EG99" s="406"/>
      <c r="EH99" s="406"/>
      <c r="EI99" s="406"/>
      <c r="EJ99" s="406"/>
      <c r="EK99" s="406"/>
      <c r="EL99" s="406"/>
      <c r="EM99" s="406"/>
      <c r="EN99" s="406"/>
      <c r="EO99" s="406"/>
      <c r="EP99" s="406"/>
      <c r="EQ99" s="406"/>
      <c r="ER99" s="406"/>
      <c r="ES99" s="406"/>
      <c r="ET99" s="406"/>
      <c r="EU99" s="406"/>
      <c r="EV99" s="406"/>
      <c r="EW99" s="406"/>
      <c r="EX99" s="406"/>
      <c r="EY99" s="406"/>
      <c r="EZ99" s="406"/>
      <c r="FA99" s="406"/>
      <c r="FB99" s="406"/>
      <c r="FC99" s="406"/>
      <c r="FD99" s="406"/>
      <c r="FE99" s="406"/>
      <c r="FF99" s="406"/>
      <c r="FG99" s="406"/>
      <c r="FH99" s="406"/>
      <c r="FI99" s="406"/>
      <c r="FJ99" s="406"/>
      <c r="FK99" s="406"/>
      <c r="FL99" s="406"/>
      <c r="FM99" s="406"/>
      <c r="FN99" s="406"/>
      <c r="FO99" s="406"/>
      <c r="FP99" s="406"/>
      <c r="FQ99" s="406"/>
      <c r="FR99" s="406"/>
      <c r="FS99" s="406"/>
      <c r="FT99" s="406"/>
      <c r="FU99" s="406"/>
      <c r="FV99" s="406"/>
      <c r="FW99" s="406"/>
      <c r="FX99" s="406"/>
      <c r="FY99" s="406"/>
      <c r="FZ99" s="406"/>
      <c r="GA99" s="406"/>
      <c r="GB99" s="406"/>
      <c r="GC99" s="406"/>
      <c r="GD99" s="406"/>
      <c r="GE99" s="406"/>
      <c r="GF99" s="406"/>
      <c r="GG99" s="406"/>
      <c r="GH99" s="406"/>
      <c r="GI99" s="406"/>
      <c r="GJ99" s="406"/>
      <c r="GK99" s="406"/>
      <c r="GL99" s="406"/>
    </row>
    <row r="100" spans="12:194" ht="20.100000000000001" customHeight="1">
      <c r="L100" s="406"/>
      <c r="M100" s="406"/>
      <c r="N100" s="406"/>
      <c r="O100" s="406"/>
      <c r="P100" s="406"/>
      <c r="Q100" s="406"/>
      <c r="R100" s="406"/>
      <c r="S100" s="406"/>
      <c r="T100" s="406"/>
      <c r="U100" s="406"/>
      <c r="V100" s="406"/>
      <c r="W100" s="406"/>
      <c r="X100" s="406"/>
      <c r="Y100" s="406"/>
      <c r="Z100" s="406"/>
      <c r="AA100" s="406"/>
      <c r="AB100" s="406"/>
      <c r="AC100" s="406"/>
      <c r="AD100" s="406"/>
      <c r="AE100" s="406"/>
      <c r="AF100" s="406"/>
      <c r="AG100" s="406"/>
      <c r="AH100" s="406"/>
      <c r="AI100" s="406"/>
      <c r="AJ100" s="406"/>
      <c r="AK100" s="406"/>
      <c r="AL100" s="406"/>
      <c r="AM100" s="406"/>
      <c r="AN100" s="406"/>
      <c r="AO100" s="406"/>
      <c r="AP100" s="406"/>
      <c r="AQ100" s="406"/>
      <c r="AR100" s="406"/>
      <c r="AS100" s="406"/>
      <c r="AT100" s="406"/>
      <c r="AU100" s="406"/>
      <c r="AV100" s="406"/>
      <c r="AW100" s="406"/>
      <c r="AX100" s="406"/>
      <c r="AY100" s="406"/>
      <c r="AZ100" s="406"/>
      <c r="BA100" s="406"/>
      <c r="BB100" s="406"/>
      <c r="BC100" s="406"/>
      <c r="BD100" s="406"/>
      <c r="BE100" s="406"/>
      <c r="BF100" s="406"/>
      <c r="BG100" s="406"/>
      <c r="BH100" s="406"/>
      <c r="BI100" s="406"/>
      <c r="BJ100" s="406"/>
      <c r="BK100" s="406"/>
      <c r="BL100" s="406"/>
      <c r="BM100" s="406"/>
      <c r="BN100" s="406"/>
      <c r="BO100" s="406"/>
      <c r="BP100" s="406"/>
      <c r="BQ100" s="406"/>
      <c r="BR100" s="406"/>
      <c r="BS100" s="406"/>
      <c r="BT100" s="406"/>
      <c r="BU100" s="406"/>
      <c r="BV100" s="406"/>
      <c r="BW100" s="406"/>
      <c r="BX100" s="406"/>
      <c r="BY100" s="406"/>
      <c r="BZ100" s="406"/>
      <c r="CA100" s="406"/>
      <c r="CB100" s="406"/>
      <c r="CC100" s="406"/>
      <c r="CD100" s="406"/>
      <c r="CE100" s="406"/>
      <c r="CF100" s="406"/>
      <c r="CG100" s="406"/>
      <c r="CH100" s="406"/>
      <c r="CI100" s="406"/>
      <c r="CJ100" s="406"/>
      <c r="CK100" s="406"/>
      <c r="CL100" s="406"/>
      <c r="CM100" s="406"/>
      <c r="CN100" s="406"/>
      <c r="CO100" s="406"/>
      <c r="CP100" s="406"/>
      <c r="CQ100" s="406"/>
      <c r="CR100" s="406"/>
      <c r="CS100" s="406"/>
      <c r="CT100" s="406"/>
      <c r="CU100" s="406"/>
      <c r="CV100" s="406"/>
      <c r="CW100" s="406"/>
      <c r="CX100" s="406"/>
      <c r="CY100" s="406"/>
      <c r="CZ100" s="406"/>
      <c r="DA100" s="406"/>
      <c r="DB100" s="406"/>
      <c r="DC100" s="406"/>
      <c r="DD100" s="406"/>
      <c r="DE100" s="406"/>
      <c r="DF100" s="406"/>
      <c r="DG100" s="406"/>
      <c r="DH100" s="406"/>
      <c r="DI100" s="406"/>
      <c r="DJ100" s="406"/>
      <c r="DK100" s="406"/>
      <c r="DL100" s="406"/>
      <c r="DM100" s="406"/>
      <c r="DN100" s="406"/>
      <c r="DO100" s="406"/>
      <c r="DP100" s="406"/>
      <c r="DQ100" s="406"/>
      <c r="DR100" s="406"/>
      <c r="DS100" s="406"/>
      <c r="DT100" s="406"/>
      <c r="DU100" s="406"/>
      <c r="DV100" s="406"/>
      <c r="DW100" s="406"/>
      <c r="DX100" s="406"/>
      <c r="DY100" s="406"/>
      <c r="DZ100" s="406"/>
      <c r="EA100" s="406"/>
      <c r="EB100" s="406"/>
      <c r="EC100" s="406"/>
      <c r="ED100" s="406"/>
      <c r="EE100" s="406"/>
      <c r="EF100" s="406"/>
      <c r="EG100" s="406"/>
      <c r="EH100" s="406"/>
      <c r="EI100" s="406"/>
      <c r="EJ100" s="406"/>
      <c r="EK100" s="406"/>
      <c r="EL100" s="406"/>
      <c r="EM100" s="406"/>
      <c r="EN100" s="406"/>
      <c r="EO100" s="406"/>
      <c r="EP100" s="406"/>
      <c r="EQ100" s="406"/>
      <c r="ER100" s="406"/>
      <c r="ES100" s="406"/>
      <c r="ET100" s="406"/>
      <c r="EU100" s="406"/>
      <c r="EV100" s="406"/>
      <c r="EW100" s="406"/>
      <c r="EX100" s="406"/>
      <c r="EY100" s="406"/>
      <c r="EZ100" s="406"/>
      <c r="FA100" s="406"/>
      <c r="FB100" s="406"/>
      <c r="FC100" s="406"/>
      <c r="FD100" s="406"/>
      <c r="FE100" s="406"/>
      <c r="FF100" s="406"/>
      <c r="FG100" s="406"/>
      <c r="FH100" s="406"/>
      <c r="FI100" s="406"/>
      <c r="FJ100" s="406"/>
      <c r="FK100" s="406"/>
      <c r="FL100" s="406"/>
      <c r="FM100" s="406"/>
      <c r="FN100" s="406"/>
      <c r="FO100" s="406"/>
      <c r="FP100" s="406"/>
      <c r="FQ100" s="406"/>
      <c r="FR100" s="406"/>
      <c r="FS100" s="406"/>
      <c r="FT100" s="406"/>
      <c r="FU100" s="406"/>
      <c r="FV100" s="406"/>
      <c r="FW100" s="406"/>
      <c r="FX100" s="406"/>
      <c r="FY100" s="406"/>
      <c r="FZ100" s="406"/>
      <c r="GA100" s="406"/>
      <c r="GB100" s="406"/>
      <c r="GC100" s="406"/>
      <c r="GD100" s="406"/>
      <c r="GE100" s="406"/>
      <c r="GF100" s="406"/>
      <c r="GG100" s="406"/>
      <c r="GH100" s="406"/>
      <c r="GI100" s="406"/>
      <c r="GJ100" s="406"/>
      <c r="GK100" s="406"/>
      <c r="GL100" s="406"/>
    </row>
    <row r="101" spans="12:194" ht="20.100000000000001" customHeight="1">
      <c r="L101" s="406"/>
      <c r="M101" s="406"/>
      <c r="N101" s="406"/>
      <c r="O101" s="406"/>
      <c r="P101" s="406"/>
      <c r="Q101" s="406"/>
      <c r="R101" s="406"/>
      <c r="S101" s="406"/>
      <c r="T101" s="406"/>
      <c r="U101" s="406"/>
      <c r="V101" s="406"/>
      <c r="W101" s="406"/>
      <c r="X101" s="406"/>
      <c r="Y101" s="406"/>
      <c r="Z101" s="406"/>
      <c r="AA101" s="406"/>
      <c r="AB101" s="406"/>
      <c r="AC101" s="406"/>
      <c r="AD101" s="406"/>
      <c r="AE101" s="406"/>
      <c r="AF101" s="406"/>
      <c r="AG101" s="406"/>
      <c r="AH101" s="406"/>
      <c r="AI101" s="406"/>
      <c r="AJ101" s="406"/>
      <c r="AK101" s="406"/>
      <c r="AL101" s="406"/>
      <c r="AM101" s="406"/>
      <c r="AN101" s="406"/>
      <c r="AO101" s="406"/>
      <c r="AP101" s="406"/>
      <c r="AQ101" s="406"/>
      <c r="AR101" s="406"/>
      <c r="AS101" s="406"/>
      <c r="AT101" s="406"/>
      <c r="AU101" s="406"/>
      <c r="AV101" s="406"/>
      <c r="AW101" s="406"/>
      <c r="AX101" s="406"/>
      <c r="AY101" s="406"/>
      <c r="AZ101" s="406"/>
      <c r="BA101" s="406"/>
      <c r="BB101" s="406"/>
      <c r="BC101" s="406"/>
      <c r="BD101" s="406"/>
      <c r="BE101" s="406"/>
      <c r="BF101" s="406"/>
      <c r="BG101" s="406"/>
      <c r="BH101" s="406"/>
      <c r="BI101" s="406"/>
      <c r="BJ101" s="406"/>
      <c r="BK101" s="406"/>
      <c r="BL101" s="406"/>
      <c r="BM101" s="406"/>
      <c r="BN101" s="406"/>
      <c r="BO101" s="406"/>
      <c r="BP101" s="406"/>
      <c r="BQ101" s="406"/>
      <c r="BR101" s="406"/>
      <c r="BS101" s="406"/>
      <c r="BT101" s="406"/>
      <c r="BU101" s="406"/>
      <c r="BV101" s="406"/>
      <c r="BW101" s="406"/>
      <c r="BX101" s="406"/>
      <c r="BY101" s="406"/>
      <c r="BZ101" s="406"/>
      <c r="CA101" s="406"/>
      <c r="CB101" s="406"/>
      <c r="CC101" s="406"/>
      <c r="CD101" s="406"/>
      <c r="CE101" s="406"/>
      <c r="CF101" s="406"/>
      <c r="CG101" s="406"/>
      <c r="CH101" s="406"/>
      <c r="CI101" s="406"/>
      <c r="CJ101" s="406"/>
      <c r="CK101" s="406"/>
      <c r="CL101" s="406"/>
      <c r="CM101" s="406"/>
      <c r="CN101" s="406"/>
      <c r="CO101" s="406"/>
      <c r="CP101" s="406"/>
      <c r="CQ101" s="406"/>
      <c r="CR101" s="406"/>
      <c r="CS101" s="406"/>
      <c r="CT101" s="406"/>
      <c r="CU101" s="406"/>
      <c r="CV101" s="406"/>
      <c r="CW101" s="406"/>
      <c r="CX101" s="406"/>
      <c r="CY101" s="406"/>
      <c r="CZ101" s="406"/>
      <c r="DA101" s="406"/>
      <c r="DB101" s="406"/>
      <c r="DC101" s="406"/>
      <c r="DD101" s="406"/>
      <c r="DE101" s="406"/>
      <c r="DF101" s="406"/>
      <c r="DG101" s="406"/>
      <c r="DH101" s="406"/>
      <c r="DI101" s="406"/>
      <c r="DJ101" s="406"/>
      <c r="DK101" s="406"/>
      <c r="DL101" s="406"/>
      <c r="DM101" s="406"/>
      <c r="DN101" s="406"/>
      <c r="DO101" s="406"/>
      <c r="DP101" s="406"/>
      <c r="DQ101" s="406"/>
      <c r="DR101" s="406"/>
      <c r="DS101" s="406"/>
      <c r="DT101" s="406"/>
      <c r="DU101" s="406"/>
      <c r="DV101" s="406"/>
      <c r="DW101" s="406"/>
      <c r="DX101" s="406"/>
      <c r="DY101" s="406"/>
      <c r="DZ101" s="406"/>
      <c r="EA101" s="406"/>
      <c r="EB101" s="406"/>
      <c r="EC101" s="406"/>
      <c r="ED101" s="406"/>
      <c r="EE101" s="406"/>
      <c r="EF101" s="406"/>
      <c r="EG101" s="406"/>
      <c r="EH101" s="406"/>
      <c r="EI101" s="406"/>
      <c r="EJ101" s="406"/>
      <c r="EK101" s="406"/>
      <c r="EL101" s="406"/>
      <c r="EM101" s="406"/>
      <c r="EN101" s="406"/>
      <c r="EO101" s="406"/>
      <c r="EP101" s="406"/>
      <c r="EQ101" s="406"/>
      <c r="ER101" s="406"/>
      <c r="ES101" s="406"/>
      <c r="ET101" s="406"/>
      <c r="EU101" s="406"/>
      <c r="EV101" s="406"/>
      <c r="EW101" s="406"/>
      <c r="EX101" s="406"/>
      <c r="EY101" s="406"/>
      <c r="EZ101" s="406"/>
      <c r="FA101" s="406"/>
      <c r="FB101" s="406"/>
      <c r="FC101" s="406"/>
      <c r="FD101" s="406"/>
      <c r="FE101" s="406"/>
      <c r="FF101" s="406"/>
      <c r="FG101" s="406"/>
      <c r="FH101" s="406"/>
      <c r="FI101" s="406"/>
      <c r="FJ101" s="406"/>
      <c r="FK101" s="406"/>
      <c r="FL101" s="406"/>
      <c r="FM101" s="406"/>
      <c r="FN101" s="406"/>
      <c r="FO101" s="406"/>
      <c r="FP101" s="406"/>
      <c r="FQ101" s="406"/>
      <c r="FR101" s="406"/>
      <c r="FS101" s="406"/>
      <c r="FT101" s="406"/>
      <c r="FU101" s="406"/>
      <c r="FV101" s="406"/>
      <c r="FW101" s="406"/>
      <c r="FX101" s="406"/>
      <c r="FY101" s="406"/>
      <c r="FZ101" s="406"/>
      <c r="GA101" s="406"/>
      <c r="GB101" s="406"/>
      <c r="GC101" s="406"/>
      <c r="GD101" s="406"/>
      <c r="GE101" s="406"/>
      <c r="GF101" s="406"/>
      <c r="GG101" s="406"/>
      <c r="GH101" s="406"/>
      <c r="GI101" s="406"/>
      <c r="GJ101" s="406"/>
      <c r="GK101" s="406"/>
      <c r="GL101" s="406"/>
    </row>
  </sheetData>
  <mergeCells count="9">
    <mergeCell ref="B14:B15"/>
    <mergeCell ref="A2:H2"/>
    <mergeCell ref="A42:H42"/>
    <mergeCell ref="N32:N33"/>
    <mergeCell ref="E44:F44"/>
    <mergeCell ref="J32:K32"/>
    <mergeCell ref="I32:I33"/>
    <mergeCell ref="L32:L33"/>
    <mergeCell ref="M32:M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0" r:id="rId4" name="Drop Down 30">
              <controlPr defaultSize="0" autoLine="0" autoPict="0">
                <anchor moveWithCells="1">
                  <from>
                    <xdr:col>6</xdr:col>
                    <xdr:colOff>9525</xdr:colOff>
                    <xdr:row>45</xdr:row>
                    <xdr:rowOff>0</xdr:rowOff>
                  </from>
                  <to>
                    <xdr:col>6</xdr:col>
                    <xdr:colOff>828675</xdr:colOff>
                    <xdr:row>45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5" name="Drop Down 31">
              <controlPr defaultSize="0" autoLine="0" autoPict="0">
                <anchor moveWithCells="1">
                  <from>
                    <xdr:col>6</xdr:col>
                    <xdr:colOff>9525</xdr:colOff>
                    <xdr:row>46</xdr:row>
                    <xdr:rowOff>0</xdr:rowOff>
                  </from>
                  <to>
                    <xdr:col>6</xdr:col>
                    <xdr:colOff>828675</xdr:colOff>
                    <xdr:row>46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6" name="Drop Down 32">
              <controlPr defaultSize="0" autoLine="0" autoPict="0">
                <anchor moveWithCells="1">
                  <from>
                    <xdr:col>6</xdr:col>
                    <xdr:colOff>9525</xdr:colOff>
                    <xdr:row>47</xdr:row>
                    <xdr:rowOff>0</xdr:rowOff>
                  </from>
                  <to>
                    <xdr:col>6</xdr:col>
                    <xdr:colOff>828675</xdr:colOff>
                    <xdr:row>47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7" name="Drop Down 33">
              <controlPr defaultSize="0" autoLine="0" autoPict="0">
                <anchor moveWithCells="1">
                  <from>
                    <xdr:col>6</xdr:col>
                    <xdr:colOff>9525</xdr:colOff>
                    <xdr:row>48</xdr:row>
                    <xdr:rowOff>0</xdr:rowOff>
                  </from>
                  <to>
                    <xdr:col>6</xdr:col>
                    <xdr:colOff>828675</xdr:colOff>
                    <xdr:row>48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8" name="Drop Down 34">
              <controlPr defaultSize="0" autoLine="0" autoPict="0">
                <anchor moveWithCells="1">
                  <from>
                    <xdr:col>6</xdr:col>
                    <xdr:colOff>9525</xdr:colOff>
                    <xdr:row>49</xdr:row>
                    <xdr:rowOff>0</xdr:rowOff>
                  </from>
                  <to>
                    <xdr:col>6</xdr:col>
                    <xdr:colOff>828675</xdr:colOff>
                    <xdr:row>49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5" r:id="rId9" name="Drop Down 35">
              <controlPr defaultSize="0" autoLine="0" autoPict="0">
                <anchor moveWithCells="1">
                  <from>
                    <xdr:col>6</xdr:col>
                    <xdr:colOff>9525</xdr:colOff>
                    <xdr:row>50</xdr:row>
                    <xdr:rowOff>0</xdr:rowOff>
                  </from>
                  <to>
                    <xdr:col>6</xdr:col>
                    <xdr:colOff>828675</xdr:colOff>
                    <xdr:row>50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10" name="Drop Down 36">
              <controlPr defaultSize="0" autoLine="0" autoPict="0">
                <anchor moveWithCells="1">
                  <from>
                    <xdr:col>6</xdr:col>
                    <xdr:colOff>9525</xdr:colOff>
                    <xdr:row>51</xdr:row>
                    <xdr:rowOff>0</xdr:rowOff>
                  </from>
                  <to>
                    <xdr:col>6</xdr:col>
                    <xdr:colOff>828675</xdr:colOff>
                    <xdr:row>51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11" name="Drop Down 37">
              <controlPr defaultSize="0" autoLine="0" autoPict="0">
                <anchor moveWithCells="1">
                  <from>
                    <xdr:col>6</xdr:col>
                    <xdr:colOff>9525</xdr:colOff>
                    <xdr:row>52</xdr:row>
                    <xdr:rowOff>0</xdr:rowOff>
                  </from>
                  <to>
                    <xdr:col>6</xdr:col>
                    <xdr:colOff>828675</xdr:colOff>
                    <xdr:row>52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12" name="Drop Down 38">
              <controlPr defaultSize="0" autoLine="0" autoPict="0">
                <anchor moveWithCells="1">
                  <from>
                    <xdr:col>6</xdr:col>
                    <xdr:colOff>9525</xdr:colOff>
                    <xdr:row>53</xdr:row>
                    <xdr:rowOff>0</xdr:rowOff>
                  </from>
                  <to>
                    <xdr:col>6</xdr:col>
                    <xdr:colOff>828675</xdr:colOff>
                    <xdr:row>53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13" name="Drop Down 39">
              <controlPr defaultSize="0" autoLine="0" autoPict="0">
                <anchor moveWithCells="1">
                  <from>
                    <xdr:col>6</xdr:col>
                    <xdr:colOff>9525</xdr:colOff>
                    <xdr:row>54</xdr:row>
                    <xdr:rowOff>0</xdr:rowOff>
                  </from>
                  <to>
                    <xdr:col>6</xdr:col>
                    <xdr:colOff>828675</xdr:colOff>
                    <xdr:row>54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14" name="Drop Down 40">
              <controlPr defaultSize="0" autoLine="0" autoPict="0">
                <anchor moveWithCells="1">
                  <from>
                    <xdr:col>6</xdr:col>
                    <xdr:colOff>9525</xdr:colOff>
                    <xdr:row>55</xdr:row>
                    <xdr:rowOff>0</xdr:rowOff>
                  </from>
                  <to>
                    <xdr:col>6</xdr:col>
                    <xdr:colOff>828675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15" name="Drop Down 41">
              <controlPr defaultSize="0" autoLine="0" autoPict="0">
                <anchor moveWithCells="1">
                  <from>
                    <xdr:col>6</xdr:col>
                    <xdr:colOff>9525</xdr:colOff>
                    <xdr:row>56</xdr:row>
                    <xdr:rowOff>0</xdr:rowOff>
                  </from>
                  <to>
                    <xdr:col>6</xdr:col>
                    <xdr:colOff>828675</xdr:colOff>
                    <xdr:row>56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16" name="Drop Down 42">
              <controlPr defaultSize="0" autoLine="0" autoPict="0">
                <anchor moveWithCells="1">
                  <from>
                    <xdr:col>6</xdr:col>
                    <xdr:colOff>9525</xdr:colOff>
                    <xdr:row>57</xdr:row>
                    <xdr:rowOff>0</xdr:rowOff>
                  </from>
                  <to>
                    <xdr:col>6</xdr:col>
                    <xdr:colOff>828675</xdr:colOff>
                    <xdr:row>57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17" name="Drop Down 43">
              <controlPr defaultSize="0" autoLine="0" autoPict="0">
                <anchor moveWithCells="1">
                  <from>
                    <xdr:col>6</xdr:col>
                    <xdr:colOff>9525</xdr:colOff>
                    <xdr:row>58</xdr:row>
                    <xdr:rowOff>0</xdr:rowOff>
                  </from>
                  <to>
                    <xdr:col>6</xdr:col>
                    <xdr:colOff>828675</xdr:colOff>
                    <xdr:row>58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18" name="Drop Down 44">
              <controlPr defaultSize="0" autoLine="0" autoPict="0">
                <anchor moveWithCells="1">
                  <from>
                    <xdr:col>6</xdr:col>
                    <xdr:colOff>9525</xdr:colOff>
                    <xdr:row>59</xdr:row>
                    <xdr:rowOff>0</xdr:rowOff>
                  </from>
                  <to>
                    <xdr:col>6</xdr:col>
                    <xdr:colOff>828675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r:id="rId19" name="Drop Down 45">
              <controlPr defaultSize="0" autoLine="0" autoPict="0">
                <anchor moveWithCells="1">
                  <from>
                    <xdr:col>6</xdr:col>
                    <xdr:colOff>9525</xdr:colOff>
                    <xdr:row>60</xdr:row>
                    <xdr:rowOff>0</xdr:rowOff>
                  </from>
                  <to>
                    <xdr:col>6</xdr:col>
                    <xdr:colOff>828675</xdr:colOff>
                    <xdr:row>60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6" r:id="rId20" name="Drop Down 46">
              <controlPr defaultSize="0" autoLine="0" autoPict="0">
                <anchor moveWithCells="1">
                  <from>
                    <xdr:col>6</xdr:col>
                    <xdr:colOff>9525</xdr:colOff>
                    <xdr:row>61</xdr:row>
                    <xdr:rowOff>0</xdr:rowOff>
                  </from>
                  <to>
                    <xdr:col>6</xdr:col>
                    <xdr:colOff>828675</xdr:colOff>
                    <xdr:row>61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7" r:id="rId21" name="Drop Down 47">
              <controlPr defaultSize="0" autoLine="0" autoPict="0">
                <anchor moveWithCells="1">
                  <from>
                    <xdr:col>6</xdr:col>
                    <xdr:colOff>9525</xdr:colOff>
                    <xdr:row>62</xdr:row>
                    <xdr:rowOff>0</xdr:rowOff>
                  </from>
                  <to>
                    <xdr:col>6</xdr:col>
                    <xdr:colOff>828675</xdr:colOff>
                    <xdr:row>62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8" r:id="rId22" name="Drop Down 48">
              <controlPr defaultSize="0" autoLine="0" autoPict="0">
                <anchor moveWithCells="1">
                  <from>
                    <xdr:col>6</xdr:col>
                    <xdr:colOff>9525</xdr:colOff>
                    <xdr:row>63</xdr:row>
                    <xdr:rowOff>0</xdr:rowOff>
                  </from>
                  <to>
                    <xdr:col>6</xdr:col>
                    <xdr:colOff>828675</xdr:colOff>
                    <xdr:row>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9" r:id="rId23" name="Drop Down 49">
              <controlPr defaultSize="0" autoLine="0" autoPict="0">
                <anchor moveWithCells="1">
                  <from>
                    <xdr:col>6</xdr:col>
                    <xdr:colOff>9525</xdr:colOff>
                    <xdr:row>64</xdr:row>
                    <xdr:rowOff>0</xdr:rowOff>
                  </from>
                  <to>
                    <xdr:col>6</xdr:col>
                    <xdr:colOff>828675</xdr:colOff>
                    <xdr:row>64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0" r:id="rId24" name="Drop Down 50">
              <controlPr defaultSize="0" autoLine="0" autoPict="0">
                <anchor moveWithCells="1">
                  <from>
                    <xdr:col>6</xdr:col>
                    <xdr:colOff>9525</xdr:colOff>
                    <xdr:row>65</xdr:row>
                    <xdr:rowOff>0</xdr:rowOff>
                  </from>
                  <to>
                    <xdr:col>6</xdr:col>
                    <xdr:colOff>828675</xdr:colOff>
                    <xdr:row>65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1" r:id="rId25" name="Drop Down 51">
              <controlPr defaultSize="0" autoLine="0" autoPict="0">
                <anchor moveWithCells="1">
                  <from>
                    <xdr:col>6</xdr:col>
                    <xdr:colOff>9525</xdr:colOff>
                    <xdr:row>66</xdr:row>
                    <xdr:rowOff>0</xdr:rowOff>
                  </from>
                  <to>
                    <xdr:col>6</xdr:col>
                    <xdr:colOff>828675</xdr:colOff>
                    <xdr:row>66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2" r:id="rId26" name="Drop Down 52">
              <controlPr defaultSize="0" autoLine="0" autoPict="0">
                <anchor moveWithCells="1">
                  <from>
                    <xdr:col>6</xdr:col>
                    <xdr:colOff>9525</xdr:colOff>
                    <xdr:row>67</xdr:row>
                    <xdr:rowOff>0</xdr:rowOff>
                  </from>
                  <to>
                    <xdr:col>6</xdr:col>
                    <xdr:colOff>828675</xdr:colOff>
                    <xdr:row>67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3" r:id="rId27" name="Drop Down 53">
              <controlPr defaultSize="0" autoLine="0" autoPict="0">
                <anchor moveWithCells="1">
                  <from>
                    <xdr:col>6</xdr:col>
                    <xdr:colOff>9525</xdr:colOff>
                    <xdr:row>68</xdr:row>
                    <xdr:rowOff>0</xdr:rowOff>
                  </from>
                  <to>
                    <xdr:col>6</xdr:col>
                    <xdr:colOff>828675</xdr:colOff>
                    <xdr:row>68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4" r:id="rId28" name="Drop Down 54">
              <controlPr defaultSize="0" autoLine="0" autoPict="0">
                <anchor moveWithCells="1">
                  <from>
                    <xdr:col>6</xdr:col>
                    <xdr:colOff>9525</xdr:colOff>
                    <xdr:row>69</xdr:row>
                    <xdr:rowOff>0</xdr:rowOff>
                  </from>
                  <to>
                    <xdr:col>6</xdr:col>
                    <xdr:colOff>828675</xdr:colOff>
                    <xdr:row>69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5" r:id="rId29" name="Drop Down 55">
              <controlPr defaultSize="0" autoLine="0" autoPict="0">
                <anchor moveWithCells="1">
                  <from>
                    <xdr:col>6</xdr:col>
                    <xdr:colOff>9525</xdr:colOff>
                    <xdr:row>70</xdr:row>
                    <xdr:rowOff>0</xdr:rowOff>
                  </from>
                  <to>
                    <xdr:col>6</xdr:col>
                    <xdr:colOff>828675</xdr:colOff>
                    <xdr:row>70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6" r:id="rId30" name="Drop Down 56">
              <controlPr defaultSize="0" autoLine="0" autoPict="0">
                <anchor moveWithCells="1">
                  <from>
                    <xdr:col>6</xdr:col>
                    <xdr:colOff>9525</xdr:colOff>
                    <xdr:row>71</xdr:row>
                    <xdr:rowOff>0</xdr:rowOff>
                  </from>
                  <to>
                    <xdr:col>6</xdr:col>
                    <xdr:colOff>828675</xdr:colOff>
                    <xdr:row>71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7" r:id="rId31" name="Drop Down 57">
              <controlPr defaultSize="0" autoLine="0" autoPict="0">
                <anchor moveWithCells="1">
                  <from>
                    <xdr:col>6</xdr:col>
                    <xdr:colOff>9525</xdr:colOff>
                    <xdr:row>72</xdr:row>
                    <xdr:rowOff>0</xdr:rowOff>
                  </from>
                  <to>
                    <xdr:col>6</xdr:col>
                    <xdr:colOff>828675</xdr:colOff>
                    <xdr:row>72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8" r:id="rId32" name="Drop Down 58">
              <controlPr defaultSize="0" autoLine="0" autoPict="0">
                <anchor moveWithCells="1">
                  <from>
                    <xdr:col>6</xdr:col>
                    <xdr:colOff>9525</xdr:colOff>
                    <xdr:row>73</xdr:row>
                    <xdr:rowOff>0</xdr:rowOff>
                  </from>
                  <to>
                    <xdr:col>6</xdr:col>
                    <xdr:colOff>828675</xdr:colOff>
                    <xdr:row>73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9" r:id="rId33" name="Drop Down 59">
              <controlPr defaultSize="0" autoLine="0" autoPict="0">
                <anchor moveWithCells="1">
                  <from>
                    <xdr:col>6</xdr:col>
                    <xdr:colOff>9525</xdr:colOff>
                    <xdr:row>74</xdr:row>
                    <xdr:rowOff>0</xdr:rowOff>
                  </from>
                  <to>
                    <xdr:col>6</xdr:col>
                    <xdr:colOff>828675</xdr:colOff>
                    <xdr:row>74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/>
  </sheetPr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/>
  </sheetPr>
  <dimension ref="A1"/>
  <sheetViews>
    <sheetView workbookViewId="0">
      <selection activeCell="F24" sqref="F24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>
    <tabColor theme="0" tint="-0.34998626667073579"/>
  </sheetPr>
  <dimension ref="A1:NS187"/>
  <sheetViews>
    <sheetView tabSelected="1" workbookViewId="0">
      <selection activeCell="F176" sqref="F176"/>
    </sheetView>
  </sheetViews>
  <sheetFormatPr defaultRowHeight="20.100000000000001" customHeight="1"/>
  <cols>
    <col min="1" max="1" width="40.7109375" style="259" customWidth="1"/>
    <col min="2" max="72" width="10.7109375" style="259" customWidth="1"/>
    <col min="73" max="16384" width="9.140625" style="259"/>
  </cols>
  <sheetData>
    <row r="1" spans="1:33" s="258" customFormat="1" ht="30" customHeight="1">
      <c r="A1" s="21" t="s">
        <v>387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</row>
    <row r="2" spans="1:33" s="286" customFormat="1" ht="20.100000000000001" customHeight="1">
      <c r="A2" s="287" t="s">
        <v>395</v>
      </c>
      <c r="B2" s="633" t="s">
        <v>1113</v>
      </c>
      <c r="C2" s="634"/>
      <c r="D2" s="634"/>
      <c r="E2" s="634"/>
      <c r="F2" s="63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</row>
    <row r="3" spans="1:33" ht="20.100000000000001" customHeight="1">
      <c r="A3" s="259" t="s">
        <v>382</v>
      </c>
      <c r="B3" s="288">
        <v>2022</v>
      </c>
    </row>
    <row r="4" spans="1:33" ht="20.100000000000001" customHeight="1">
      <c r="A4" s="56" t="s">
        <v>33</v>
      </c>
      <c r="B4" s="259">
        <v>15</v>
      </c>
    </row>
    <row r="5" spans="1:33" ht="20.100000000000001" customHeight="1">
      <c r="A5" s="58" t="s">
        <v>379</v>
      </c>
    </row>
    <row r="6" spans="1:33" ht="20.100000000000001" customHeight="1">
      <c r="A6" s="56" t="s">
        <v>378</v>
      </c>
      <c r="B6" s="45">
        <v>19000</v>
      </c>
    </row>
    <row r="7" spans="1:33" ht="20.100000000000001" customHeight="1">
      <c r="A7" s="56"/>
      <c r="C7" s="273">
        <v>2021</v>
      </c>
      <c r="D7" s="273">
        <f>C7+1</f>
        <v>2022</v>
      </c>
      <c r="E7" s="273">
        <f>D7+1</f>
        <v>2023</v>
      </c>
      <c r="F7" s="273">
        <f t="shared" ref="F7:M7" si="0">E7+1</f>
        <v>2024</v>
      </c>
      <c r="G7" s="273">
        <f t="shared" si="0"/>
        <v>2025</v>
      </c>
      <c r="H7" s="273">
        <f t="shared" si="0"/>
        <v>2026</v>
      </c>
      <c r="I7" s="273">
        <f t="shared" si="0"/>
        <v>2027</v>
      </c>
      <c r="J7" s="273">
        <f t="shared" si="0"/>
        <v>2028</v>
      </c>
      <c r="K7" s="273">
        <f t="shared" si="0"/>
        <v>2029</v>
      </c>
      <c r="L7" s="273">
        <f t="shared" si="0"/>
        <v>2030</v>
      </c>
      <c r="M7" s="273">
        <f t="shared" si="0"/>
        <v>2031</v>
      </c>
      <c r="N7" s="273">
        <f t="shared" ref="N7:W7" si="1">M7+1</f>
        <v>2032</v>
      </c>
      <c r="O7" s="273">
        <f t="shared" si="1"/>
        <v>2033</v>
      </c>
      <c r="P7" s="273">
        <f t="shared" si="1"/>
        <v>2034</v>
      </c>
      <c r="Q7" s="273">
        <f t="shared" si="1"/>
        <v>2035</v>
      </c>
      <c r="R7" s="273">
        <f t="shared" si="1"/>
        <v>2036</v>
      </c>
      <c r="S7" s="273">
        <f t="shared" si="1"/>
        <v>2037</v>
      </c>
      <c r="T7" s="273">
        <f t="shared" si="1"/>
        <v>2038</v>
      </c>
      <c r="U7" s="273">
        <f t="shared" si="1"/>
        <v>2039</v>
      </c>
      <c r="V7" s="273">
        <f t="shared" si="1"/>
        <v>2040</v>
      </c>
      <c r="W7" s="273">
        <f t="shared" si="1"/>
        <v>2041</v>
      </c>
      <c r="X7" s="273">
        <f t="shared" ref="X7:AF7" si="2">W7+1</f>
        <v>2042</v>
      </c>
      <c r="Y7" s="273">
        <f t="shared" si="2"/>
        <v>2043</v>
      </c>
      <c r="Z7" s="273">
        <f t="shared" si="2"/>
        <v>2044</v>
      </c>
      <c r="AA7" s="273">
        <f t="shared" si="2"/>
        <v>2045</v>
      </c>
      <c r="AB7" s="273">
        <f t="shared" si="2"/>
        <v>2046</v>
      </c>
      <c r="AC7" s="273">
        <f t="shared" si="2"/>
        <v>2047</v>
      </c>
      <c r="AD7" s="273">
        <f t="shared" si="2"/>
        <v>2048</v>
      </c>
      <c r="AE7" s="273">
        <f t="shared" si="2"/>
        <v>2049</v>
      </c>
      <c r="AF7" s="273">
        <f t="shared" si="2"/>
        <v>2050</v>
      </c>
    </row>
    <row r="8" spans="1:33" ht="20.100000000000001" customHeight="1">
      <c r="A8" s="56" t="s">
        <v>384</v>
      </c>
      <c r="C8" s="278">
        <f>INDEX('DEFAULT DATA'!$B$9:$D$40,'LOCAL DATASET'!$B$4,1)</f>
        <v>0</v>
      </c>
      <c r="D8" s="278">
        <f>INDEX('DEFAULT DATA'!$B$9:$D$40,'LOCAL DATASET'!$B$4,1)</f>
        <v>0</v>
      </c>
      <c r="E8" s="278">
        <f>INDEX('DEFAULT DATA'!$B$9:$D$40,'LOCAL DATASET'!$B$4,1)</f>
        <v>0</v>
      </c>
      <c r="F8" s="278">
        <f>INDEX('DEFAULT DATA'!$B$9:$D$40,'LOCAL DATASET'!$B$4,1)</f>
        <v>0</v>
      </c>
      <c r="G8" s="278">
        <f>INDEX('DEFAULT DATA'!$B$9:$D$40,'LOCAL DATASET'!$B$4,1)</f>
        <v>0</v>
      </c>
      <c r="H8" s="278">
        <f>INDEX('DEFAULT DATA'!$B$9:$D$40,'LOCAL DATASET'!$B$4,1)</f>
        <v>0</v>
      </c>
      <c r="I8" s="278">
        <f>INDEX('DEFAULT DATA'!$B$9:$D$40,'LOCAL DATASET'!$B$4,1)</f>
        <v>0</v>
      </c>
      <c r="J8" s="278">
        <f>INDEX('DEFAULT DATA'!$B$9:$D$40,'LOCAL DATASET'!$B$4,1)</f>
        <v>0</v>
      </c>
      <c r="K8" s="278">
        <f>INDEX('DEFAULT DATA'!$B$9:$D$40,'LOCAL DATASET'!$B$4,1)</f>
        <v>0</v>
      </c>
      <c r="L8" s="278">
        <f>INDEX('DEFAULT DATA'!$B$9:$D$40,'LOCAL DATASET'!$B$4,1)</f>
        <v>0</v>
      </c>
      <c r="M8" s="278">
        <f>INDEX('DEFAULT DATA'!$B$9:$D$40,'LOCAL DATASET'!$B$4,2)</f>
        <v>0.4</v>
      </c>
      <c r="N8" s="278">
        <f>INDEX('DEFAULT DATA'!$B$9:$D$40,'LOCAL DATASET'!$B$4,2)</f>
        <v>0.4</v>
      </c>
      <c r="O8" s="278">
        <f>INDEX('DEFAULT DATA'!$B$9:$D$40,'LOCAL DATASET'!$B$4,2)</f>
        <v>0.4</v>
      </c>
      <c r="P8" s="278">
        <f>INDEX('DEFAULT DATA'!$B$9:$D$40,'LOCAL DATASET'!$B$4,2)</f>
        <v>0.4</v>
      </c>
      <c r="Q8" s="278">
        <f>INDEX('DEFAULT DATA'!$B$9:$D$40,'LOCAL DATASET'!$B$4,2)</f>
        <v>0.4</v>
      </c>
      <c r="R8" s="278">
        <f>INDEX('DEFAULT DATA'!$B$9:$D$40,'LOCAL DATASET'!$B$4,2)</f>
        <v>0.4</v>
      </c>
      <c r="S8" s="278">
        <f>INDEX('DEFAULT DATA'!$B$9:$D$40,'LOCAL DATASET'!$B$4,2)</f>
        <v>0.4</v>
      </c>
      <c r="T8" s="278">
        <f>INDEX('DEFAULT DATA'!$B$9:$D$40,'LOCAL DATASET'!$B$4,2)</f>
        <v>0.4</v>
      </c>
      <c r="U8" s="278">
        <f>INDEX('DEFAULT DATA'!$B$9:$D$40,'LOCAL DATASET'!$B$4,2)</f>
        <v>0.4</v>
      </c>
      <c r="V8" s="278">
        <f>INDEX('DEFAULT DATA'!$B$9:$D$40,'LOCAL DATASET'!$B$4,2)</f>
        <v>0.4</v>
      </c>
      <c r="W8" s="278">
        <f>INDEX('DEFAULT DATA'!$B$9:$D$40,'LOCAL DATASET'!$B$4,3)</f>
        <v>0.4</v>
      </c>
      <c r="X8" s="278">
        <f>INDEX('DEFAULT DATA'!$B$9:$D$40,'LOCAL DATASET'!$B$4,3)</f>
        <v>0.4</v>
      </c>
      <c r="Y8" s="278">
        <f>INDEX('DEFAULT DATA'!$B$9:$D$40,'LOCAL DATASET'!$B$4,3)</f>
        <v>0.4</v>
      </c>
      <c r="Z8" s="278">
        <f>INDEX('DEFAULT DATA'!$B$9:$D$40,'LOCAL DATASET'!$B$4,3)</f>
        <v>0.4</v>
      </c>
      <c r="AA8" s="278">
        <f>INDEX('DEFAULT DATA'!$B$9:$D$40,'LOCAL DATASET'!$B$4,3)</f>
        <v>0.4</v>
      </c>
      <c r="AB8" s="278">
        <f>INDEX('DEFAULT DATA'!$B$9:$D$40,'LOCAL DATASET'!$B$4,3)</f>
        <v>0.4</v>
      </c>
      <c r="AC8" s="278">
        <f>INDEX('DEFAULT DATA'!$B$9:$D$40,'LOCAL DATASET'!$B$4,3)</f>
        <v>0.4</v>
      </c>
      <c r="AD8" s="278">
        <f>INDEX('DEFAULT DATA'!$B$9:$D$40,'LOCAL DATASET'!$B$4,3)</f>
        <v>0.4</v>
      </c>
      <c r="AE8" s="278">
        <f>INDEX('DEFAULT DATA'!$B$9:$D$40,'LOCAL DATASET'!$B$4,3)</f>
        <v>0.4</v>
      </c>
      <c r="AF8" s="278">
        <f>INDEX('DEFAULT DATA'!$B$9:$D$40,'LOCAL DATASET'!$B$4,3)</f>
        <v>0.4</v>
      </c>
    </row>
    <row r="9" spans="1:33" ht="20.100000000000001" customHeight="1">
      <c r="A9" s="56" t="s">
        <v>383</v>
      </c>
      <c r="C9" s="273">
        <v>0</v>
      </c>
      <c r="D9" s="275">
        <f>IF('LOCAL DATASET'!D7=$B$3,'LOCAL DATASET'!$B$6,INT('LOCAL DATASET'!C9*(100+'LOCAL DATASET'!D8)/100))</f>
        <v>19000</v>
      </c>
      <c r="E9" s="275">
        <f>IF('LOCAL DATASET'!E7=$B$3,'LOCAL DATASET'!$B$6,INT('LOCAL DATASET'!D9*(100+'LOCAL DATASET'!E8)/100))</f>
        <v>19000</v>
      </c>
      <c r="F9" s="275">
        <f>IF('LOCAL DATASET'!F7=$B$3,'LOCAL DATASET'!$B$6,INT('LOCAL DATASET'!E9*(100+'LOCAL DATASET'!F8)/100))</f>
        <v>19000</v>
      </c>
      <c r="G9" s="275">
        <f>IF('LOCAL DATASET'!G7=$B$3,'LOCAL DATASET'!$B$6,INT('LOCAL DATASET'!F9*(100+'LOCAL DATASET'!G8)/100))</f>
        <v>19000</v>
      </c>
      <c r="H9" s="275">
        <f>IF('LOCAL DATASET'!H7=$B$3,'LOCAL DATASET'!$B$6,INT('LOCAL DATASET'!G9*(100+'LOCAL DATASET'!H8)/100))</f>
        <v>19000</v>
      </c>
      <c r="I9" s="275">
        <f>IF('LOCAL DATASET'!I7=$B$3,'LOCAL DATASET'!$B$6,INT('LOCAL DATASET'!H9*(100+'LOCAL DATASET'!I8)/100))</f>
        <v>19000</v>
      </c>
      <c r="J9" s="275">
        <f>IF('LOCAL DATASET'!J7=$B$3,'LOCAL DATASET'!$B$6,INT('LOCAL DATASET'!I9*(100+'LOCAL DATASET'!J8)/100))</f>
        <v>19000</v>
      </c>
      <c r="K9" s="275">
        <f>IF('LOCAL DATASET'!K7=$B$3,'LOCAL DATASET'!$B$6,INT('LOCAL DATASET'!J9*(100+'LOCAL DATASET'!K8)/100))</f>
        <v>19000</v>
      </c>
      <c r="L9" s="275">
        <f>IF('LOCAL DATASET'!L7=$B$3,'LOCAL DATASET'!$B$6,INT('LOCAL DATASET'!K9*(100+'LOCAL DATASET'!L8)/100))</f>
        <v>19000</v>
      </c>
      <c r="M9" s="275">
        <f>IF('LOCAL DATASET'!M7=$B$3,'LOCAL DATASET'!$B$6,INT('LOCAL DATASET'!L9*(100+'LOCAL DATASET'!M8)/100))</f>
        <v>19076</v>
      </c>
      <c r="N9" s="275">
        <f>IF('LOCAL DATASET'!N7=$B$3,'LOCAL DATASET'!$B$6,INT('LOCAL DATASET'!M9*(100+'LOCAL DATASET'!N8)/100))</f>
        <v>19152</v>
      </c>
      <c r="O9" s="275">
        <f>IF('LOCAL DATASET'!O7=$B$3,'LOCAL DATASET'!$B$6,INT('LOCAL DATASET'!N9*(100+'LOCAL DATASET'!O8)/100))</f>
        <v>19228</v>
      </c>
      <c r="P9" s="275">
        <f>IF('LOCAL DATASET'!P7=$B$3,'LOCAL DATASET'!$B$6,INT('LOCAL DATASET'!O9*(100+'LOCAL DATASET'!P8)/100))</f>
        <v>19304</v>
      </c>
      <c r="Q9" s="275">
        <f>IF('LOCAL DATASET'!Q7=$B$3,'LOCAL DATASET'!$B$6,INT('LOCAL DATASET'!P9*(100+'LOCAL DATASET'!Q8)/100))</f>
        <v>19381</v>
      </c>
      <c r="R9" s="275">
        <f>IF('LOCAL DATASET'!R7=$B$3,'LOCAL DATASET'!$B$6,INT('LOCAL DATASET'!Q9*(100+'LOCAL DATASET'!R8)/100))</f>
        <v>19458</v>
      </c>
      <c r="S9" s="275">
        <f>IF('LOCAL DATASET'!S7=$B$3,'LOCAL DATASET'!$B$6,INT('LOCAL DATASET'!R9*(100+'LOCAL DATASET'!S8)/100))</f>
        <v>19535</v>
      </c>
      <c r="T9" s="275">
        <f>IF('LOCAL DATASET'!T7=$B$3,'LOCAL DATASET'!$B$6,INT('LOCAL DATASET'!S9*(100+'LOCAL DATASET'!T8)/100))</f>
        <v>19613</v>
      </c>
      <c r="U9" s="275">
        <f>IF('LOCAL DATASET'!U7=$B$3,'LOCAL DATASET'!$B$6,INT('LOCAL DATASET'!T9*(100+'LOCAL DATASET'!U8)/100))</f>
        <v>19691</v>
      </c>
      <c r="V9" s="275">
        <f>IF('LOCAL DATASET'!V7=$B$3,'LOCAL DATASET'!$B$6,INT('LOCAL DATASET'!U9*(100+'LOCAL DATASET'!V8)/100))</f>
        <v>19769</v>
      </c>
      <c r="W9" s="275">
        <f>IF('LOCAL DATASET'!W7=$B$3,'LOCAL DATASET'!$B$6,INT('LOCAL DATASET'!V9*(100+'LOCAL DATASET'!W8)/100))</f>
        <v>19848</v>
      </c>
      <c r="X9" s="275">
        <f>IF('LOCAL DATASET'!X7=$B$3,'LOCAL DATASET'!$B$6,INT('LOCAL DATASET'!W9*(100+'LOCAL DATASET'!X8)/100))</f>
        <v>19927</v>
      </c>
      <c r="Y9" s="275">
        <f>IF('LOCAL DATASET'!Y7=$B$3,'LOCAL DATASET'!$B$6,INT('LOCAL DATASET'!X9*(100+'LOCAL DATASET'!Y8)/100))</f>
        <v>20006</v>
      </c>
      <c r="Z9" s="275">
        <f>IF('LOCAL DATASET'!Z7=$B$3,'LOCAL DATASET'!$B$6,INT('LOCAL DATASET'!Y9*(100+'LOCAL DATASET'!Z8)/100))</f>
        <v>20086</v>
      </c>
      <c r="AA9" s="275">
        <f>IF('LOCAL DATASET'!AA7=$B$3,'LOCAL DATASET'!$B$6,INT('LOCAL DATASET'!Z9*(100+'LOCAL DATASET'!AA8)/100))</f>
        <v>20166</v>
      </c>
      <c r="AB9" s="275">
        <f>IF('LOCAL DATASET'!AB7=$B$3,'LOCAL DATASET'!$B$6,INT('LOCAL DATASET'!AA9*(100+'LOCAL DATASET'!AB8)/100))</f>
        <v>20246</v>
      </c>
      <c r="AC9" s="275">
        <f>IF('LOCAL DATASET'!AC7=$B$3,'LOCAL DATASET'!$B$6,INT('LOCAL DATASET'!AB9*(100+'LOCAL DATASET'!AC8)/100))</f>
        <v>20326</v>
      </c>
      <c r="AD9" s="275">
        <f>IF('LOCAL DATASET'!AD7=$B$3,'LOCAL DATASET'!$B$6,INT('LOCAL DATASET'!AC9*(100+'LOCAL DATASET'!AD8)/100))</f>
        <v>20407</v>
      </c>
      <c r="AE9" s="275">
        <f>IF('LOCAL DATASET'!AE7=$B$3,'LOCAL DATASET'!$B$6,INT('LOCAL DATASET'!AD9*(100+'LOCAL DATASET'!AE8)/100))</f>
        <v>20488</v>
      </c>
      <c r="AF9" s="275">
        <f>IF('LOCAL DATASET'!AF7=$B$3,'LOCAL DATASET'!$B$6,INT('LOCAL DATASET'!AE9*(100+'LOCAL DATASET'!AF8)/100))</f>
        <v>20569</v>
      </c>
    </row>
    <row r="10" spans="1:33" ht="20.100000000000001" customHeight="1">
      <c r="A10" s="58" t="s">
        <v>398</v>
      </c>
      <c r="C10" s="260"/>
      <c r="D10" s="274"/>
      <c r="E10" s="274"/>
      <c r="F10" s="274"/>
      <c r="G10" s="274"/>
      <c r="H10" s="274"/>
      <c r="I10" s="274"/>
      <c r="J10" s="274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274"/>
      <c r="V10" s="274"/>
      <c r="W10" s="274"/>
      <c r="X10" s="274"/>
      <c r="Y10" s="274"/>
      <c r="Z10" s="274"/>
      <c r="AA10" s="274"/>
      <c r="AB10" s="274"/>
      <c r="AC10" s="274"/>
      <c r="AD10" s="274"/>
      <c r="AE10" s="274"/>
      <c r="AF10" s="274"/>
    </row>
    <row r="11" spans="1:33" ht="20.100000000000001" customHeight="1">
      <c r="A11" s="56" t="s">
        <v>386</v>
      </c>
      <c r="B11" s="277">
        <f>INDEX('DEFAULT DATA'!E9:E40,'LOCAL DATASET'!B4,1)</f>
        <v>364.08695652173913</v>
      </c>
      <c r="C11" s="260"/>
      <c r="D11" s="274"/>
      <c r="E11" s="274"/>
      <c r="F11" s="274"/>
      <c r="G11" s="274"/>
      <c r="H11" s="274"/>
      <c r="I11" s="274"/>
      <c r="J11" s="274"/>
      <c r="K11" s="274"/>
      <c r="L11" s="274"/>
      <c r="M11" s="274"/>
      <c r="N11" s="274"/>
      <c r="O11" s="274"/>
      <c r="P11" s="274"/>
      <c r="Q11" s="274"/>
      <c r="R11" s="274"/>
      <c r="S11" s="274"/>
      <c r="T11" s="274"/>
      <c r="U11" s="274"/>
      <c r="V11" s="274"/>
      <c r="W11" s="274"/>
      <c r="X11" s="274"/>
      <c r="Y11" s="274"/>
      <c r="Z11" s="274"/>
      <c r="AA11" s="274"/>
      <c r="AB11" s="274"/>
      <c r="AC11" s="274"/>
      <c r="AD11" s="274"/>
      <c r="AE11" s="274"/>
      <c r="AF11" s="274"/>
    </row>
    <row r="12" spans="1:33" ht="20.100000000000001" customHeight="1">
      <c r="A12" s="56"/>
      <c r="B12" s="65"/>
      <c r="C12" s="281">
        <v>2021</v>
      </c>
      <c r="D12" s="281">
        <f>C12+1</f>
        <v>2022</v>
      </c>
      <c r="E12" s="281">
        <f>D12+1</f>
        <v>2023</v>
      </c>
      <c r="F12" s="281">
        <f t="shared" ref="F12:AF12" si="3">E12+1</f>
        <v>2024</v>
      </c>
      <c r="G12" s="281">
        <f t="shared" si="3"/>
        <v>2025</v>
      </c>
      <c r="H12" s="281">
        <f t="shared" si="3"/>
        <v>2026</v>
      </c>
      <c r="I12" s="281">
        <f t="shared" si="3"/>
        <v>2027</v>
      </c>
      <c r="J12" s="281">
        <f t="shared" si="3"/>
        <v>2028</v>
      </c>
      <c r="K12" s="281">
        <f t="shared" si="3"/>
        <v>2029</v>
      </c>
      <c r="L12" s="281">
        <f t="shared" si="3"/>
        <v>2030</v>
      </c>
      <c r="M12" s="281">
        <f t="shared" si="3"/>
        <v>2031</v>
      </c>
      <c r="N12" s="281">
        <f t="shared" si="3"/>
        <v>2032</v>
      </c>
      <c r="O12" s="281">
        <f t="shared" si="3"/>
        <v>2033</v>
      </c>
      <c r="P12" s="281">
        <f t="shared" si="3"/>
        <v>2034</v>
      </c>
      <c r="Q12" s="281">
        <f t="shared" si="3"/>
        <v>2035</v>
      </c>
      <c r="R12" s="281">
        <f t="shared" si="3"/>
        <v>2036</v>
      </c>
      <c r="S12" s="281">
        <f t="shared" si="3"/>
        <v>2037</v>
      </c>
      <c r="T12" s="281">
        <f t="shared" si="3"/>
        <v>2038</v>
      </c>
      <c r="U12" s="281">
        <f t="shared" si="3"/>
        <v>2039</v>
      </c>
      <c r="V12" s="281">
        <f t="shared" si="3"/>
        <v>2040</v>
      </c>
      <c r="W12" s="281">
        <f t="shared" si="3"/>
        <v>2041</v>
      </c>
      <c r="X12" s="281">
        <f t="shared" si="3"/>
        <v>2042</v>
      </c>
      <c r="Y12" s="281">
        <f t="shared" si="3"/>
        <v>2043</v>
      </c>
      <c r="Z12" s="281">
        <f t="shared" si="3"/>
        <v>2044</v>
      </c>
      <c r="AA12" s="281">
        <f t="shared" si="3"/>
        <v>2045</v>
      </c>
      <c r="AB12" s="281">
        <f t="shared" si="3"/>
        <v>2046</v>
      </c>
      <c r="AC12" s="281">
        <f t="shared" si="3"/>
        <v>2047</v>
      </c>
      <c r="AD12" s="281">
        <f t="shared" si="3"/>
        <v>2048</v>
      </c>
      <c r="AE12" s="281">
        <f t="shared" si="3"/>
        <v>2049</v>
      </c>
      <c r="AF12" s="281">
        <f t="shared" si="3"/>
        <v>2050</v>
      </c>
      <c r="AG12" s="65"/>
    </row>
    <row r="13" spans="1:33" ht="20.100000000000001" customHeight="1">
      <c r="A13" s="56" t="s">
        <v>393</v>
      </c>
      <c r="B13" s="65"/>
      <c r="C13" s="282">
        <f>INDEX('DEFAULT DATA'!$F$9:$H$40,'LOCAL DATASET'!$B$4,1)</f>
        <v>-1.5</v>
      </c>
      <c r="D13" s="282">
        <f>INDEX('DEFAULT DATA'!$F$9:$H$40,'LOCAL DATASET'!$B$4,1)</f>
        <v>-1.5</v>
      </c>
      <c r="E13" s="282">
        <f>INDEX('DEFAULT DATA'!$F$9:$H$40,'LOCAL DATASET'!$B$4,1)</f>
        <v>-1.5</v>
      </c>
      <c r="F13" s="282">
        <f>INDEX('DEFAULT DATA'!$F$9:$H$40,'LOCAL DATASET'!$B$4,1)</f>
        <v>-1.5</v>
      </c>
      <c r="G13" s="282">
        <f>INDEX('DEFAULT DATA'!$F$9:$H$40,'LOCAL DATASET'!$B$4,1)</f>
        <v>-1.5</v>
      </c>
      <c r="H13" s="282">
        <f>INDEX('DEFAULT DATA'!$F$9:$H$40,'LOCAL DATASET'!$B$4,1)</f>
        <v>-1.5</v>
      </c>
      <c r="I13" s="282">
        <f>INDEX('DEFAULT DATA'!$F$9:$H$40,'LOCAL DATASET'!$B$4,1)</f>
        <v>-1.5</v>
      </c>
      <c r="J13" s="282">
        <f>INDEX('DEFAULT DATA'!$F$9:$H$40,'LOCAL DATASET'!$B$4,1)</f>
        <v>-1.5</v>
      </c>
      <c r="K13" s="282">
        <f>INDEX('DEFAULT DATA'!$F$9:$H$40,'LOCAL DATASET'!$B$4,1)</f>
        <v>-1.5</v>
      </c>
      <c r="L13" s="282">
        <f>INDEX('DEFAULT DATA'!$F$9:$H$40,'LOCAL DATASET'!$B$4,1)</f>
        <v>-1.5</v>
      </c>
      <c r="M13" s="282">
        <f>INDEX('DEFAULT DATA'!$F$9:$H$40,'LOCAL DATASET'!$B$4,2)</f>
        <v>-3.8</v>
      </c>
      <c r="N13" s="282">
        <f>INDEX('DEFAULT DATA'!$F$9:$H$40,'LOCAL DATASET'!$B$4,2)</f>
        <v>-3.8</v>
      </c>
      <c r="O13" s="282">
        <f>INDEX('DEFAULT DATA'!$F$9:$H$40,'LOCAL DATASET'!$B$4,2)</f>
        <v>-3.8</v>
      </c>
      <c r="P13" s="282">
        <f>INDEX('DEFAULT DATA'!$F$9:$H$40,'LOCAL DATASET'!$B$4,2)</f>
        <v>-3.8</v>
      </c>
      <c r="Q13" s="282">
        <f>INDEX('DEFAULT DATA'!$F$9:$H$40,'LOCAL DATASET'!$B$4,2)</f>
        <v>-3.8</v>
      </c>
      <c r="R13" s="282">
        <f>INDEX('DEFAULT DATA'!$F$9:$H$40,'LOCAL DATASET'!$B$4,2)</f>
        <v>-3.8</v>
      </c>
      <c r="S13" s="282">
        <f>INDEX('DEFAULT DATA'!$F$9:$H$40,'LOCAL DATASET'!$B$4,2)</f>
        <v>-3.8</v>
      </c>
      <c r="T13" s="282">
        <f>INDEX('DEFAULT DATA'!$F$9:$H$40,'LOCAL DATASET'!$B$4,2)</f>
        <v>-3.8</v>
      </c>
      <c r="U13" s="282">
        <f>INDEX('DEFAULT DATA'!$F$9:$H$40,'LOCAL DATASET'!$B$4,2)</f>
        <v>-3.8</v>
      </c>
      <c r="V13" s="282">
        <f>INDEX('DEFAULT DATA'!$F$9:$H$40,'LOCAL DATASET'!$B$4,2)</f>
        <v>-3.8</v>
      </c>
      <c r="W13" s="282">
        <f>INDEX('DEFAULT DATA'!$F$9:$H$40,'LOCAL DATASET'!$B$4,3)</f>
        <v>-3.8</v>
      </c>
      <c r="X13" s="282">
        <f>INDEX('DEFAULT DATA'!$F$9:$H$40,'LOCAL DATASET'!$B$4,3)</f>
        <v>-3.8</v>
      </c>
      <c r="Y13" s="282">
        <f>INDEX('DEFAULT DATA'!$F$9:$H$40,'LOCAL DATASET'!$B$4,3)</f>
        <v>-3.8</v>
      </c>
      <c r="Z13" s="282">
        <f>INDEX('DEFAULT DATA'!$F$9:$H$40,'LOCAL DATASET'!$B$4,3)</f>
        <v>-3.8</v>
      </c>
      <c r="AA13" s="282">
        <f>INDEX('DEFAULT DATA'!$F$9:$H$40,'LOCAL DATASET'!$B$4,3)</f>
        <v>-3.8</v>
      </c>
      <c r="AB13" s="282">
        <f>INDEX('DEFAULT DATA'!$F$9:$H$40,'LOCAL DATASET'!$B$4,3)</f>
        <v>-3.8</v>
      </c>
      <c r="AC13" s="282">
        <f>INDEX('DEFAULT DATA'!$F$9:$H$40,'LOCAL DATASET'!$B$4,3)</f>
        <v>-3.8</v>
      </c>
      <c r="AD13" s="282">
        <f>INDEX('DEFAULT DATA'!$F$9:$H$40,'LOCAL DATASET'!$B$4,3)</f>
        <v>-3.8</v>
      </c>
      <c r="AE13" s="282">
        <f>INDEX('DEFAULT DATA'!$F$9:$H$40,'LOCAL DATASET'!$B$4,3)</f>
        <v>-3.8</v>
      </c>
      <c r="AF13" s="282">
        <f>INDEX('DEFAULT DATA'!$F$9:$H$40,'LOCAL DATASET'!$B$4,3)</f>
        <v>-3.8</v>
      </c>
      <c r="AG13" s="65"/>
    </row>
    <row r="14" spans="1:33" ht="20.100000000000001" customHeight="1">
      <c r="A14" s="56" t="s">
        <v>388</v>
      </c>
      <c r="B14" s="276"/>
      <c r="C14" s="279">
        <f>IF('LOCAL DATASET'!C12=$B$3,'LOCAL DATASET'!$B$11,INT('LOCAL DATASET'!B14*(100+'LOCAL DATASET'!C13)/100))</f>
        <v>0</v>
      </c>
      <c r="D14" s="279">
        <f>IF('LOCAL DATASET'!D12=$B$3,'LOCAL DATASET'!$B$11,INT('LOCAL DATASET'!C14*(100+'LOCAL DATASET'!D13)/100))</f>
        <v>364.08695652173913</v>
      </c>
      <c r="E14" s="279">
        <f>IF('LOCAL DATASET'!E12=$B$3,'LOCAL DATASET'!$B$11,INT('LOCAL DATASET'!D14*(100+'LOCAL DATASET'!E13)/100))</f>
        <v>358</v>
      </c>
      <c r="F14" s="279">
        <f>IF('LOCAL DATASET'!F12=$B$3,'LOCAL DATASET'!$B$11,INT('LOCAL DATASET'!E14*(100+'LOCAL DATASET'!F13)/100))</f>
        <v>352</v>
      </c>
      <c r="G14" s="279">
        <f>IF('LOCAL DATASET'!G12=$B$3,'LOCAL DATASET'!$B$11,INT('LOCAL DATASET'!F14*(100+'LOCAL DATASET'!G13)/100))</f>
        <v>346</v>
      </c>
      <c r="H14" s="279">
        <f>IF('LOCAL DATASET'!H12=$B$3,'LOCAL DATASET'!$B$11,INT('LOCAL DATASET'!G14*(100+'LOCAL DATASET'!H13)/100))</f>
        <v>340</v>
      </c>
      <c r="I14" s="279">
        <f>IF('LOCAL DATASET'!I12=$B$3,'LOCAL DATASET'!$B$11,INT('LOCAL DATASET'!H14*(100+'LOCAL DATASET'!I13)/100))</f>
        <v>334</v>
      </c>
      <c r="J14" s="279">
        <f>IF('LOCAL DATASET'!J12=$B$3,'LOCAL DATASET'!$B$11,INT('LOCAL DATASET'!I14*(100+'LOCAL DATASET'!J13)/100))</f>
        <v>328</v>
      </c>
      <c r="K14" s="279">
        <f>IF('LOCAL DATASET'!K12=$B$3,'LOCAL DATASET'!$B$11,INT('LOCAL DATASET'!J14*(100+'LOCAL DATASET'!K13)/100))</f>
        <v>323</v>
      </c>
      <c r="L14" s="279">
        <f>IF('LOCAL DATASET'!L12=$B$3,'LOCAL DATASET'!$B$11,INT('LOCAL DATASET'!K14*(100+'LOCAL DATASET'!L13)/100))</f>
        <v>318</v>
      </c>
      <c r="M14" s="279">
        <f>IF('LOCAL DATASET'!M12=$B$3,'LOCAL DATASET'!$B$11,INT('LOCAL DATASET'!L14*(100+'LOCAL DATASET'!M13)/100))</f>
        <v>305</v>
      </c>
      <c r="N14" s="279">
        <f>IF('LOCAL DATASET'!N12=$B$3,'LOCAL DATASET'!$B$11,INT('LOCAL DATASET'!M14*(100+'LOCAL DATASET'!N13)/100))</f>
        <v>293</v>
      </c>
      <c r="O14" s="279">
        <f>IF('LOCAL DATASET'!O12=$B$3,'LOCAL DATASET'!$B$11,INT('LOCAL DATASET'!N14*(100+'LOCAL DATASET'!O13)/100))</f>
        <v>281</v>
      </c>
      <c r="P14" s="279">
        <f>IF('LOCAL DATASET'!P12=$B$3,'LOCAL DATASET'!$B$11,INT('LOCAL DATASET'!O14*(100+'LOCAL DATASET'!P13)/100))</f>
        <v>270</v>
      </c>
      <c r="Q14" s="279">
        <f>IF('LOCAL DATASET'!Q12=$B$3,'LOCAL DATASET'!$B$11,INT('LOCAL DATASET'!P14*(100+'LOCAL DATASET'!Q13)/100))</f>
        <v>259</v>
      </c>
      <c r="R14" s="279">
        <f>IF('LOCAL DATASET'!R12=$B$3,'LOCAL DATASET'!$B$11,INT('LOCAL DATASET'!Q14*(100+'LOCAL DATASET'!R13)/100))</f>
        <v>249</v>
      </c>
      <c r="S14" s="279">
        <f>IF('LOCAL DATASET'!S12=$B$3,'LOCAL DATASET'!$B$11,INT('LOCAL DATASET'!R14*(100+'LOCAL DATASET'!S13)/100))</f>
        <v>239</v>
      </c>
      <c r="T14" s="279">
        <f>IF('LOCAL DATASET'!T12=$B$3,'LOCAL DATASET'!$B$11,INT('LOCAL DATASET'!S14*(100+'LOCAL DATASET'!T13)/100))</f>
        <v>229</v>
      </c>
      <c r="U14" s="279">
        <f>IF('LOCAL DATASET'!U12=$B$3,'LOCAL DATASET'!$B$11,INT('LOCAL DATASET'!T14*(100+'LOCAL DATASET'!U13)/100))</f>
        <v>220</v>
      </c>
      <c r="V14" s="279">
        <f>IF('LOCAL DATASET'!V12=$B$3,'LOCAL DATASET'!$B$11,INT('LOCAL DATASET'!U14*(100+'LOCAL DATASET'!V13)/100))</f>
        <v>211</v>
      </c>
      <c r="W14" s="279">
        <f>IF('LOCAL DATASET'!W12=$B$3,'LOCAL DATASET'!$B$11,INT('LOCAL DATASET'!V14*(100+'LOCAL DATASET'!W13)/100))</f>
        <v>202</v>
      </c>
      <c r="X14" s="279">
        <f>IF('LOCAL DATASET'!X12=$B$3,'LOCAL DATASET'!$B$11,INT('LOCAL DATASET'!W14*(100+'LOCAL DATASET'!X13)/100))</f>
        <v>194</v>
      </c>
      <c r="Y14" s="279">
        <f>IF('LOCAL DATASET'!Y12=$B$3,'LOCAL DATASET'!$B$11,INT('LOCAL DATASET'!X14*(100+'LOCAL DATASET'!Y13)/100))</f>
        <v>186</v>
      </c>
      <c r="Z14" s="279">
        <f>IF('LOCAL DATASET'!Z12=$B$3,'LOCAL DATASET'!$B$11,INT('LOCAL DATASET'!Y14*(100+'LOCAL DATASET'!Z13)/100))</f>
        <v>178</v>
      </c>
      <c r="AA14" s="279">
        <f>IF('LOCAL DATASET'!AA12=$B$3,'LOCAL DATASET'!$B$11,INT('LOCAL DATASET'!Z14*(100+'LOCAL DATASET'!AA13)/100))</f>
        <v>171</v>
      </c>
      <c r="AB14" s="279">
        <f>IF('LOCAL DATASET'!AB12=$B$3,'LOCAL DATASET'!$B$11,INT('LOCAL DATASET'!AA14*(100+'LOCAL DATASET'!AB13)/100))</f>
        <v>164</v>
      </c>
      <c r="AC14" s="279">
        <f>IF('LOCAL DATASET'!AC12=$B$3,'LOCAL DATASET'!$B$11,INT('LOCAL DATASET'!AB14*(100+'LOCAL DATASET'!AC13)/100))</f>
        <v>157</v>
      </c>
      <c r="AD14" s="279">
        <f>IF('LOCAL DATASET'!AD12=$B$3,'LOCAL DATASET'!$B$11,INT('LOCAL DATASET'!AC14*(100+'LOCAL DATASET'!AD13)/100))</f>
        <v>151</v>
      </c>
      <c r="AE14" s="279">
        <f>IF('LOCAL DATASET'!AE12=$B$3,'LOCAL DATASET'!$B$11,INT('LOCAL DATASET'!AD14*(100+'LOCAL DATASET'!AE13)/100))</f>
        <v>145</v>
      </c>
      <c r="AF14" s="279">
        <f>IF('LOCAL DATASET'!AF12=$B$3,'LOCAL DATASET'!$B$11,INT('LOCAL DATASET'!AE14*(100+'LOCAL DATASET'!AF13)/100))</f>
        <v>139</v>
      </c>
      <c r="AG14" s="276"/>
    </row>
    <row r="15" spans="1:33" ht="20.100000000000001" customHeight="1">
      <c r="A15" s="56"/>
      <c r="B15" s="276"/>
      <c r="C15" s="280"/>
      <c r="D15" s="280"/>
      <c r="E15" s="280"/>
      <c r="F15" s="280"/>
      <c r="G15" s="280"/>
      <c r="H15" s="280"/>
      <c r="I15" s="280"/>
      <c r="J15" s="280"/>
      <c r="K15" s="280"/>
      <c r="L15" s="280"/>
      <c r="M15" s="280"/>
      <c r="N15" s="280"/>
      <c r="O15" s="280"/>
      <c r="P15" s="280"/>
      <c r="Q15" s="280"/>
      <c r="R15" s="280"/>
      <c r="S15" s="280"/>
      <c r="T15" s="280"/>
      <c r="U15" s="280"/>
      <c r="V15" s="280"/>
      <c r="W15" s="280"/>
      <c r="X15" s="280"/>
      <c r="Y15" s="280"/>
      <c r="Z15" s="280"/>
      <c r="AA15" s="280"/>
      <c r="AB15" s="280"/>
      <c r="AC15" s="280"/>
      <c r="AD15" s="280"/>
      <c r="AE15" s="280"/>
      <c r="AF15" s="280"/>
      <c r="AG15" s="276"/>
    </row>
    <row r="16" spans="1:33" ht="20.100000000000001" customHeight="1">
      <c r="A16" s="58" t="s">
        <v>301</v>
      </c>
      <c r="B16" s="314"/>
      <c r="C16" s="280"/>
      <c r="D16" s="280"/>
      <c r="E16" s="280"/>
      <c r="F16" s="280"/>
      <c r="G16" s="280"/>
      <c r="H16" s="280"/>
      <c r="I16" s="280"/>
      <c r="J16" s="280"/>
      <c r="K16" s="280"/>
      <c r="L16" s="280"/>
      <c r="M16" s="280"/>
      <c r="N16" s="280"/>
      <c r="O16" s="280"/>
      <c r="P16" s="280"/>
      <c r="Q16" s="280"/>
      <c r="R16" s="280"/>
      <c r="S16" s="280"/>
      <c r="T16" s="280"/>
      <c r="U16" s="280"/>
      <c r="V16" s="280"/>
      <c r="W16" s="280"/>
      <c r="X16" s="280"/>
      <c r="Y16" s="280"/>
      <c r="Z16" s="280"/>
      <c r="AA16" s="280"/>
      <c r="AB16" s="280"/>
      <c r="AC16" s="280"/>
      <c r="AD16" s="280"/>
      <c r="AE16" s="280"/>
      <c r="AF16" s="280"/>
      <c r="AG16" s="276"/>
    </row>
    <row r="17" spans="1:33" ht="20.100000000000001" customHeight="1">
      <c r="A17" s="56" t="s">
        <v>150</v>
      </c>
      <c r="B17" s="59" t="s">
        <v>89</v>
      </c>
    </row>
    <row r="18" spans="1:33" ht="20.100000000000001" customHeight="1">
      <c r="A18" s="27" t="s">
        <v>84</v>
      </c>
      <c r="B18" s="45"/>
    </row>
    <row r="19" spans="1:33" ht="20.100000000000001" customHeight="1">
      <c r="A19" s="27" t="s">
        <v>85</v>
      </c>
      <c r="B19" s="45"/>
    </row>
    <row r="20" spans="1:33" ht="20.100000000000001" customHeight="1">
      <c r="A20" s="27" t="s">
        <v>86</v>
      </c>
      <c r="B20" s="45"/>
    </row>
    <row r="21" spans="1:33" ht="20.100000000000001" customHeight="1">
      <c r="A21" s="27" t="s">
        <v>87</v>
      </c>
      <c r="B21" s="45"/>
    </row>
    <row r="22" spans="1:33" ht="20.100000000000001" customHeight="1">
      <c r="A22" s="27" t="s">
        <v>88</v>
      </c>
      <c r="B22" s="45"/>
    </row>
    <row r="24" spans="1:33" ht="20.100000000000001" customHeight="1">
      <c r="A24" s="58" t="s">
        <v>36</v>
      </c>
      <c r="B24" s="59"/>
      <c r="C24" s="56"/>
      <c r="D24" s="65"/>
    </row>
    <row r="25" spans="1:33" ht="20.100000000000001" customHeight="1">
      <c r="A25" s="56" t="s">
        <v>389</v>
      </c>
      <c r="B25" s="284">
        <f>INDEX('DEFAULT DATA'!I9:I40,'LOCAL DATASET'!B4,1)</f>
        <v>2124.3106214374661</v>
      </c>
      <c r="C25" s="56" t="s">
        <v>391</v>
      </c>
    </row>
    <row r="26" spans="1:33" ht="20.100000000000001" customHeight="1">
      <c r="A26" s="56" t="s">
        <v>390</v>
      </c>
      <c r="B26" s="283">
        <v>18</v>
      </c>
      <c r="C26" s="56" t="s">
        <v>392</v>
      </c>
    </row>
    <row r="27" spans="1:33" ht="20.100000000000001" customHeight="1">
      <c r="A27" s="56"/>
      <c r="B27" s="56"/>
      <c r="C27" s="281">
        <f>C12</f>
        <v>2021</v>
      </c>
      <c r="D27" s="281">
        <f t="shared" ref="D27:AF27" si="4">D12</f>
        <v>2022</v>
      </c>
      <c r="E27" s="281">
        <f t="shared" si="4"/>
        <v>2023</v>
      </c>
      <c r="F27" s="281">
        <f t="shared" si="4"/>
        <v>2024</v>
      </c>
      <c r="G27" s="281">
        <f t="shared" si="4"/>
        <v>2025</v>
      </c>
      <c r="H27" s="281">
        <f t="shared" si="4"/>
        <v>2026</v>
      </c>
      <c r="I27" s="281">
        <f t="shared" si="4"/>
        <v>2027</v>
      </c>
      <c r="J27" s="281">
        <f t="shared" si="4"/>
        <v>2028</v>
      </c>
      <c r="K27" s="281">
        <f t="shared" si="4"/>
        <v>2029</v>
      </c>
      <c r="L27" s="281">
        <f t="shared" si="4"/>
        <v>2030</v>
      </c>
      <c r="M27" s="281">
        <f t="shared" si="4"/>
        <v>2031</v>
      </c>
      <c r="N27" s="281">
        <f t="shared" si="4"/>
        <v>2032</v>
      </c>
      <c r="O27" s="281">
        <f t="shared" si="4"/>
        <v>2033</v>
      </c>
      <c r="P27" s="281">
        <f t="shared" si="4"/>
        <v>2034</v>
      </c>
      <c r="Q27" s="281">
        <f t="shared" si="4"/>
        <v>2035</v>
      </c>
      <c r="R27" s="281">
        <f t="shared" si="4"/>
        <v>2036</v>
      </c>
      <c r="S27" s="281">
        <f t="shared" si="4"/>
        <v>2037</v>
      </c>
      <c r="T27" s="281">
        <f t="shared" si="4"/>
        <v>2038</v>
      </c>
      <c r="U27" s="281">
        <f t="shared" si="4"/>
        <v>2039</v>
      </c>
      <c r="V27" s="281">
        <f t="shared" si="4"/>
        <v>2040</v>
      </c>
      <c r="W27" s="281">
        <f t="shared" si="4"/>
        <v>2041</v>
      </c>
      <c r="X27" s="281">
        <f t="shared" si="4"/>
        <v>2042</v>
      </c>
      <c r="Y27" s="281">
        <f t="shared" si="4"/>
        <v>2043</v>
      </c>
      <c r="Z27" s="281">
        <f t="shared" si="4"/>
        <v>2044</v>
      </c>
      <c r="AA27" s="281">
        <f t="shared" si="4"/>
        <v>2045</v>
      </c>
      <c r="AB27" s="281">
        <f t="shared" si="4"/>
        <v>2046</v>
      </c>
      <c r="AC27" s="281">
        <f t="shared" si="4"/>
        <v>2047</v>
      </c>
      <c r="AD27" s="281">
        <f t="shared" si="4"/>
        <v>2048</v>
      </c>
      <c r="AE27" s="281">
        <f t="shared" si="4"/>
        <v>2049</v>
      </c>
      <c r="AF27" s="281">
        <f t="shared" si="4"/>
        <v>2050</v>
      </c>
    </row>
    <row r="28" spans="1:33" ht="20.100000000000001" customHeight="1">
      <c r="A28" s="56" t="s">
        <v>394</v>
      </c>
      <c r="B28" s="56"/>
      <c r="C28" s="283">
        <f>INDEX('DEFAULT DATA'!$L$9:$N$40,'LOCAL DATASET'!$B$4,1)</f>
        <v>0.7</v>
      </c>
      <c r="D28" s="283">
        <f>INDEX('DEFAULT DATA'!$L$9:$N$40,'LOCAL DATASET'!$B$4,1)</f>
        <v>0.7</v>
      </c>
      <c r="E28" s="283">
        <f>INDEX('DEFAULT DATA'!$L$9:$N$40,'LOCAL DATASET'!$B$4,1)</f>
        <v>0.7</v>
      </c>
      <c r="F28" s="283">
        <f>INDEX('DEFAULT DATA'!$L$9:$N$40,'LOCAL DATASET'!$B$4,1)</f>
        <v>0.7</v>
      </c>
      <c r="G28" s="283">
        <f>INDEX('DEFAULT DATA'!$L$9:$N$40,'LOCAL DATASET'!$B$4,1)</f>
        <v>0.7</v>
      </c>
      <c r="H28" s="283">
        <f>INDEX('DEFAULT DATA'!$L$9:$N$40,'LOCAL DATASET'!$B$4,1)</f>
        <v>0.7</v>
      </c>
      <c r="I28" s="283">
        <f>INDEX('DEFAULT DATA'!$L$9:$N$40,'LOCAL DATASET'!$B$4,1)</f>
        <v>0.7</v>
      </c>
      <c r="J28" s="283">
        <f>INDEX('DEFAULT DATA'!$L$9:$N$40,'LOCAL DATASET'!$B$4,1)</f>
        <v>0.7</v>
      </c>
      <c r="K28" s="283">
        <f>INDEX('DEFAULT DATA'!$L$9:$N$40,'LOCAL DATASET'!$B$4,1)</f>
        <v>0.7</v>
      </c>
      <c r="L28" s="283">
        <f>INDEX('DEFAULT DATA'!$L$9:$N$40,'LOCAL DATASET'!$B$4,1)</f>
        <v>0.7</v>
      </c>
      <c r="M28" s="283">
        <f>INDEX('DEFAULT DATA'!$L$9:$N$40,'LOCAL DATASET'!$B$4,2)</f>
        <v>0.7</v>
      </c>
      <c r="N28" s="283">
        <f>INDEX('DEFAULT DATA'!$L$9:$N$40,'LOCAL DATASET'!$B$4,2)</f>
        <v>0.7</v>
      </c>
      <c r="O28" s="283">
        <f>INDEX('DEFAULT DATA'!$L$9:$N$40,'LOCAL DATASET'!$B$4,2)</f>
        <v>0.7</v>
      </c>
      <c r="P28" s="283">
        <f>INDEX('DEFAULT DATA'!$L$9:$N$40,'LOCAL DATASET'!$B$4,2)</f>
        <v>0.7</v>
      </c>
      <c r="Q28" s="283">
        <f>INDEX('DEFAULT DATA'!$L$9:$N$40,'LOCAL DATASET'!$B$4,2)</f>
        <v>0.7</v>
      </c>
      <c r="R28" s="283">
        <f>INDEX('DEFAULT DATA'!$L$9:$N$40,'LOCAL DATASET'!$B$4,2)</f>
        <v>0.7</v>
      </c>
      <c r="S28" s="283">
        <f>INDEX('DEFAULT DATA'!$L$9:$N$40,'LOCAL DATASET'!$B$4,2)</f>
        <v>0.7</v>
      </c>
      <c r="T28" s="283">
        <f>INDEX('DEFAULT DATA'!$L$9:$N$40,'LOCAL DATASET'!$B$4,2)</f>
        <v>0.7</v>
      </c>
      <c r="U28" s="283">
        <f>INDEX('DEFAULT DATA'!$L$9:$N$40,'LOCAL DATASET'!$B$4,2)</f>
        <v>0.7</v>
      </c>
      <c r="V28" s="283">
        <f>INDEX('DEFAULT DATA'!$L$9:$N$40,'LOCAL DATASET'!$B$4,2)</f>
        <v>0.7</v>
      </c>
      <c r="W28" s="283">
        <f>INDEX('DEFAULT DATA'!$L$9:$N$40,'LOCAL DATASET'!$B$4,3)</f>
        <v>0.7</v>
      </c>
      <c r="X28" s="283">
        <f>INDEX('DEFAULT DATA'!$L$9:$N$40,'LOCAL DATASET'!$B$4,3)</f>
        <v>0.7</v>
      </c>
      <c r="Y28" s="283">
        <f>INDEX('DEFAULT DATA'!$L$9:$N$40,'LOCAL DATASET'!$B$4,3)</f>
        <v>0.7</v>
      </c>
      <c r="Z28" s="283">
        <f>INDEX('DEFAULT DATA'!$L$9:$N$40,'LOCAL DATASET'!$B$4,3)</f>
        <v>0.7</v>
      </c>
      <c r="AA28" s="283">
        <f>INDEX('DEFAULT DATA'!$L$9:$N$40,'LOCAL DATASET'!$B$4,3)</f>
        <v>0.7</v>
      </c>
      <c r="AB28" s="283">
        <f>INDEX('DEFAULT DATA'!$L$9:$N$40,'LOCAL DATASET'!$B$4,3)</f>
        <v>0.7</v>
      </c>
      <c r="AC28" s="283">
        <f>INDEX('DEFAULT DATA'!$L$9:$N$40,'LOCAL DATASET'!$B$4,3)</f>
        <v>0.7</v>
      </c>
      <c r="AD28" s="283">
        <f>INDEX('DEFAULT DATA'!$L$9:$N$40,'LOCAL DATASET'!$B$4,3)</f>
        <v>0.7</v>
      </c>
      <c r="AE28" s="283">
        <f>INDEX('DEFAULT DATA'!$L$9:$N$40,'LOCAL DATASET'!$B$4,3)</f>
        <v>0.7</v>
      </c>
      <c r="AF28" s="283">
        <f>INDEX('DEFAULT DATA'!$L$9:$N$40,'LOCAL DATASET'!$B$4,3)</f>
        <v>0.7</v>
      </c>
    </row>
    <row r="29" spans="1:33" ht="20.100000000000001" customHeight="1">
      <c r="A29" s="56"/>
      <c r="B29" s="56"/>
      <c r="C29" s="56"/>
      <c r="D29" s="636" t="s">
        <v>449</v>
      </c>
      <c r="E29" s="63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</row>
    <row r="30" spans="1:33" ht="20.100000000000001" customHeight="1">
      <c r="A30" s="56" t="s">
        <v>396</v>
      </c>
      <c r="B30" s="56"/>
      <c r="C30" s="59" t="s">
        <v>89</v>
      </c>
      <c r="D30" s="315" t="s">
        <v>450</v>
      </c>
      <c r="E30" s="263" t="s">
        <v>451</v>
      </c>
    </row>
    <row r="31" spans="1:33" ht="20.100000000000001" customHeight="1">
      <c r="A31" s="289" t="s">
        <v>229</v>
      </c>
      <c r="B31" s="56"/>
      <c r="C31" s="277">
        <f>INDEX('DEFAULT DATA'!$O$9:$S$40,'LOCAL DATASET'!$B$4,1)</f>
        <v>0.1</v>
      </c>
    </row>
    <row r="32" spans="1:33" ht="20.100000000000001" customHeight="1">
      <c r="A32" s="289" t="s">
        <v>230</v>
      </c>
      <c r="B32" s="56"/>
      <c r="C32" s="277">
        <f>INDEX('DEFAULT DATA'!$O$9:$S$40,'LOCAL DATASET'!$B$4,2)</f>
        <v>0</v>
      </c>
    </row>
    <row r="33" spans="1:3" ht="20.100000000000001" customHeight="1">
      <c r="A33" s="289" t="s">
        <v>231</v>
      </c>
      <c r="B33" s="56"/>
      <c r="C33" s="277">
        <f>INDEX('DEFAULT DATA'!$O$9:$S$40,'LOCAL DATASET'!$B$4,3)</f>
        <v>99.9</v>
      </c>
    </row>
    <row r="34" spans="1:3" ht="20.100000000000001" customHeight="1">
      <c r="A34" s="289" t="s">
        <v>232</v>
      </c>
      <c r="B34" s="56"/>
      <c r="C34" s="277">
        <f>INDEX('DEFAULT DATA'!$O$9:$S$40,'LOCAL DATASET'!$B$4,4)</f>
        <v>0</v>
      </c>
    </row>
    <row r="35" spans="1:3" ht="20.100000000000001" customHeight="1">
      <c r="A35" s="289" t="s">
        <v>233</v>
      </c>
      <c r="B35" s="56"/>
      <c r="C35" s="277">
        <f>INDEX('DEFAULT DATA'!$O$9:$S$40,'LOCAL DATASET'!$B$4,5)</f>
        <v>0</v>
      </c>
    </row>
    <row r="36" spans="1:3" ht="20.100000000000001" customHeight="1">
      <c r="A36" s="290" t="str">
        <f>IF(C36=100,"","percentages need to total 100")</f>
        <v>percentages need to total 100</v>
      </c>
      <c r="B36" s="56"/>
      <c r="C36" s="59">
        <f t="shared" ref="C36" si="5">SUM(C33:C35)</f>
        <v>99.9</v>
      </c>
    </row>
    <row r="43" spans="1:3" ht="20.100000000000001" customHeight="1">
      <c r="A43" s="56" t="s">
        <v>275</v>
      </c>
      <c r="B43" s="59" t="s">
        <v>381</v>
      </c>
    </row>
    <row r="44" spans="1:3" ht="20.100000000000001" customHeight="1">
      <c r="A44" s="272"/>
      <c r="B44" s="272"/>
    </row>
    <row r="45" spans="1:3" ht="20.100000000000001" customHeight="1">
      <c r="A45" s="272"/>
      <c r="B45" s="272"/>
    </row>
    <row r="46" spans="1:3" ht="20.100000000000001" customHeight="1">
      <c r="A46" s="272"/>
      <c r="B46" s="272"/>
    </row>
    <row r="47" spans="1:3" ht="20.100000000000001" customHeight="1">
      <c r="A47" s="272"/>
      <c r="B47" s="272"/>
    </row>
    <row r="48" spans="1:3" ht="20.100000000000001" customHeight="1">
      <c r="A48" s="272"/>
      <c r="B48" s="272"/>
    </row>
    <row r="49" spans="1:2" ht="20.100000000000001" customHeight="1">
      <c r="A49" s="272"/>
      <c r="B49" s="272"/>
    </row>
    <row r="50" spans="1:2" ht="20.100000000000001" customHeight="1">
      <c r="A50" s="272"/>
      <c r="B50" s="272"/>
    </row>
    <row r="51" spans="1:2" ht="20.100000000000001" customHeight="1">
      <c r="A51" s="272"/>
      <c r="B51" s="272"/>
    </row>
    <row r="52" spans="1:2" ht="20.100000000000001" customHeight="1">
      <c r="A52" s="272"/>
      <c r="B52" s="272"/>
    </row>
    <row r="53" spans="1:2" ht="20.100000000000001" customHeight="1">
      <c r="A53" s="272"/>
      <c r="B53" s="272"/>
    </row>
    <row r="54" spans="1:2" ht="20.100000000000001" customHeight="1">
      <c r="A54" s="272"/>
      <c r="B54" s="272"/>
    </row>
    <row r="55" spans="1:2" ht="20.100000000000001" customHeight="1">
      <c r="A55" s="272"/>
      <c r="B55" s="272"/>
    </row>
    <row r="56" spans="1:2" ht="20.100000000000001" customHeight="1">
      <c r="A56" s="272"/>
      <c r="B56" s="272"/>
    </row>
    <row r="57" spans="1:2" ht="20.100000000000001" customHeight="1">
      <c r="A57" s="56" t="s">
        <v>276</v>
      </c>
      <c r="B57" s="59" t="s">
        <v>381</v>
      </c>
    </row>
    <row r="58" spans="1:2" ht="20.100000000000001" customHeight="1">
      <c r="A58" s="272"/>
      <c r="B58" s="272"/>
    </row>
    <row r="59" spans="1:2" ht="20.100000000000001" customHeight="1">
      <c r="A59" s="272"/>
      <c r="B59" s="272"/>
    </row>
    <row r="60" spans="1:2" ht="20.100000000000001" customHeight="1">
      <c r="A60" s="272"/>
      <c r="B60" s="272"/>
    </row>
    <row r="61" spans="1:2" ht="20.100000000000001" customHeight="1">
      <c r="A61" s="272"/>
      <c r="B61" s="272"/>
    </row>
    <row r="62" spans="1:2" ht="20.100000000000001" customHeight="1">
      <c r="A62" s="272"/>
      <c r="B62" s="272"/>
    </row>
    <row r="63" spans="1:2" ht="20.100000000000001" customHeight="1">
      <c r="A63" s="272"/>
      <c r="B63" s="272"/>
    </row>
    <row r="64" spans="1:2" ht="20.100000000000001" customHeight="1">
      <c r="A64" s="272"/>
      <c r="B64" s="272"/>
    </row>
    <row r="65" spans="1:32" ht="20.100000000000001" customHeight="1">
      <c r="A65" s="272"/>
      <c r="B65" s="272"/>
    </row>
    <row r="66" spans="1:32" ht="20.100000000000001" customHeight="1">
      <c r="A66" s="272"/>
      <c r="B66" s="272"/>
    </row>
    <row r="67" spans="1:32" ht="20.100000000000001" customHeight="1">
      <c r="A67" s="272"/>
      <c r="B67" s="272"/>
    </row>
    <row r="68" spans="1:32" ht="20.100000000000001" customHeight="1">
      <c r="A68" s="272"/>
      <c r="B68" s="272"/>
    </row>
    <row r="69" spans="1:32" ht="20.100000000000001" customHeight="1">
      <c r="A69" s="272"/>
      <c r="B69" s="272"/>
    </row>
    <row r="70" spans="1:32" ht="20.100000000000001" customHeight="1">
      <c r="A70" s="272"/>
      <c r="B70" s="272"/>
    </row>
    <row r="71" spans="1:32" ht="20.100000000000001" customHeight="1">
      <c r="C71" s="375"/>
    </row>
    <row r="74" spans="1:32" ht="20.100000000000001" customHeight="1">
      <c r="C74" s="377"/>
      <c r="D74" s="377"/>
      <c r="E74" s="377"/>
      <c r="F74" s="377"/>
      <c r="G74" s="377"/>
      <c r="H74" s="377"/>
      <c r="I74" s="377"/>
      <c r="J74" s="377"/>
      <c r="K74" s="377"/>
      <c r="L74" s="377"/>
    </row>
    <row r="76" spans="1:32" ht="20.100000000000001" customHeight="1">
      <c r="A76" s="363" t="s">
        <v>890</v>
      </c>
    </row>
    <row r="77" spans="1:32" ht="20.100000000000001" customHeight="1">
      <c r="A77" s="272" t="s">
        <v>892</v>
      </c>
      <c r="B77" s="364">
        <v>2020</v>
      </c>
      <c r="C77" s="366">
        <f>B77+1</f>
        <v>2021</v>
      </c>
      <c r="D77" s="366">
        <f t="shared" ref="D77:AF77" si="6">C77+1</f>
        <v>2022</v>
      </c>
      <c r="E77" s="366">
        <f t="shared" si="6"/>
        <v>2023</v>
      </c>
      <c r="F77" s="366">
        <f t="shared" si="6"/>
        <v>2024</v>
      </c>
      <c r="G77" s="366">
        <f t="shared" si="6"/>
        <v>2025</v>
      </c>
      <c r="H77" s="366">
        <f t="shared" si="6"/>
        <v>2026</v>
      </c>
      <c r="I77" s="366">
        <f t="shared" si="6"/>
        <v>2027</v>
      </c>
      <c r="J77" s="366">
        <f>I77+1</f>
        <v>2028</v>
      </c>
      <c r="K77" s="366">
        <f t="shared" si="6"/>
        <v>2029</v>
      </c>
      <c r="L77" s="366">
        <f t="shared" si="6"/>
        <v>2030</v>
      </c>
      <c r="M77" s="366">
        <f t="shared" si="6"/>
        <v>2031</v>
      </c>
      <c r="N77" s="366">
        <f t="shared" si="6"/>
        <v>2032</v>
      </c>
      <c r="O77" s="366">
        <f t="shared" si="6"/>
        <v>2033</v>
      </c>
      <c r="P77" s="366">
        <f t="shared" si="6"/>
        <v>2034</v>
      </c>
      <c r="Q77" s="366">
        <f t="shared" si="6"/>
        <v>2035</v>
      </c>
      <c r="R77" s="366">
        <f t="shared" si="6"/>
        <v>2036</v>
      </c>
      <c r="S77" s="366">
        <f t="shared" si="6"/>
        <v>2037</v>
      </c>
      <c r="T77" s="366">
        <f t="shared" si="6"/>
        <v>2038</v>
      </c>
      <c r="U77" s="366">
        <f t="shared" si="6"/>
        <v>2039</v>
      </c>
      <c r="V77" s="366">
        <f t="shared" si="6"/>
        <v>2040</v>
      </c>
      <c r="W77" s="366">
        <f t="shared" si="6"/>
        <v>2041</v>
      </c>
      <c r="X77" s="366">
        <f t="shared" si="6"/>
        <v>2042</v>
      </c>
      <c r="Y77" s="366">
        <f t="shared" si="6"/>
        <v>2043</v>
      </c>
      <c r="Z77" s="366">
        <f t="shared" si="6"/>
        <v>2044</v>
      </c>
      <c r="AA77" s="366">
        <f t="shared" si="6"/>
        <v>2045</v>
      </c>
      <c r="AB77" s="366">
        <f t="shared" si="6"/>
        <v>2046</v>
      </c>
      <c r="AC77" s="366">
        <f t="shared" si="6"/>
        <v>2047</v>
      </c>
      <c r="AD77" s="366">
        <f t="shared" si="6"/>
        <v>2048</v>
      </c>
      <c r="AE77" s="366">
        <f t="shared" si="6"/>
        <v>2049</v>
      </c>
      <c r="AF77" s="366">
        <f t="shared" si="6"/>
        <v>2050</v>
      </c>
    </row>
    <row r="78" spans="1:32" ht="20.100000000000001" customHeight="1">
      <c r="A78" s="272" t="s">
        <v>888</v>
      </c>
      <c r="B78" s="365">
        <v>-548995.30470780982</v>
      </c>
      <c r="C78" s="365">
        <f>B78*(100+C85)/100</f>
        <v>-548687.54905057605</v>
      </c>
      <c r="D78" s="365">
        <f t="shared" ref="D78:K78" si="7">C78*(100+D85)/100</f>
        <v>-548379.96591493534</v>
      </c>
      <c r="E78" s="365">
        <f t="shared" si="7"/>
        <v>-548072.55520417576</v>
      </c>
      <c r="F78" s="365">
        <f t="shared" si="7"/>
        <v>-547765.31682163919</v>
      </c>
      <c r="G78" s="365">
        <f t="shared" si="7"/>
        <v>-547458.25067072199</v>
      </c>
      <c r="H78" s="365">
        <f t="shared" si="7"/>
        <v>-547151.35665487451</v>
      </c>
      <c r="I78" s="365">
        <f t="shared" si="7"/>
        <v>-546844.6346776014</v>
      </c>
      <c r="J78" s="365">
        <f t="shared" si="7"/>
        <v>-546538.08464246127</v>
      </c>
      <c r="K78" s="365">
        <f t="shared" si="7"/>
        <v>-546231.7064530669</v>
      </c>
      <c r="L78" s="365">
        <v>-545925.50001308473</v>
      </c>
      <c r="M78" s="365">
        <f>L78*(100+M85)/100</f>
        <v>-558574.37349419261</v>
      </c>
      <c r="N78" s="365">
        <f t="shared" ref="N78:U78" si="8">M78*(100+N85)/100</f>
        <v>-571516.3162683401</v>
      </c>
      <c r="O78" s="365">
        <f t="shared" si="8"/>
        <v>-584758.11863275396</v>
      </c>
      <c r="P78" s="365">
        <f t="shared" si="8"/>
        <v>-598306.7282131071</v>
      </c>
      <c r="Q78" s="365">
        <f t="shared" si="8"/>
        <v>-612169.25360875507</v>
      </c>
      <c r="R78" s="365">
        <f t="shared" si="8"/>
        <v>-626352.96812243108</v>
      </c>
      <c r="S78" s="365">
        <f t="shared" si="8"/>
        <v>-640865.31357635686</v>
      </c>
      <c r="T78" s="365">
        <f t="shared" si="8"/>
        <v>-655713.90421677136</v>
      </c>
      <c r="U78" s="365">
        <f t="shared" si="8"/>
        <v>-670906.53070892545</v>
      </c>
      <c r="V78" s="365">
        <v>-686451.16422463895</v>
      </c>
      <c r="W78" s="365">
        <f>V78*(100+W85)/100</f>
        <v>-702355.96062456642</v>
      </c>
      <c r="X78" s="365">
        <f t="shared" ref="X78:AF78" si="9">W78*(100+X85)/100</f>
        <v>-718629.26473736065</v>
      </c>
      <c r="Y78" s="365">
        <f t="shared" si="9"/>
        <v>-735279.61473798635</v>
      </c>
      <c r="Z78" s="365">
        <f t="shared" si="9"/>
        <v>-752315.74662747607</v>
      </c>
      <c r="AA78" s="365">
        <f t="shared" si="9"/>
        <v>-769746.59881648002</v>
      </c>
      <c r="AB78" s="365">
        <f t="shared" si="9"/>
        <v>-787581.31681501539</v>
      </c>
      <c r="AC78" s="365">
        <f t="shared" si="9"/>
        <v>-805829.25803087489</v>
      </c>
      <c r="AD78" s="365">
        <f t="shared" si="9"/>
        <v>-824499.9966792129</v>
      </c>
      <c r="AE78" s="365">
        <f t="shared" si="9"/>
        <v>-843603.32880588458</v>
      </c>
      <c r="AF78" s="365">
        <f t="shared" si="9"/>
        <v>-863149.27742717322</v>
      </c>
    </row>
    <row r="79" spans="1:32" ht="20.100000000000001" customHeight="1">
      <c r="A79" s="272" t="s">
        <v>332</v>
      </c>
      <c r="B79" s="365">
        <v>163008.86814203212</v>
      </c>
      <c r="C79" s="365">
        <f t="shared" ref="C79:K79" si="10">B79*(100+C86)/100</f>
        <v>164954.40576199477</v>
      </c>
      <c r="D79" s="365">
        <f t="shared" si="10"/>
        <v>166923.16369305973</v>
      </c>
      <c r="E79" s="365">
        <f t="shared" si="10"/>
        <v>168915.41907345454</v>
      </c>
      <c r="F79" s="365">
        <f t="shared" si="10"/>
        <v>170931.45234909709</v>
      </c>
      <c r="G79" s="365">
        <f t="shared" si="10"/>
        <v>172971.5473130733</v>
      </c>
      <c r="H79" s="365">
        <f t="shared" si="10"/>
        <v>175035.99114558625</v>
      </c>
      <c r="I79" s="365">
        <f t="shared" si="10"/>
        <v>177125.07445438189</v>
      </c>
      <c r="J79" s="365">
        <f t="shared" si="10"/>
        <v>179239.09131565734</v>
      </c>
      <c r="K79" s="365">
        <f t="shared" si="10"/>
        <v>181378.33931545753</v>
      </c>
      <c r="L79" s="365">
        <v>183543.11959156572</v>
      </c>
      <c r="M79" s="365">
        <f t="shared" ref="M79:U79" si="11">L79*(100+M86)/100</f>
        <v>183854.58326840372</v>
      </c>
      <c r="N79" s="365">
        <f t="shared" si="11"/>
        <v>184166.57548383367</v>
      </c>
      <c r="O79" s="365">
        <f t="shared" si="11"/>
        <v>184479.09713475965</v>
      </c>
      <c r="P79" s="365">
        <f t="shared" si="11"/>
        <v>184792.14911960773</v>
      </c>
      <c r="Q79" s="365">
        <f t="shared" si="11"/>
        <v>185105.73233832858</v>
      </c>
      <c r="R79" s="365">
        <f t="shared" si="11"/>
        <v>185419.84769240007</v>
      </c>
      <c r="S79" s="365">
        <f t="shared" si="11"/>
        <v>185734.49608482976</v>
      </c>
      <c r="T79" s="365">
        <f t="shared" si="11"/>
        <v>186049.67842015767</v>
      </c>
      <c r="U79" s="365">
        <f t="shared" si="11"/>
        <v>186365.39560445867</v>
      </c>
      <c r="V79" s="365">
        <v>186681.64854534509</v>
      </c>
      <c r="W79" s="365">
        <f t="shared" ref="W79:AF79" si="12">V79*(100+W86)/100</f>
        <v>186998.43815196995</v>
      </c>
      <c r="X79" s="365">
        <f t="shared" si="12"/>
        <v>187315.76533502855</v>
      </c>
      <c r="Y79" s="365">
        <f t="shared" si="12"/>
        <v>187633.63100676172</v>
      </c>
      <c r="Z79" s="365">
        <f t="shared" si="12"/>
        <v>187952.03608095832</v>
      </c>
      <c r="AA79" s="365">
        <f t="shared" si="12"/>
        <v>188270.98147295797</v>
      </c>
      <c r="AB79" s="365">
        <f t="shared" si="12"/>
        <v>188590.46809965343</v>
      </c>
      <c r="AC79" s="365">
        <f t="shared" si="12"/>
        <v>188910.49687949344</v>
      </c>
      <c r="AD79" s="365">
        <f t="shared" si="12"/>
        <v>189231.06873248532</v>
      </c>
      <c r="AE79" s="365">
        <f t="shared" si="12"/>
        <v>189552.18458019765</v>
      </c>
      <c r="AF79" s="365">
        <f t="shared" si="12"/>
        <v>189873.8453457627</v>
      </c>
    </row>
    <row r="80" spans="1:32" ht="20.100000000000001" customHeight="1">
      <c r="A80" s="272" t="s">
        <v>333</v>
      </c>
      <c r="B80" s="365">
        <v>17139.667854325202</v>
      </c>
      <c r="C80" s="365">
        <f t="shared" ref="C80:K80" si="13">B80*(100+C87)/100</f>
        <v>17055.501844629558</v>
      </c>
      <c r="D80" s="365">
        <f t="shared" si="13"/>
        <v>16971.749140328644</v>
      </c>
      <c r="E80" s="365">
        <f t="shared" si="13"/>
        <v>16888.407711846034</v>
      </c>
      <c r="F80" s="365">
        <f t="shared" si="13"/>
        <v>16805.475539571729</v>
      </c>
      <c r="G80" s="365">
        <f t="shared" si="13"/>
        <v>16722.950613813231</v>
      </c>
      <c r="H80" s="365">
        <f t="shared" si="13"/>
        <v>16640.830934746824</v>
      </c>
      <c r="I80" s="365">
        <f t="shared" si="13"/>
        <v>16559.114512369124</v>
      </c>
      <c r="J80" s="365">
        <f t="shared" si="13"/>
        <v>16477.799366448857</v>
      </c>
      <c r="K80" s="365">
        <f t="shared" si="13"/>
        <v>16396.883526478861</v>
      </c>
      <c r="L80" s="365">
        <v>16316.365031628355</v>
      </c>
      <c r="M80" s="365">
        <f t="shared" ref="M80:U80" si="14">L80*(100+M87)/100</f>
        <v>16323.834197677026</v>
      </c>
      <c r="N80" s="365">
        <f t="shared" si="14"/>
        <v>16331.306782896656</v>
      </c>
      <c r="O80" s="365">
        <f t="shared" si="14"/>
        <v>16338.782788852444</v>
      </c>
      <c r="P80" s="365">
        <f t="shared" si="14"/>
        <v>16346.262217110305</v>
      </c>
      <c r="Q80" s="365">
        <f t="shared" si="14"/>
        <v>16353.745069236869</v>
      </c>
      <c r="R80" s="365">
        <f t="shared" si="14"/>
        <v>16361.23134679949</v>
      </c>
      <c r="S80" s="365">
        <f t="shared" si="14"/>
        <v>16368.721051366228</v>
      </c>
      <c r="T80" s="365">
        <f t="shared" si="14"/>
        <v>16376.214184505874</v>
      </c>
      <c r="U80" s="365">
        <f t="shared" si="14"/>
        <v>16383.710747787929</v>
      </c>
      <c r="V80" s="365">
        <v>16391.210742782612</v>
      </c>
      <c r="W80" s="365">
        <f t="shared" ref="W80:AF80" si="15">V80*(100+W87)/100</f>
        <v>16398.714171060867</v>
      </c>
      <c r="X80" s="365">
        <f t="shared" si="15"/>
        <v>16406.22103419435</v>
      </c>
      <c r="Y80" s="365">
        <f t="shared" si="15"/>
        <v>16413.731333755437</v>
      </c>
      <c r="Z80" s="365">
        <f t="shared" si="15"/>
        <v>16421.245071317233</v>
      </c>
      <c r="AA80" s="365">
        <f t="shared" si="15"/>
        <v>16428.762248453553</v>
      </c>
      <c r="AB80" s="365">
        <f t="shared" si="15"/>
        <v>16436.282866738937</v>
      </c>
      <c r="AC80" s="365">
        <f t="shared" si="15"/>
        <v>16443.806927748643</v>
      </c>
      <c r="AD80" s="365">
        <f t="shared" si="15"/>
        <v>16451.334433058655</v>
      </c>
      <c r="AE80" s="365">
        <f t="shared" si="15"/>
        <v>16458.865384245673</v>
      </c>
      <c r="AF80" s="365">
        <f t="shared" si="15"/>
        <v>16466.399782887122</v>
      </c>
    </row>
    <row r="81" spans="1:32" ht="20.100000000000001" customHeight="1">
      <c r="A81" s="272" t="s">
        <v>889</v>
      </c>
      <c r="B81" s="365">
        <v>24937.229909639544</v>
      </c>
      <c r="C81" s="365">
        <f t="shared" ref="C81:K81" si="16">B81*(100+C88)/100</f>
        <v>24794.376777075602</v>
      </c>
      <c r="D81" s="365">
        <f t="shared" si="16"/>
        <v>24652.341979890418</v>
      </c>
      <c r="E81" s="365">
        <f t="shared" si="16"/>
        <v>24511.120830242853</v>
      </c>
      <c r="F81" s="365">
        <f t="shared" si="16"/>
        <v>24370.708667146104</v>
      </c>
      <c r="G81" s="365">
        <f t="shared" si="16"/>
        <v>24231.100856313864</v>
      </c>
      <c r="H81" s="365">
        <f t="shared" si="16"/>
        <v>24092.292790007381</v>
      </c>
      <c r="I81" s="365">
        <f t="shared" si="16"/>
        <v>23954.279886883371</v>
      </c>
      <c r="J81" s="365">
        <f t="shared" si="16"/>
        <v>23817.057591842815</v>
      </c>
      <c r="K81" s="365">
        <f t="shared" si="16"/>
        <v>23680.621375880619</v>
      </c>
      <c r="L81" s="365">
        <v>23544.966735936116</v>
      </c>
      <c r="M81" s="365">
        <f t="shared" ref="M81:U81" si="17">L81*(100+M88)/100</f>
        <v>23469.79144915142</v>
      </c>
      <c r="N81" s="365">
        <f t="shared" si="17"/>
        <v>23394.856184950178</v>
      </c>
      <c r="O81" s="365">
        <f t="shared" si="17"/>
        <v>23320.16017697893</v>
      </c>
      <c r="P81" s="365">
        <f t="shared" si="17"/>
        <v>23245.702661331066</v>
      </c>
      <c r="Q81" s="365">
        <f t="shared" si="17"/>
        <v>23171.482876539012</v>
      </c>
      <c r="R81" s="365">
        <f t="shared" si="17"/>
        <v>23097.500063566429</v>
      </c>
      <c r="S81" s="365">
        <f t="shared" si="17"/>
        <v>23023.753465800466</v>
      </c>
      <c r="T81" s="365">
        <f t="shared" si="17"/>
        <v>22950.242329044013</v>
      </c>
      <c r="U81" s="365">
        <f t="shared" si="17"/>
        <v>22876.965901507981</v>
      </c>
      <c r="V81" s="365">
        <v>22803.923433803655</v>
      </c>
      <c r="W81" s="365">
        <f t="shared" ref="W81:AF81" si="18">V81*(100+W88)/100</f>
        <v>22731.114178934931</v>
      </c>
      <c r="X81" s="365">
        <f t="shared" si="18"/>
        <v>22658.537392290807</v>
      </c>
      <c r="Y81" s="365">
        <f t="shared" si="18"/>
        <v>22586.192331637678</v>
      </c>
      <c r="Z81" s="365">
        <f t="shared" si="18"/>
        <v>22514.078257111782</v>
      </c>
      <c r="AA81" s="365">
        <f t="shared" si="18"/>
        <v>22442.19443121161</v>
      </c>
      <c r="AB81" s="365">
        <f t="shared" si="18"/>
        <v>22370.540118790384</v>
      </c>
      <c r="AC81" s="365">
        <f t="shared" si="18"/>
        <v>22299.114587048531</v>
      </c>
      <c r="AD81" s="365">
        <f t="shared" si="18"/>
        <v>22227.917105526183</v>
      </c>
      <c r="AE81" s="365">
        <f t="shared" si="18"/>
        <v>22156.946946095723</v>
      </c>
      <c r="AF81" s="365">
        <f t="shared" si="18"/>
        <v>22086.203382954318</v>
      </c>
    </row>
    <row r="82" spans="1:32" ht="20.100000000000001" customHeight="1">
      <c r="A82" s="272" t="s">
        <v>331</v>
      </c>
      <c r="B82" s="365">
        <v>47000.43170107132</v>
      </c>
      <c r="C82" s="365">
        <f t="shared" ref="C82:K82" si="19">B82*(100+C89)/100</f>
        <v>46952.085215016465</v>
      </c>
      <c r="D82" s="365">
        <f t="shared" si="19"/>
        <v>46903.788460051932</v>
      </c>
      <c r="E82" s="365">
        <f t="shared" si="19"/>
        <v>46855.541385022363</v>
      </c>
      <c r="F82" s="365">
        <f t="shared" si="19"/>
        <v>46807.343938825041</v>
      </c>
      <c r="G82" s="365">
        <f t="shared" si="19"/>
        <v>46759.196070409787</v>
      </c>
      <c r="H82" s="365">
        <f t="shared" si="19"/>
        <v>46711.097728778965</v>
      </c>
      <c r="I82" s="365">
        <f t="shared" si="19"/>
        <v>46663.048862987387</v>
      </c>
      <c r="J82" s="365">
        <f t="shared" si="19"/>
        <v>46615.049422142256</v>
      </c>
      <c r="K82" s="365">
        <f t="shared" si="19"/>
        <v>46567.099355403137</v>
      </c>
      <c r="L82" s="365">
        <v>46519.198611981854</v>
      </c>
      <c r="M82" s="365">
        <f t="shared" ref="M82:U82" si="20">L82*(100+M89)/100</f>
        <v>45939.099590151876</v>
      </c>
      <c r="N82" s="365">
        <f t="shared" si="20"/>
        <v>45366.234460675361</v>
      </c>
      <c r="O82" s="365">
        <f t="shared" si="20"/>
        <v>44800.513016196986</v>
      </c>
      <c r="P82" s="365">
        <f t="shared" si="20"/>
        <v>44241.846174256105</v>
      </c>
      <c r="Q82" s="365">
        <f t="shared" si="20"/>
        <v>43690.14596325918</v>
      </c>
      <c r="R82" s="365">
        <f t="shared" si="20"/>
        <v>43145.325508627204</v>
      </c>
      <c r="S82" s="365">
        <f t="shared" si="20"/>
        <v>42607.299019115751</v>
      </c>
      <c r="T82" s="365">
        <f t="shared" si="20"/>
        <v>42075.981773305757</v>
      </c>
      <c r="U82" s="365">
        <f t="shared" si="20"/>
        <v>41551.290106262641</v>
      </c>
      <c r="V82" s="365">
        <v>41033.14139636192</v>
      </c>
      <c r="W82" s="365">
        <f t="shared" ref="W82:AF82" si="21">V82*(100+W89)/100</f>
        <v>40521.454052278794</v>
      </c>
      <c r="X82" s="365">
        <f t="shared" si="21"/>
        <v>40016.147500140542</v>
      </c>
      <c r="Y82" s="365">
        <f t="shared" si="21"/>
        <v>39517.142170838575</v>
      </c>
      <c r="Z82" s="365">
        <f t="shared" si="21"/>
        <v>39024.359487498994</v>
      </c>
      <c r="AA82" s="365">
        <f t="shared" si="21"/>
        <v>38537.721853109295</v>
      </c>
      <c r="AB82" s="365">
        <f t="shared" si="21"/>
        <v>38057.152638299434</v>
      </c>
      <c r="AC82" s="365">
        <f t="shared" si="21"/>
        <v>37582.576169275198</v>
      </c>
      <c r="AD82" s="365">
        <f t="shared" si="21"/>
        <v>37113.917715902113</v>
      </c>
      <c r="AE82" s="365">
        <f t="shared" si="21"/>
        <v>36651.103479937876</v>
      </c>
      <c r="AF82" s="365">
        <f t="shared" si="21"/>
        <v>36194.060583411607</v>
      </c>
    </row>
    <row r="83" spans="1:32" ht="20.100000000000001" customHeight="1">
      <c r="A83" s="272" t="s">
        <v>891</v>
      </c>
      <c r="B83" s="365">
        <v>-111907.03951127999</v>
      </c>
      <c r="C83" s="365">
        <f t="shared" ref="C83:K83" si="22">B83*(100+C90)/100</f>
        <v>-110709.81112090258</v>
      </c>
      <c r="D83" s="365">
        <f t="shared" si="22"/>
        <v>-109525.39118140536</v>
      </c>
      <c r="E83" s="365">
        <f t="shared" si="22"/>
        <v>-108353.64266261488</v>
      </c>
      <c r="F83" s="365">
        <f t="shared" si="22"/>
        <v>-107194.43000036394</v>
      </c>
      <c r="G83" s="365">
        <f t="shared" si="22"/>
        <v>-106047.61908080761</v>
      </c>
      <c r="H83" s="365">
        <f t="shared" si="22"/>
        <v>-104913.077224907</v>
      </c>
      <c r="I83" s="365">
        <f t="shared" si="22"/>
        <v>-103790.67317307919</v>
      </c>
      <c r="J83" s="365">
        <f t="shared" si="22"/>
        <v>-102680.27707001127</v>
      </c>
      <c r="K83" s="365">
        <f t="shared" si="22"/>
        <v>-101581.76044963687</v>
      </c>
      <c r="L83" s="365">
        <v>-100494.99622027352</v>
      </c>
      <c r="M83" s="365">
        <f t="shared" ref="M83:U83" si="23">L83*(100+M90)/100</f>
        <v>-98829.68400002952</v>
      </c>
      <c r="N83" s="365">
        <f t="shared" si="23"/>
        <v>-97191.967828297391</v>
      </c>
      <c r="O83" s="365">
        <f t="shared" si="23"/>
        <v>-95581.390408310646</v>
      </c>
      <c r="P83" s="365">
        <f t="shared" si="23"/>
        <v>-93997.502021211418</v>
      </c>
      <c r="Q83" s="365">
        <f t="shared" si="23"/>
        <v>-92439.860400476144</v>
      </c>
      <c r="R83" s="365">
        <f t="shared" si="23"/>
        <v>-90908.03060842221</v>
      </c>
      <c r="S83" s="365">
        <f t="shared" si="23"/>
        <v>-89401.584914761086</v>
      </c>
      <c r="T83" s="365">
        <f t="shared" si="23"/>
        <v>-87920.102677163886</v>
      </c>
      <c r="U83" s="365">
        <f t="shared" si="23"/>
        <v>-86463.170223806068</v>
      </c>
      <c r="V83" s="365">
        <v>-85030.380737858504</v>
      </c>
      <c r="W83" s="365">
        <f t="shared" ref="W83:AF83" si="24">V83*(100+W90)/100</f>
        <v>-83621.334143892978</v>
      </c>
      <c r="X83" s="365">
        <f t="shared" si="24"/>
        <v>-82235.636996169327</v>
      </c>
      <c r="Y83" s="365">
        <f t="shared" si="24"/>
        <v>-80872.902368774594</v>
      </c>
      <c r="Z83" s="365">
        <f t="shared" si="24"/>
        <v>-79532.749747582202</v>
      </c>
      <c r="AA83" s="365">
        <f t="shared" si="24"/>
        <v>-78214.804924001655</v>
      </c>
      <c r="AB83" s="365">
        <f t="shared" si="24"/>
        <v>-76918.699890488919</v>
      </c>
      <c r="AC83" s="365">
        <f t="shared" si="24"/>
        <v>-75644.072737788258</v>
      </c>
      <c r="AD83" s="365">
        <f t="shared" si="24"/>
        <v>-74390.567553876914</v>
      </c>
      <c r="AE83" s="365">
        <f t="shared" si="24"/>
        <v>-73157.834324584386</v>
      </c>
      <c r="AF83" s="365">
        <f t="shared" si="24"/>
        <v>-71945.528835858597</v>
      </c>
    </row>
    <row r="84" spans="1:32" ht="20.100000000000001" customHeight="1">
      <c r="A84" s="259" t="s">
        <v>894</v>
      </c>
    </row>
    <row r="85" spans="1:32" ht="20.100000000000001" customHeight="1">
      <c r="A85" s="272" t="str">
        <f>A78</f>
        <v>Forestland</v>
      </c>
      <c r="B85" s="376">
        <f>((L78/B78)^(1/10)-1)*100</f>
        <v>-5.6057976196632886E-2</v>
      </c>
      <c r="C85" s="376">
        <f>B85</f>
        <v>-5.6057976196632886E-2</v>
      </c>
      <c r="D85" s="376">
        <f t="shared" ref="D85:L85" si="25">C85</f>
        <v>-5.6057976196632886E-2</v>
      </c>
      <c r="E85" s="376">
        <f t="shared" si="25"/>
        <v>-5.6057976196632886E-2</v>
      </c>
      <c r="F85" s="376">
        <f t="shared" si="25"/>
        <v>-5.6057976196632886E-2</v>
      </c>
      <c r="G85" s="376">
        <f t="shared" si="25"/>
        <v>-5.6057976196632886E-2</v>
      </c>
      <c r="H85" s="376">
        <f t="shared" si="25"/>
        <v>-5.6057976196632886E-2</v>
      </c>
      <c r="I85" s="376">
        <f t="shared" si="25"/>
        <v>-5.6057976196632886E-2</v>
      </c>
      <c r="J85" s="376">
        <f t="shared" si="25"/>
        <v>-5.6057976196632886E-2</v>
      </c>
      <c r="K85" s="376">
        <f t="shared" si="25"/>
        <v>-5.6057976196632886E-2</v>
      </c>
      <c r="L85" s="376">
        <f t="shared" si="25"/>
        <v>-5.6057976196632886E-2</v>
      </c>
      <c r="M85" s="376">
        <f>((V78/L78)^(1/10)-1)*100</f>
        <v>2.3169596365813172</v>
      </c>
      <c r="N85" s="376">
        <f>M85</f>
        <v>2.3169596365813172</v>
      </c>
      <c r="O85" s="376">
        <f t="shared" ref="O85:AF90" si="26">N85</f>
        <v>2.3169596365813172</v>
      </c>
      <c r="P85" s="376">
        <f t="shared" si="26"/>
        <v>2.3169596365813172</v>
      </c>
      <c r="Q85" s="376">
        <f t="shared" si="26"/>
        <v>2.3169596365813172</v>
      </c>
      <c r="R85" s="376">
        <f t="shared" si="26"/>
        <v>2.3169596365813172</v>
      </c>
      <c r="S85" s="376">
        <f t="shared" si="26"/>
        <v>2.3169596365813172</v>
      </c>
      <c r="T85" s="376">
        <f t="shared" si="26"/>
        <v>2.3169596365813172</v>
      </c>
      <c r="U85" s="376">
        <f t="shared" si="26"/>
        <v>2.3169596365813172</v>
      </c>
      <c r="V85" s="376">
        <f t="shared" si="26"/>
        <v>2.3169596365813172</v>
      </c>
      <c r="W85" s="376">
        <f t="shared" si="26"/>
        <v>2.3169596365813172</v>
      </c>
      <c r="X85" s="376">
        <f t="shared" si="26"/>
        <v>2.3169596365813172</v>
      </c>
      <c r="Y85" s="376">
        <f t="shared" si="26"/>
        <v>2.3169596365813172</v>
      </c>
      <c r="Z85" s="376">
        <f t="shared" si="26"/>
        <v>2.3169596365813172</v>
      </c>
      <c r="AA85" s="376">
        <f t="shared" si="26"/>
        <v>2.3169596365813172</v>
      </c>
      <c r="AB85" s="376">
        <f t="shared" si="26"/>
        <v>2.3169596365813172</v>
      </c>
      <c r="AC85" s="376">
        <f t="shared" si="26"/>
        <v>2.3169596365813172</v>
      </c>
      <c r="AD85" s="376">
        <f t="shared" si="26"/>
        <v>2.3169596365813172</v>
      </c>
      <c r="AE85" s="376">
        <f t="shared" si="26"/>
        <v>2.3169596365813172</v>
      </c>
      <c r="AF85" s="376">
        <f t="shared" si="26"/>
        <v>2.3169596365813172</v>
      </c>
    </row>
    <row r="86" spans="1:32" ht="20.100000000000001" customHeight="1">
      <c r="A86" s="272" t="str">
        <f t="shared" ref="A86:A89" si="27">A79</f>
        <v>Cropland</v>
      </c>
      <c r="B86" s="376">
        <f t="shared" ref="B86:B90" si="28">((L79/B79)^(1/10)-1)*100</f>
        <v>1.1935164277488752</v>
      </c>
      <c r="C86" s="376">
        <f t="shared" ref="C86:L86" si="29">B86</f>
        <v>1.1935164277488752</v>
      </c>
      <c r="D86" s="376">
        <f t="shared" si="29"/>
        <v>1.1935164277488752</v>
      </c>
      <c r="E86" s="376">
        <f t="shared" si="29"/>
        <v>1.1935164277488752</v>
      </c>
      <c r="F86" s="376">
        <f t="shared" si="29"/>
        <v>1.1935164277488752</v>
      </c>
      <c r="G86" s="376">
        <f t="shared" si="29"/>
        <v>1.1935164277488752</v>
      </c>
      <c r="H86" s="376">
        <f t="shared" si="29"/>
        <v>1.1935164277488752</v>
      </c>
      <c r="I86" s="376">
        <f t="shared" si="29"/>
        <v>1.1935164277488752</v>
      </c>
      <c r="J86" s="376">
        <f t="shared" si="29"/>
        <v>1.1935164277488752</v>
      </c>
      <c r="K86" s="376">
        <f t="shared" si="29"/>
        <v>1.1935164277488752</v>
      </c>
      <c r="L86" s="376">
        <f t="shared" si="29"/>
        <v>1.1935164277488752</v>
      </c>
      <c r="M86" s="376">
        <f t="shared" ref="M86:M89" si="30">((V79/L79)^(1/10)-1)*100</f>
        <v>0.16969509809525718</v>
      </c>
      <c r="N86" s="376">
        <f t="shared" ref="N86:AC90" si="31">M86</f>
        <v>0.16969509809525718</v>
      </c>
      <c r="O86" s="376">
        <f t="shared" si="31"/>
        <v>0.16969509809525718</v>
      </c>
      <c r="P86" s="376">
        <f t="shared" si="31"/>
        <v>0.16969509809525718</v>
      </c>
      <c r="Q86" s="376">
        <f t="shared" si="31"/>
        <v>0.16969509809525718</v>
      </c>
      <c r="R86" s="376">
        <f t="shared" si="31"/>
        <v>0.16969509809525718</v>
      </c>
      <c r="S86" s="376">
        <f t="shared" si="31"/>
        <v>0.16969509809525718</v>
      </c>
      <c r="T86" s="376">
        <f t="shared" si="31"/>
        <v>0.16969509809525718</v>
      </c>
      <c r="U86" s="376">
        <f t="shared" si="31"/>
        <v>0.16969509809525718</v>
      </c>
      <c r="V86" s="376">
        <f t="shared" si="31"/>
        <v>0.16969509809525718</v>
      </c>
      <c r="W86" s="376">
        <f t="shared" si="31"/>
        <v>0.16969509809525718</v>
      </c>
      <c r="X86" s="376">
        <f t="shared" si="31"/>
        <v>0.16969509809525718</v>
      </c>
      <c r="Y86" s="376">
        <f t="shared" si="31"/>
        <v>0.16969509809525718</v>
      </c>
      <c r="Z86" s="376">
        <f t="shared" si="31"/>
        <v>0.16969509809525718</v>
      </c>
      <c r="AA86" s="376">
        <f t="shared" si="31"/>
        <v>0.16969509809525718</v>
      </c>
      <c r="AB86" s="376">
        <f t="shared" si="31"/>
        <v>0.16969509809525718</v>
      </c>
      <c r="AC86" s="376">
        <f t="shared" si="31"/>
        <v>0.16969509809525718</v>
      </c>
      <c r="AD86" s="376">
        <f t="shared" si="26"/>
        <v>0.16969509809525718</v>
      </c>
      <c r="AE86" s="376">
        <f t="shared" si="26"/>
        <v>0.16969509809525718</v>
      </c>
      <c r="AF86" s="376">
        <f t="shared" si="26"/>
        <v>0.16969509809525718</v>
      </c>
    </row>
    <row r="87" spans="1:32" ht="20.100000000000001" customHeight="1">
      <c r="A87" s="272" t="str">
        <f t="shared" si="27"/>
        <v>Grassland</v>
      </c>
      <c r="B87" s="376">
        <f t="shared" si="28"/>
        <v>-0.49105974754584114</v>
      </c>
      <c r="C87" s="376">
        <f t="shared" ref="C87:L87" si="32">B87</f>
        <v>-0.49105974754584114</v>
      </c>
      <c r="D87" s="376">
        <f t="shared" si="32"/>
        <v>-0.49105974754584114</v>
      </c>
      <c r="E87" s="376">
        <f t="shared" si="32"/>
        <v>-0.49105974754584114</v>
      </c>
      <c r="F87" s="376">
        <f t="shared" si="32"/>
        <v>-0.49105974754584114</v>
      </c>
      <c r="G87" s="376">
        <f t="shared" si="32"/>
        <v>-0.49105974754584114</v>
      </c>
      <c r="H87" s="376">
        <f t="shared" si="32"/>
        <v>-0.49105974754584114</v>
      </c>
      <c r="I87" s="376">
        <f t="shared" si="32"/>
        <v>-0.49105974754584114</v>
      </c>
      <c r="J87" s="376">
        <f t="shared" si="32"/>
        <v>-0.49105974754584114</v>
      </c>
      <c r="K87" s="376">
        <f t="shared" si="32"/>
        <v>-0.49105974754584114</v>
      </c>
      <c r="L87" s="376">
        <f t="shared" si="32"/>
        <v>-0.49105974754584114</v>
      </c>
      <c r="M87" s="376">
        <f t="shared" si="30"/>
        <v>4.5777144812553239E-2</v>
      </c>
      <c r="N87" s="376">
        <f t="shared" si="31"/>
        <v>4.5777144812553239E-2</v>
      </c>
      <c r="O87" s="376">
        <f t="shared" si="26"/>
        <v>4.5777144812553239E-2</v>
      </c>
      <c r="P87" s="376">
        <f t="shared" si="26"/>
        <v>4.5777144812553239E-2</v>
      </c>
      <c r="Q87" s="376">
        <f t="shared" si="26"/>
        <v>4.5777144812553239E-2</v>
      </c>
      <c r="R87" s="376">
        <f t="shared" si="26"/>
        <v>4.5777144812553239E-2</v>
      </c>
      <c r="S87" s="376">
        <f t="shared" si="26"/>
        <v>4.5777144812553239E-2</v>
      </c>
      <c r="T87" s="376">
        <f t="shared" si="26"/>
        <v>4.5777144812553239E-2</v>
      </c>
      <c r="U87" s="376">
        <f t="shared" si="26"/>
        <v>4.5777144812553239E-2</v>
      </c>
      <c r="V87" s="376">
        <f t="shared" si="26"/>
        <v>4.5777144812553239E-2</v>
      </c>
      <c r="W87" s="376">
        <f t="shared" si="26"/>
        <v>4.5777144812553239E-2</v>
      </c>
      <c r="X87" s="376">
        <f t="shared" si="26"/>
        <v>4.5777144812553239E-2</v>
      </c>
      <c r="Y87" s="376">
        <f t="shared" si="26"/>
        <v>4.5777144812553239E-2</v>
      </c>
      <c r="Z87" s="376">
        <f t="shared" si="26"/>
        <v>4.5777144812553239E-2</v>
      </c>
      <c r="AA87" s="376">
        <f t="shared" si="26"/>
        <v>4.5777144812553239E-2</v>
      </c>
      <c r="AB87" s="376">
        <f t="shared" si="26"/>
        <v>4.5777144812553239E-2</v>
      </c>
      <c r="AC87" s="376">
        <f t="shared" si="26"/>
        <v>4.5777144812553239E-2</v>
      </c>
      <c r="AD87" s="376">
        <f t="shared" si="26"/>
        <v>4.5777144812553239E-2</v>
      </c>
      <c r="AE87" s="376">
        <f t="shared" si="26"/>
        <v>4.5777144812553239E-2</v>
      </c>
      <c r="AF87" s="376">
        <f t="shared" si="26"/>
        <v>4.5777144812553239E-2</v>
      </c>
    </row>
    <row r="88" spans="1:32" ht="20.100000000000001" customHeight="1">
      <c r="A88" s="272" t="str">
        <f t="shared" si="27"/>
        <v>Wetlands</v>
      </c>
      <c r="B88" s="376">
        <f t="shared" si="28"/>
        <v>-0.57285084623101001</v>
      </c>
      <c r="C88" s="376">
        <f t="shared" ref="C88:L88" si="33">B88</f>
        <v>-0.57285084623101001</v>
      </c>
      <c r="D88" s="376">
        <f t="shared" si="33"/>
        <v>-0.57285084623101001</v>
      </c>
      <c r="E88" s="376">
        <f t="shared" si="33"/>
        <v>-0.57285084623101001</v>
      </c>
      <c r="F88" s="376">
        <f t="shared" si="33"/>
        <v>-0.57285084623101001</v>
      </c>
      <c r="G88" s="376">
        <f t="shared" si="33"/>
        <v>-0.57285084623101001</v>
      </c>
      <c r="H88" s="376">
        <f t="shared" si="33"/>
        <v>-0.57285084623101001</v>
      </c>
      <c r="I88" s="376">
        <f t="shared" si="33"/>
        <v>-0.57285084623101001</v>
      </c>
      <c r="J88" s="376">
        <f t="shared" si="33"/>
        <v>-0.57285084623101001</v>
      </c>
      <c r="K88" s="376">
        <f t="shared" si="33"/>
        <v>-0.57285084623101001</v>
      </c>
      <c r="L88" s="376">
        <f t="shared" si="33"/>
        <v>-0.57285084623101001</v>
      </c>
      <c r="M88" s="376">
        <f t="shared" si="30"/>
        <v>-0.31928389463363738</v>
      </c>
      <c r="N88" s="376">
        <f t="shared" si="31"/>
        <v>-0.31928389463363738</v>
      </c>
      <c r="O88" s="376">
        <f t="shared" si="26"/>
        <v>-0.31928389463363738</v>
      </c>
      <c r="P88" s="376">
        <f t="shared" si="26"/>
        <v>-0.31928389463363738</v>
      </c>
      <c r="Q88" s="376">
        <f t="shared" si="26"/>
        <v>-0.31928389463363738</v>
      </c>
      <c r="R88" s="376">
        <f t="shared" si="26"/>
        <v>-0.31928389463363738</v>
      </c>
      <c r="S88" s="376">
        <f t="shared" si="26"/>
        <v>-0.31928389463363738</v>
      </c>
      <c r="T88" s="376">
        <f t="shared" si="26"/>
        <v>-0.31928389463363738</v>
      </c>
      <c r="U88" s="376">
        <f t="shared" si="26"/>
        <v>-0.31928389463363738</v>
      </c>
      <c r="V88" s="376">
        <f t="shared" si="26"/>
        <v>-0.31928389463363738</v>
      </c>
      <c r="W88" s="376">
        <f t="shared" si="26"/>
        <v>-0.31928389463363738</v>
      </c>
      <c r="X88" s="376">
        <f t="shared" si="26"/>
        <v>-0.31928389463363738</v>
      </c>
      <c r="Y88" s="376">
        <f t="shared" si="26"/>
        <v>-0.31928389463363738</v>
      </c>
      <c r="Z88" s="376">
        <f t="shared" si="26"/>
        <v>-0.31928389463363738</v>
      </c>
      <c r="AA88" s="376">
        <f t="shared" si="26"/>
        <v>-0.31928389463363738</v>
      </c>
      <c r="AB88" s="376">
        <f t="shared" si="26"/>
        <v>-0.31928389463363738</v>
      </c>
      <c r="AC88" s="376">
        <f t="shared" si="26"/>
        <v>-0.31928389463363738</v>
      </c>
      <c r="AD88" s="376">
        <f t="shared" si="26"/>
        <v>-0.31928389463363738</v>
      </c>
      <c r="AE88" s="376">
        <f t="shared" si="26"/>
        <v>-0.31928389463363738</v>
      </c>
      <c r="AF88" s="376">
        <f t="shared" si="26"/>
        <v>-0.31928389463363738</v>
      </c>
    </row>
    <row r="89" spans="1:32" ht="20.100000000000001" customHeight="1">
      <c r="A89" s="272" t="str">
        <f t="shared" si="27"/>
        <v>Settlements</v>
      </c>
      <c r="B89" s="376">
        <f t="shared" si="28"/>
        <v>-0.10286391912811554</v>
      </c>
      <c r="C89" s="376">
        <f t="shared" ref="C89:L89" si="34">B89</f>
        <v>-0.10286391912811554</v>
      </c>
      <c r="D89" s="376">
        <f t="shared" si="34"/>
        <v>-0.10286391912811554</v>
      </c>
      <c r="E89" s="376">
        <f t="shared" si="34"/>
        <v>-0.10286391912811554</v>
      </c>
      <c r="F89" s="376">
        <f t="shared" si="34"/>
        <v>-0.10286391912811554</v>
      </c>
      <c r="G89" s="376">
        <f t="shared" si="34"/>
        <v>-0.10286391912811554</v>
      </c>
      <c r="H89" s="376">
        <f t="shared" si="34"/>
        <v>-0.10286391912811554</v>
      </c>
      <c r="I89" s="376">
        <f t="shared" si="34"/>
        <v>-0.10286391912811554</v>
      </c>
      <c r="J89" s="376">
        <f t="shared" si="34"/>
        <v>-0.10286391912811554</v>
      </c>
      <c r="K89" s="376">
        <f t="shared" si="34"/>
        <v>-0.10286391912811554</v>
      </c>
      <c r="L89" s="376">
        <f t="shared" si="34"/>
        <v>-0.10286391912811554</v>
      </c>
      <c r="M89" s="376">
        <f t="shared" si="30"/>
        <v>-1.2470099209330621</v>
      </c>
      <c r="N89" s="376">
        <f t="shared" si="31"/>
        <v>-1.2470099209330621</v>
      </c>
      <c r="O89" s="376">
        <f t="shared" si="26"/>
        <v>-1.2470099209330621</v>
      </c>
      <c r="P89" s="376">
        <f t="shared" si="26"/>
        <v>-1.2470099209330621</v>
      </c>
      <c r="Q89" s="376">
        <f t="shared" si="26"/>
        <v>-1.2470099209330621</v>
      </c>
      <c r="R89" s="376">
        <f t="shared" si="26"/>
        <v>-1.2470099209330621</v>
      </c>
      <c r="S89" s="376">
        <f t="shared" si="26"/>
        <v>-1.2470099209330621</v>
      </c>
      <c r="T89" s="376">
        <f t="shared" si="26"/>
        <v>-1.2470099209330621</v>
      </c>
      <c r="U89" s="376">
        <f t="shared" si="26"/>
        <v>-1.2470099209330621</v>
      </c>
      <c r="V89" s="376">
        <f t="shared" si="26"/>
        <v>-1.2470099209330621</v>
      </c>
      <c r="W89" s="376">
        <f t="shared" si="26"/>
        <v>-1.2470099209330621</v>
      </c>
      <c r="X89" s="376">
        <f t="shared" si="26"/>
        <v>-1.2470099209330621</v>
      </c>
      <c r="Y89" s="376">
        <f t="shared" si="26"/>
        <v>-1.2470099209330621</v>
      </c>
      <c r="Z89" s="376">
        <f t="shared" si="26"/>
        <v>-1.2470099209330621</v>
      </c>
      <c r="AA89" s="376">
        <f t="shared" si="26"/>
        <v>-1.2470099209330621</v>
      </c>
      <c r="AB89" s="376">
        <f t="shared" si="26"/>
        <v>-1.2470099209330621</v>
      </c>
      <c r="AC89" s="376">
        <f t="shared" si="26"/>
        <v>-1.2470099209330621</v>
      </c>
      <c r="AD89" s="376">
        <f t="shared" si="26"/>
        <v>-1.2470099209330621</v>
      </c>
      <c r="AE89" s="376">
        <f t="shared" si="26"/>
        <v>-1.2470099209330621</v>
      </c>
      <c r="AF89" s="376">
        <f t="shared" si="26"/>
        <v>-1.2470099209330621</v>
      </c>
    </row>
    <row r="90" spans="1:32" ht="20.100000000000001" customHeight="1">
      <c r="A90" s="272" t="str">
        <f>A83</f>
        <v>Other</v>
      </c>
      <c r="B90" s="376">
        <f t="shared" si="28"/>
        <v>-1.0698418934196874</v>
      </c>
      <c r="C90" s="376">
        <f t="shared" ref="C90:L90" si="35">B90</f>
        <v>-1.0698418934196874</v>
      </c>
      <c r="D90" s="376">
        <f t="shared" si="35"/>
        <v>-1.0698418934196874</v>
      </c>
      <c r="E90" s="376">
        <f t="shared" si="35"/>
        <v>-1.0698418934196874</v>
      </c>
      <c r="F90" s="376">
        <f t="shared" si="35"/>
        <v>-1.0698418934196874</v>
      </c>
      <c r="G90" s="376">
        <f t="shared" si="35"/>
        <v>-1.0698418934196874</v>
      </c>
      <c r="H90" s="376">
        <f t="shared" si="35"/>
        <v>-1.0698418934196874</v>
      </c>
      <c r="I90" s="376">
        <f t="shared" si="35"/>
        <v>-1.0698418934196874</v>
      </c>
      <c r="J90" s="376">
        <f t="shared" si="35"/>
        <v>-1.0698418934196874</v>
      </c>
      <c r="K90" s="376">
        <f t="shared" si="35"/>
        <v>-1.0698418934196874</v>
      </c>
      <c r="L90" s="376">
        <f t="shared" si="35"/>
        <v>-1.0698418934196874</v>
      </c>
      <c r="M90" s="376">
        <f>((V83/L83)^(1/10)-1)*100</f>
        <v>-1.6571095904057032</v>
      </c>
      <c r="N90" s="376">
        <f t="shared" si="31"/>
        <v>-1.6571095904057032</v>
      </c>
      <c r="O90" s="376">
        <f t="shared" si="26"/>
        <v>-1.6571095904057032</v>
      </c>
      <c r="P90" s="376">
        <f t="shared" si="26"/>
        <v>-1.6571095904057032</v>
      </c>
      <c r="Q90" s="376">
        <f t="shared" si="26"/>
        <v>-1.6571095904057032</v>
      </c>
      <c r="R90" s="376">
        <f t="shared" si="26"/>
        <v>-1.6571095904057032</v>
      </c>
      <c r="S90" s="376">
        <f t="shared" si="26"/>
        <v>-1.6571095904057032</v>
      </c>
      <c r="T90" s="376">
        <f t="shared" si="26"/>
        <v>-1.6571095904057032</v>
      </c>
      <c r="U90" s="376">
        <f t="shared" si="26"/>
        <v>-1.6571095904057032</v>
      </c>
      <c r="V90" s="376">
        <f t="shared" si="26"/>
        <v>-1.6571095904057032</v>
      </c>
      <c r="W90" s="376">
        <f t="shared" si="26"/>
        <v>-1.6571095904057032</v>
      </c>
      <c r="X90" s="376">
        <f t="shared" si="26"/>
        <v>-1.6571095904057032</v>
      </c>
      <c r="Y90" s="376">
        <f t="shared" si="26"/>
        <v>-1.6571095904057032</v>
      </c>
      <c r="Z90" s="376">
        <f t="shared" si="26"/>
        <v>-1.6571095904057032</v>
      </c>
      <c r="AA90" s="376">
        <f t="shared" si="26"/>
        <v>-1.6571095904057032</v>
      </c>
      <c r="AB90" s="376">
        <f t="shared" si="26"/>
        <v>-1.6571095904057032</v>
      </c>
      <c r="AC90" s="376">
        <f t="shared" si="26"/>
        <v>-1.6571095904057032</v>
      </c>
      <c r="AD90" s="376">
        <f t="shared" si="26"/>
        <v>-1.6571095904057032</v>
      </c>
      <c r="AE90" s="376">
        <f t="shared" si="26"/>
        <v>-1.6571095904057032</v>
      </c>
      <c r="AF90" s="376">
        <f t="shared" si="26"/>
        <v>-1.6571095904057032</v>
      </c>
    </row>
    <row r="92" spans="1:32" ht="20.100000000000001" customHeight="1" thickBot="1">
      <c r="B92" s="260">
        <v>1</v>
      </c>
      <c r="C92" s="260">
        <v>2</v>
      </c>
      <c r="D92" s="260">
        <v>3</v>
      </c>
      <c r="E92" s="260">
        <v>4</v>
      </c>
      <c r="F92" s="260">
        <v>5</v>
      </c>
      <c r="G92" s="260">
        <v>6</v>
      </c>
    </row>
    <row r="93" spans="1:32" ht="20.100000000000001" customHeight="1">
      <c r="A93" s="637" t="s">
        <v>996</v>
      </c>
      <c r="B93" s="639" t="s">
        <v>997</v>
      </c>
      <c r="C93" s="640"/>
      <c r="D93" s="639" t="s">
        <v>998</v>
      </c>
      <c r="E93" s="640"/>
      <c r="F93" s="641" t="s">
        <v>999</v>
      </c>
      <c r="G93" s="642"/>
    </row>
    <row r="94" spans="1:32" ht="20.100000000000001" customHeight="1" thickBot="1">
      <c r="A94" s="638"/>
      <c r="B94" s="413" t="s">
        <v>1000</v>
      </c>
      <c r="C94" s="414" t="s">
        <v>1001</v>
      </c>
      <c r="D94" s="413" t="s">
        <v>1002</v>
      </c>
      <c r="E94" s="414" t="s">
        <v>1003</v>
      </c>
      <c r="F94" s="415" t="s">
        <v>1004</v>
      </c>
      <c r="G94" s="416" t="s">
        <v>1005</v>
      </c>
    </row>
    <row r="95" spans="1:32" ht="20.100000000000001" customHeight="1">
      <c r="A95" s="407" t="s">
        <v>1006</v>
      </c>
      <c r="B95" s="418">
        <f>INDEX('DEFAULT DATA'!$DZ$9:$MG$40,$B$4,1)</f>
        <v>0</v>
      </c>
      <c r="C95" s="418">
        <f>INDEX('DEFAULT DATA'!$DZ$9:$MG$40,$B$4,2)</f>
        <v>0</v>
      </c>
      <c r="D95" s="418">
        <f>INDEX('DEFAULT DATA'!$DZ$9:$MG$40,$B$4,3)</f>
        <v>0</v>
      </c>
      <c r="E95" s="418">
        <f>INDEX('DEFAULT DATA'!$DZ$9:$MG$40,$B$4,4)</f>
        <v>0</v>
      </c>
      <c r="F95" s="418">
        <f>INDEX('DEFAULT DATA'!$DZ$9:$MG$40,$B$4,5)</f>
        <v>0</v>
      </c>
      <c r="G95" s="419">
        <f>INDEX('DEFAULT DATA'!$DZ$9:$MG$40,$B$4,6)</f>
        <v>0</v>
      </c>
    </row>
    <row r="96" spans="1:32" ht="20.100000000000001" customHeight="1">
      <c r="A96" s="408" t="s">
        <v>1007</v>
      </c>
      <c r="B96" s="417">
        <f>INDEX('DEFAULT DATA'!$DZ$9:$MG$40,$B$4,7)</f>
        <v>2.3331596698950001</v>
      </c>
      <c r="C96" s="417">
        <f>INDEX('DEFAULT DATA'!$DZ$9:$MG$40,$B$4,8)</f>
        <v>0</v>
      </c>
      <c r="D96" s="417">
        <f>INDEX('DEFAULT DATA'!$DZ$9:$MG$40,$B$4,9)</f>
        <v>0</v>
      </c>
      <c r="E96" s="417">
        <f>INDEX('DEFAULT DATA'!$DZ$9:$MG$40,$B$4,10)</f>
        <v>0.98609088910742004</v>
      </c>
      <c r="F96" s="417">
        <f>INDEX('DEFAULT DATA'!$DZ$9:$MG$40,$B$4,11)</f>
        <v>9.6999770847580005E-2</v>
      </c>
      <c r="G96" s="420">
        <f>INDEX('DEFAULT DATA'!$DZ$9:$MG$40,$B$4,12)</f>
        <v>-0.74905005460903995</v>
      </c>
    </row>
    <row r="97" spans="1:7" ht="20.100000000000001" customHeight="1">
      <c r="A97" s="408" t="s">
        <v>1008</v>
      </c>
      <c r="B97" s="417">
        <f>INDEX('DEFAULT DATA'!$DZ$9:$MG$40,$B$4,13)</f>
        <v>2.3331596698949899</v>
      </c>
      <c r="C97" s="417">
        <f>INDEX('DEFAULT DATA'!$DZ$9:$MG$40,$B$4,14)</f>
        <v>0</v>
      </c>
      <c r="D97" s="417">
        <f>INDEX('DEFAULT DATA'!$DZ$9:$MG$40,$B$4,15)</f>
        <v>0</v>
      </c>
      <c r="E97" s="417">
        <f>INDEX('DEFAULT DATA'!$DZ$9:$MG$40,$B$4,16)</f>
        <v>0.98609088910742004</v>
      </c>
      <c r="F97" s="417">
        <f>INDEX('DEFAULT DATA'!$DZ$9:$MG$40,$B$4,17)</f>
        <v>0</v>
      </c>
      <c r="G97" s="420">
        <f>INDEX('DEFAULT DATA'!$DZ$9:$MG$40,$B$4,18)</f>
        <v>-0.74905005460903995</v>
      </c>
    </row>
    <row r="98" spans="1:7" ht="20.100000000000001" customHeight="1">
      <c r="A98" s="408" t="s">
        <v>1009</v>
      </c>
      <c r="B98" s="417">
        <f>INDEX('DEFAULT DATA'!$DZ$9:$MG$40,$B$4,19)</f>
        <v>0</v>
      </c>
      <c r="C98" s="417">
        <f>INDEX('DEFAULT DATA'!$DZ$9:$MG$40,$B$4,20)</f>
        <v>0</v>
      </c>
      <c r="D98" s="417">
        <f>INDEX('DEFAULT DATA'!$DZ$9:$MG$40,$B$4,21)</f>
        <v>0</v>
      </c>
      <c r="E98" s="417">
        <f>INDEX('DEFAULT DATA'!$DZ$9:$MG$40,$B$4,22)</f>
        <v>0</v>
      </c>
      <c r="F98" s="417">
        <f>INDEX('DEFAULT DATA'!$DZ$9:$MG$40,$B$4,23)</f>
        <v>0</v>
      </c>
      <c r="G98" s="420">
        <f>INDEX('DEFAULT DATA'!$DZ$9:$MG$40,$B$4,24)</f>
        <v>0</v>
      </c>
    </row>
    <row r="99" spans="1:7" ht="20.100000000000001" customHeight="1" thickBot="1">
      <c r="A99" s="409" t="s">
        <v>1010</v>
      </c>
      <c r="B99" s="421">
        <f>INDEX('DEFAULT DATA'!$DZ$9:$MG$40,$B$4,25)</f>
        <v>0</v>
      </c>
      <c r="C99" s="421">
        <f>INDEX('DEFAULT DATA'!$DZ$9:$MG$40,$B$4,26)</f>
        <v>0</v>
      </c>
      <c r="D99" s="421">
        <f>INDEX('DEFAULT DATA'!$DZ$9:$MG$40,$B$4,27)</f>
        <v>0</v>
      </c>
      <c r="E99" s="421">
        <f>INDEX('DEFAULT DATA'!$DZ$9:$MG$40,$B$4,28)</f>
        <v>0</v>
      </c>
      <c r="F99" s="421">
        <f>INDEX('DEFAULT DATA'!$DZ$9:$MG$40,$B$4,29)</f>
        <v>0</v>
      </c>
      <c r="G99" s="422">
        <f>INDEX('DEFAULT DATA'!$DZ$9:$MG$40,$B$4,30)</f>
        <v>0</v>
      </c>
    </row>
    <row r="100" spans="1:7" ht="20.100000000000001" customHeight="1">
      <c r="A100" s="407" t="s">
        <v>1011</v>
      </c>
      <c r="B100" s="423">
        <f>INDEX('DEFAULT DATA'!$DZ$9:$MG$40,$B$4,31)</f>
        <v>0</v>
      </c>
      <c r="C100" s="423">
        <f>INDEX('DEFAULT DATA'!$DZ$9:$MG$40,$B$4,32)</f>
        <v>0</v>
      </c>
      <c r="D100" s="423">
        <f>INDEX('DEFAULT DATA'!$DZ$9:$MG$40,$B$4,33)</f>
        <v>0</v>
      </c>
      <c r="E100" s="423">
        <f>INDEX('DEFAULT DATA'!$DZ$9:$MG$40,$B$4,34)</f>
        <v>0</v>
      </c>
      <c r="F100" s="423">
        <f>INDEX('DEFAULT DATA'!$DZ$9:$MG$40,$B$4,35)</f>
        <v>0</v>
      </c>
      <c r="G100" s="424">
        <f>INDEX('DEFAULT DATA'!$DZ$9:$MG$40,$B$4,36)</f>
        <v>0</v>
      </c>
    </row>
    <row r="101" spans="1:7" ht="20.100000000000001" customHeight="1">
      <c r="A101" s="408" t="s">
        <v>1012</v>
      </c>
      <c r="B101" s="417">
        <f>INDEX('DEFAULT DATA'!$DZ$9:$MG$40,$B$4,37)</f>
        <v>0</v>
      </c>
      <c r="C101" s="417">
        <f>INDEX('DEFAULT DATA'!$DZ$9:$MG$40,$B$4,38)</f>
        <v>0</v>
      </c>
      <c r="D101" s="417">
        <f>INDEX('DEFAULT DATA'!$DZ$9:$MG$40,$B$4,39)</f>
        <v>0</v>
      </c>
      <c r="E101" s="417">
        <f>INDEX('DEFAULT DATA'!$DZ$9:$MG$40,$B$4,40)</f>
        <v>0</v>
      </c>
      <c r="F101" s="417">
        <f>INDEX('DEFAULT DATA'!$DZ$9:$MG$40,$B$4,41)</f>
        <v>0</v>
      </c>
      <c r="G101" s="420">
        <f>INDEX('DEFAULT DATA'!$DZ$9:$MG$40,$B$4,42)</f>
        <v>0</v>
      </c>
    </row>
    <row r="102" spans="1:7" ht="20.100000000000001" customHeight="1">
      <c r="A102" s="408" t="s">
        <v>1013</v>
      </c>
      <c r="B102" s="417">
        <f>INDEX('DEFAULT DATA'!$DZ$9:$MG$40,$B$4,43)</f>
        <v>0</v>
      </c>
      <c r="C102" s="417">
        <f>INDEX('DEFAULT DATA'!$DZ$9:$MG$40,$B$4,44)</f>
        <v>0</v>
      </c>
      <c r="D102" s="417">
        <f>INDEX('DEFAULT DATA'!$DZ$9:$MG$40,$B$4,45)</f>
        <v>0</v>
      </c>
      <c r="E102" s="417">
        <f>INDEX('DEFAULT DATA'!$DZ$9:$MG$40,$B$4,46)</f>
        <v>0</v>
      </c>
      <c r="F102" s="417">
        <f>INDEX('DEFAULT DATA'!$DZ$9:$MG$40,$B$4,47)</f>
        <v>0</v>
      </c>
      <c r="G102" s="420">
        <f>INDEX('DEFAULT DATA'!$DZ$9:$MG$40,$B$4,48)</f>
        <v>0</v>
      </c>
    </row>
    <row r="103" spans="1:7" ht="20.100000000000001" customHeight="1">
      <c r="A103" s="408" t="s">
        <v>1014</v>
      </c>
      <c r="B103" s="417">
        <f>INDEX('DEFAULT DATA'!$DZ$9:$MG$40,$B$4,49)</f>
        <v>0</v>
      </c>
      <c r="C103" s="417">
        <f>INDEX('DEFAULT DATA'!$DZ$9:$MG$40,$B$4,50)</f>
        <v>0</v>
      </c>
      <c r="D103" s="417">
        <f>INDEX('DEFAULT DATA'!$DZ$9:$MG$40,$B$4,51)</f>
        <v>0</v>
      </c>
      <c r="E103" s="417">
        <f>INDEX('DEFAULT DATA'!$DZ$9:$MG$40,$B$4,52)</f>
        <v>0</v>
      </c>
      <c r="F103" s="417">
        <f>INDEX('DEFAULT DATA'!$DZ$9:$MG$40,$B$4,53)</f>
        <v>0</v>
      </c>
      <c r="G103" s="420">
        <f>INDEX('DEFAULT DATA'!$DZ$9:$MG$40,$B$4,54)</f>
        <v>0</v>
      </c>
    </row>
    <row r="104" spans="1:7" ht="20.100000000000001" customHeight="1" thickBot="1">
      <c r="A104" s="409" t="s">
        <v>1015</v>
      </c>
      <c r="B104" s="421">
        <f>INDEX('DEFAULT DATA'!$DZ$9:$MG$40,$B$4,55)</f>
        <v>0</v>
      </c>
      <c r="C104" s="421">
        <f>INDEX('DEFAULT DATA'!$DZ$9:$MG$40,$B$4,56)</f>
        <v>0</v>
      </c>
      <c r="D104" s="421">
        <f>INDEX('DEFAULT DATA'!$DZ$9:$MG$40,$B$4,57)</f>
        <v>0</v>
      </c>
      <c r="E104" s="421">
        <f>INDEX('DEFAULT DATA'!$DZ$9:$MG$40,$B$4,58)</f>
        <v>0</v>
      </c>
      <c r="F104" s="421">
        <f>INDEX('DEFAULT DATA'!$DZ$9:$MG$40,$B$4,59)</f>
        <v>0</v>
      </c>
      <c r="G104" s="422">
        <f>INDEX('DEFAULT DATA'!$DZ$9:$MG$40,$B$4,60)</f>
        <v>0</v>
      </c>
    </row>
    <row r="105" spans="1:7" ht="20.100000000000001" customHeight="1">
      <c r="A105" s="407" t="s">
        <v>1016</v>
      </c>
      <c r="B105" s="423">
        <f>INDEX('DEFAULT DATA'!$DZ$9:$MG$40,$B$4,61)</f>
        <v>-55.82</v>
      </c>
      <c r="C105" s="423">
        <f>INDEX('DEFAULT DATA'!$DZ$9:$MG$40,$B$4,62)</f>
        <v>-11.99</v>
      </c>
      <c r="D105" s="423">
        <f>INDEX('DEFAULT DATA'!$DZ$9:$MG$40,$B$4,63)</f>
        <v>-19.61</v>
      </c>
      <c r="E105" s="423">
        <f>INDEX('DEFAULT DATA'!$DZ$9:$MG$40,$B$4,64)</f>
        <v>-12.92</v>
      </c>
      <c r="F105" s="423">
        <f>INDEX('DEFAULT DATA'!$DZ$9:$MG$40,$B$4,65)</f>
        <v>4.6060068064949999E-2</v>
      </c>
      <c r="G105" s="424">
        <f>INDEX('DEFAULT DATA'!$DZ$9:$MG$40,$B$4,66)</f>
        <v>-3.91</v>
      </c>
    </row>
    <row r="106" spans="1:7" ht="20.100000000000001" customHeight="1">
      <c r="A106" s="408" t="s">
        <v>1017</v>
      </c>
      <c r="B106" s="417">
        <f>INDEX('DEFAULT DATA'!$DZ$9:$MG$40,$B$4,67)</f>
        <v>0</v>
      </c>
      <c r="C106" s="417">
        <f>INDEX('DEFAULT DATA'!$DZ$9:$MG$40,$B$4,68)</f>
        <v>0</v>
      </c>
      <c r="D106" s="417">
        <f>INDEX('DEFAULT DATA'!$DZ$9:$MG$40,$B$4,69)</f>
        <v>0</v>
      </c>
      <c r="E106" s="417">
        <f>INDEX('DEFAULT DATA'!$DZ$9:$MG$40,$B$4,70)</f>
        <v>0</v>
      </c>
      <c r="F106" s="417">
        <f>INDEX('DEFAULT DATA'!$DZ$9:$MG$40,$B$4,71)</f>
        <v>0</v>
      </c>
      <c r="G106" s="420">
        <f>INDEX('DEFAULT DATA'!$DZ$9:$MG$40,$B$4,72)</f>
        <v>0</v>
      </c>
    </row>
    <row r="107" spans="1:7" ht="20.100000000000001" customHeight="1">
      <c r="A107" s="408" t="s">
        <v>1018</v>
      </c>
      <c r="B107" s="417">
        <f>INDEX('DEFAULT DATA'!$DZ$9:$MG$40,$B$4,73)</f>
        <v>0</v>
      </c>
      <c r="C107" s="417">
        <f>INDEX('DEFAULT DATA'!$DZ$9:$MG$40,$B$4,74)</f>
        <v>0</v>
      </c>
      <c r="D107" s="417">
        <f>INDEX('DEFAULT DATA'!$DZ$9:$MG$40,$B$4,75)</f>
        <v>0</v>
      </c>
      <c r="E107" s="417">
        <f>INDEX('DEFAULT DATA'!$DZ$9:$MG$40,$B$4,76)</f>
        <v>0</v>
      </c>
      <c r="F107" s="417">
        <f>INDEX('DEFAULT DATA'!$DZ$9:$MG$40,$B$4,77)</f>
        <v>0</v>
      </c>
      <c r="G107" s="420">
        <f>INDEX('DEFAULT DATA'!$DZ$9:$MG$40,$B$4,78)</f>
        <v>0</v>
      </c>
    </row>
    <row r="108" spans="1:7" ht="20.100000000000001" customHeight="1">
      <c r="A108" s="408" t="s">
        <v>1019</v>
      </c>
      <c r="B108" s="417">
        <f>INDEX('DEFAULT DATA'!$DZ$9:$MG$40,$B$4,79)</f>
        <v>0</v>
      </c>
      <c r="C108" s="417">
        <f>INDEX('DEFAULT DATA'!$DZ$9:$MG$40,$B$4,80)</f>
        <v>0</v>
      </c>
      <c r="D108" s="417">
        <f>INDEX('DEFAULT DATA'!$DZ$9:$MG$40,$B$4,81)</f>
        <v>0</v>
      </c>
      <c r="E108" s="417">
        <f>INDEX('DEFAULT DATA'!$DZ$9:$MG$40,$B$4,82)</f>
        <v>0</v>
      </c>
      <c r="F108" s="417">
        <f>INDEX('DEFAULT DATA'!$DZ$9:$MG$40,$B$4,83)</f>
        <v>0</v>
      </c>
      <c r="G108" s="420">
        <f>INDEX('DEFAULT DATA'!$DZ$9:$MG$40,$B$4,84)</f>
        <v>0</v>
      </c>
    </row>
    <row r="109" spans="1:7" ht="20.100000000000001" customHeight="1" thickBot="1">
      <c r="A109" s="409" t="s">
        <v>1020</v>
      </c>
      <c r="B109" s="421">
        <f>INDEX('DEFAULT DATA'!$DZ$9:$MG$40,$B$4,85)</f>
        <v>0</v>
      </c>
      <c r="C109" s="421">
        <f>INDEX('DEFAULT DATA'!$DZ$9:$MG$40,$B$4,86)</f>
        <v>0</v>
      </c>
      <c r="D109" s="421">
        <f>INDEX('DEFAULT DATA'!$DZ$9:$MG$40,$B$4,87)</f>
        <v>0</v>
      </c>
      <c r="E109" s="421">
        <f>INDEX('DEFAULT DATA'!$DZ$9:$MG$40,$B$4,88)</f>
        <v>0</v>
      </c>
      <c r="F109" s="421">
        <f>INDEX('DEFAULT DATA'!$DZ$9:$MG$40,$B$4,89)</f>
        <v>0</v>
      </c>
      <c r="G109" s="422">
        <f>INDEX('DEFAULT DATA'!$DZ$9:$MG$40,$B$4,90)</f>
        <v>0</v>
      </c>
    </row>
    <row r="110" spans="1:7" ht="20.100000000000001" customHeight="1">
      <c r="A110" s="407" t="s">
        <v>994</v>
      </c>
      <c r="B110" s="423">
        <f>INDEX('DEFAULT DATA'!$DZ$9:$MG$40,$B$4,91)</f>
        <v>-0.6</v>
      </c>
      <c r="C110" s="423">
        <f>INDEX('DEFAULT DATA'!$DZ$9:$MG$40,$B$4,92)</f>
        <v>0</v>
      </c>
      <c r="D110" s="423">
        <f>INDEX('DEFAULT DATA'!$DZ$9:$MG$40,$B$4,93)</f>
        <v>0</v>
      </c>
      <c r="E110" s="423">
        <f>INDEX('DEFAULT DATA'!$DZ$9:$MG$40,$B$4,94)</f>
        <v>0</v>
      </c>
      <c r="F110" s="423">
        <f>INDEX('DEFAULT DATA'!$DZ$9:$MG$40,$B$4,95)</f>
        <v>0</v>
      </c>
      <c r="G110" s="424">
        <f>INDEX('DEFAULT DATA'!$DZ$9:$MG$40,$B$4,96)</f>
        <v>-3.1108822695035498</v>
      </c>
    </row>
    <row r="111" spans="1:7" ht="20.100000000000001" customHeight="1">
      <c r="A111" s="408" t="s">
        <v>995</v>
      </c>
      <c r="B111" s="417">
        <f>INDEX('DEFAULT DATA'!$DZ$9:$MG$40,$B$4,97)</f>
        <v>0.1</v>
      </c>
      <c r="C111" s="417">
        <f>INDEX('DEFAULT DATA'!$DZ$9:$MG$40,$B$4,98)</f>
        <v>0</v>
      </c>
      <c r="D111" s="417">
        <f>INDEX('DEFAULT DATA'!$DZ$9:$MG$40,$B$4,99)</f>
        <v>0</v>
      </c>
      <c r="E111" s="417">
        <f>INDEX('DEFAULT DATA'!$DZ$9:$MG$40,$B$4,100)</f>
        <v>0</v>
      </c>
      <c r="F111" s="417">
        <f>INDEX('DEFAULT DATA'!$DZ$9:$MG$40,$B$4,101)</f>
        <v>0</v>
      </c>
      <c r="G111" s="420">
        <f>INDEX('DEFAULT DATA'!$DZ$9:$MG$40,$B$4,102)</f>
        <v>0.23</v>
      </c>
    </row>
    <row r="112" spans="1:7" ht="20.100000000000001" customHeight="1">
      <c r="A112" s="408" t="s">
        <v>1021</v>
      </c>
      <c r="B112" s="417">
        <f>INDEX('DEFAULT DATA'!$DZ$9:$MG$40,$B$4,103)</f>
        <v>-9.0767508396599993E-3</v>
      </c>
      <c r="C112" s="417">
        <f>INDEX('DEFAULT DATA'!$DZ$9:$MG$40,$B$4,104)</f>
        <v>0</v>
      </c>
      <c r="D112" s="417">
        <f>INDEX('DEFAULT DATA'!$DZ$9:$MG$40,$B$4,105)</f>
        <v>0</v>
      </c>
      <c r="E112" s="417">
        <f>INDEX('DEFAULT DATA'!$DZ$9:$MG$40,$B$4,106)</f>
        <v>-2.3954794799700002E-3</v>
      </c>
      <c r="F112" s="417">
        <f>INDEX('DEFAULT DATA'!$DZ$9:$MG$40,$B$4,107)</f>
        <v>0</v>
      </c>
      <c r="G112" s="420">
        <f>INDEX('DEFAULT DATA'!$DZ$9:$MG$40,$B$4,108)</f>
        <v>-0.47</v>
      </c>
    </row>
    <row r="113" spans="1:7" ht="20.100000000000001" customHeight="1">
      <c r="A113" s="408" t="s">
        <v>1022</v>
      </c>
      <c r="B113" s="417">
        <f>INDEX('DEFAULT DATA'!$DZ$9:$MG$40,$B$4,109)</f>
        <v>0</v>
      </c>
      <c r="C113" s="417">
        <f>INDEX('DEFAULT DATA'!$DZ$9:$MG$40,$B$4,110)</f>
        <v>0</v>
      </c>
      <c r="D113" s="417">
        <f>INDEX('DEFAULT DATA'!$DZ$9:$MG$40,$B$4,111)</f>
        <v>0</v>
      </c>
      <c r="E113" s="417">
        <f>INDEX('DEFAULT DATA'!$DZ$9:$MG$40,$B$4,112)</f>
        <v>0</v>
      </c>
      <c r="F113" s="417">
        <f>INDEX('DEFAULT DATA'!$DZ$9:$MG$40,$B$4,113)</f>
        <v>0</v>
      </c>
      <c r="G113" s="420">
        <f>INDEX('DEFAULT DATA'!$DZ$9:$MG$40,$B$4,114)</f>
        <v>0</v>
      </c>
    </row>
    <row r="114" spans="1:7" ht="20.100000000000001" customHeight="1" thickBot="1">
      <c r="A114" s="409" t="s">
        <v>1023</v>
      </c>
      <c r="B114" s="421">
        <f>INDEX('DEFAULT DATA'!$DZ$9:$MG$40,$B$4,115)</f>
        <v>0</v>
      </c>
      <c r="C114" s="421">
        <f>INDEX('DEFAULT DATA'!$DZ$9:$MG$40,$B$4,116)</f>
        <v>0</v>
      </c>
      <c r="D114" s="421">
        <f>INDEX('DEFAULT DATA'!$DZ$9:$MG$40,$B$4,117)</f>
        <v>0</v>
      </c>
      <c r="E114" s="421">
        <f>INDEX('DEFAULT DATA'!$DZ$9:$MG$40,$B$4,118)</f>
        <v>0</v>
      </c>
      <c r="F114" s="421">
        <f>INDEX('DEFAULT DATA'!$DZ$9:$MG$40,$B$4,119)</f>
        <v>0</v>
      </c>
      <c r="G114" s="422">
        <f>INDEX('DEFAULT DATA'!$DZ$9:$MG$40,$B$4,120)</f>
        <v>0</v>
      </c>
    </row>
    <row r="115" spans="1:7" ht="20.100000000000001" customHeight="1">
      <c r="A115" s="407" t="s">
        <v>1024</v>
      </c>
      <c r="B115" s="423">
        <f>INDEX('DEFAULT DATA'!$DZ$9:$MG$40,$B$4,121)</f>
        <v>-55.82</v>
      </c>
      <c r="C115" s="423">
        <f>INDEX('DEFAULT DATA'!$DZ$9:$MG$40,$B$4,122)</f>
        <v>-11.99</v>
      </c>
      <c r="D115" s="423">
        <f>INDEX('DEFAULT DATA'!$DZ$9:$MG$40,$B$4,123)</f>
        <v>-19.61</v>
      </c>
      <c r="E115" s="423">
        <f>INDEX('DEFAULT DATA'!$DZ$9:$MG$40,$B$4,124)</f>
        <v>-12.92</v>
      </c>
      <c r="F115" s="423">
        <f>INDEX('DEFAULT DATA'!$DZ$9:$MG$40,$B$4,125)</f>
        <v>-1.07225369578546</v>
      </c>
      <c r="G115" s="424">
        <f>INDEX('DEFAULT DATA'!$DZ$9:$MG$40,$B$4,126)</f>
        <v>-0.59</v>
      </c>
    </row>
    <row r="116" spans="1:7" ht="20.100000000000001" customHeight="1">
      <c r="A116" s="408" t="s">
        <v>1025</v>
      </c>
      <c r="B116" s="417">
        <f>INDEX('DEFAULT DATA'!$DZ$9:$MG$40,$B$4,127)</f>
        <v>-0.12913436945737</v>
      </c>
      <c r="C116" s="417">
        <f>INDEX('DEFAULT DATA'!$DZ$9:$MG$40,$B$4,128)</f>
        <v>0</v>
      </c>
      <c r="D116" s="417">
        <f>INDEX('DEFAULT DATA'!$DZ$9:$MG$40,$B$4,129)</f>
        <v>0</v>
      </c>
      <c r="E116" s="417">
        <f>INDEX('DEFAULT DATA'!$DZ$9:$MG$40,$B$4,130)</f>
        <v>0</v>
      </c>
      <c r="F116" s="417">
        <f>INDEX('DEFAULT DATA'!$DZ$9:$MG$40,$B$4,131)</f>
        <v>-0.75737307686747002</v>
      </c>
      <c r="G116" s="420">
        <f>INDEX('DEFAULT DATA'!$DZ$9:$MG$40,$B$4,132)</f>
        <v>0</v>
      </c>
    </row>
    <row r="117" spans="1:7" ht="20.100000000000001" customHeight="1">
      <c r="A117" s="408" t="s">
        <v>1026</v>
      </c>
      <c r="B117" s="417">
        <f>INDEX('DEFAULT DATA'!$DZ$9:$MG$40,$B$4,133)</f>
        <v>-0.15496124334884001</v>
      </c>
      <c r="C117" s="417">
        <f>INDEX('DEFAULT DATA'!$DZ$9:$MG$40,$B$4,134)</f>
        <v>0</v>
      </c>
      <c r="D117" s="417">
        <f>INDEX('DEFAULT DATA'!$DZ$9:$MG$40,$B$4,135)</f>
        <v>0</v>
      </c>
      <c r="E117" s="417">
        <f>INDEX('DEFAULT DATA'!$DZ$9:$MG$40,$B$4,136)</f>
        <v>0</v>
      </c>
      <c r="F117" s="417">
        <f>INDEX('DEFAULT DATA'!$DZ$9:$MG$40,$B$4,137)</f>
        <v>-1.39367584496439</v>
      </c>
      <c r="G117" s="420">
        <f>INDEX('DEFAULT DATA'!$DZ$9:$MG$40,$B$4,138)</f>
        <v>0</v>
      </c>
    </row>
    <row r="118" spans="1:7" ht="20.100000000000001" customHeight="1">
      <c r="A118" s="408" t="s">
        <v>1027</v>
      </c>
      <c r="B118" s="417">
        <f>INDEX('DEFAULT DATA'!$DZ$9:$MG$40,$B$4,139)</f>
        <v>0</v>
      </c>
      <c r="C118" s="417">
        <f>INDEX('DEFAULT DATA'!$DZ$9:$MG$40,$B$4,140)</f>
        <v>0</v>
      </c>
      <c r="D118" s="417">
        <f>INDEX('DEFAULT DATA'!$DZ$9:$MG$40,$B$4,141)</f>
        <v>0</v>
      </c>
      <c r="E118" s="417">
        <f>INDEX('DEFAULT DATA'!$DZ$9:$MG$40,$B$4,142)</f>
        <v>0</v>
      </c>
      <c r="F118" s="417">
        <f>INDEX('DEFAULT DATA'!$DZ$9:$MG$40,$B$4,143)</f>
        <v>0</v>
      </c>
      <c r="G118" s="420">
        <f>INDEX('DEFAULT DATA'!$DZ$9:$MG$40,$B$4,144)</f>
        <v>0</v>
      </c>
    </row>
    <row r="119" spans="1:7" ht="20.100000000000001" customHeight="1" thickBot="1">
      <c r="A119" s="409" t="s">
        <v>1028</v>
      </c>
      <c r="B119" s="421">
        <f>INDEX('DEFAULT DATA'!$DZ$9:$MG$40,$B$4,145)</f>
        <v>-0.15496124334885</v>
      </c>
      <c r="C119" s="421">
        <f>INDEX('DEFAULT DATA'!$DZ$9:$MG$40,$B$4,146)</f>
        <v>0</v>
      </c>
      <c r="D119" s="421">
        <f>INDEX('DEFAULT DATA'!$DZ$9:$MG$40,$B$4,147)</f>
        <v>0</v>
      </c>
      <c r="E119" s="421">
        <f>INDEX('DEFAULT DATA'!$DZ$9:$MG$40,$B$4,148)</f>
        <v>0</v>
      </c>
      <c r="F119" s="421">
        <f>INDEX('DEFAULT DATA'!$DZ$9:$MG$40,$B$4,149)</f>
        <v>-1.3435541332540599</v>
      </c>
      <c r="G119" s="422">
        <f>INDEX('DEFAULT DATA'!$DZ$9:$MG$40,$B$4,150)</f>
        <v>0</v>
      </c>
    </row>
    <row r="120" spans="1:7" ht="20.100000000000001" customHeight="1">
      <c r="A120" s="407" t="s">
        <v>1029</v>
      </c>
      <c r="B120" s="423">
        <f>INDEX('DEFAULT DATA'!$DZ$9:$MG$40,$B$4,151)</f>
        <v>-55.82</v>
      </c>
      <c r="C120" s="423">
        <f>INDEX('DEFAULT DATA'!$DZ$9:$MG$40,$B$4,152)</f>
        <v>-11.99</v>
      </c>
      <c r="D120" s="423">
        <f>INDEX('DEFAULT DATA'!$DZ$9:$MG$40,$B$4,153)</f>
        <v>-19.61</v>
      </c>
      <c r="E120" s="423">
        <f>INDEX('DEFAULT DATA'!$DZ$9:$MG$40,$B$4,154)</f>
        <v>-12.92</v>
      </c>
      <c r="F120" s="423">
        <f>INDEX('DEFAULT DATA'!$DZ$9:$MG$40,$B$4,155)</f>
        <v>-0.84497718120804999</v>
      </c>
      <c r="G120" s="424">
        <f>INDEX('DEFAULT DATA'!$DZ$9:$MG$40,$B$4,156)</f>
        <v>-0.9</v>
      </c>
    </row>
    <row r="121" spans="1:7" ht="20.100000000000001" customHeight="1">
      <c r="A121" s="408" t="s">
        <v>1030</v>
      </c>
      <c r="B121" s="417">
        <f>INDEX('DEFAULT DATA'!$DZ$9:$MG$40,$B$4,157)</f>
        <v>0</v>
      </c>
      <c r="C121" s="417">
        <f>INDEX('DEFAULT DATA'!$DZ$9:$MG$40,$B$4,158)</f>
        <v>0</v>
      </c>
      <c r="D121" s="417">
        <f>INDEX('DEFAULT DATA'!$DZ$9:$MG$40,$B$4,159)</f>
        <v>0</v>
      </c>
      <c r="E121" s="417">
        <f>INDEX('DEFAULT DATA'!$DZ$9:$MG$40,$B$4,160)</f>
        <v>0</v>
      </c>
      <c r="F121" s="417">
        <f>INDEX('DEFAULT DATA'!$DZ$9:$MG$40,$B$4,161)</f>
        <v>0</v>
      </c>
      <c r="G121" s="420">
        <f>INDEX('DEFAULT DATA'!$DZ$9:$MG$40,$B$4,162)</f>
        <v>0</v>
      </c>
    </row>
    <row r="122" spans="1:7" ht="20.100000000000001" customHeight="1">
      <c r="A122" s="408" t="s">
        <v>1031</v>
      </c>
      <c r="B122" s="417">
        <f>INDEX('DEFAULT DATA'!$DZ$9:$MG$40,$B$4,163)</f>
        <v>0</v>
      </c>
      <c r="C122" s="417">
        <f>INDEX('DEFAULT DATA'!$DZ$9:$MG$40,$B$4,164)</f>
        <v>0</v>
      </c>
      <c r="D122" s="417">
        <f>INDEX('DEFAULT DATA'!$DZ$9:$MG$40,$B$4,165)</f>
        <v>0</v>
      </c>
      <c r="E122" s="417">
        <f>INDEX('DEFAULT DATA'!$DZ$9:$MG$40,$B$4,166)</f>
        <v>0</v>
      </c>
      <c r="F122" s="417">
        <f>INDEX('DEFAULT DATA'!$DZ$9:$MG$40,$B$4,167)</f>
        <v>0</v>
      </c>
      <c r="G122" s="420">
        <f>INDEX('DEFAULT DATA'!$DZ$9:$MG$40,$B$4,168)</f>
        <v>0</v>
      </c>
    </row>
    <row r="123" spans="1:7" ht="20.100000000000001" customHeight="1">
      <c r="A123" s="408" t="s">
        <v>1032</v>
      </c>
      <c r="B123" s="417">
        <f>INDEX('DEFAULT DATA'!$DZ$9:$MG$40,$B$4,169)</f>
        <v>0</v>
      </c>
      <c r="C123" s="417">
        <f>INDEX('DEFAULT DATA'!$DZ$9:$MG$40,$B$4,170)</f>
        <v>0</v>
      </c>
      <c r="D123" s="417">
        <f>INDEX('DEFAULT DATA'!$DZ$9:$MG$40,$B$4,171)</f>
        <v>0</v>
      </c>
      <c r="E123" s="417">
        <f>INDEX('DEFAULT DATA'!$DZ$9:$MG$40,$B$4,172)</f>
        <v>0</v>
      </c>
      <c r="F123" s="417">
        <f>INDEX('DEFAULT DATA'!$DZ$9:$MG$40,$B$4,173)</f>
        <v>0</v>
      </c>
      <c r="G123" s="420">
        <f>INDEX('DEFAULT DATA'!$DZ$9:$MG$40,$B$4,174)</f>
        <v>0</v>
      </c>
    </row>
    <row r="124" spans="1:7" ht="20.100000000000001" customHeight="1" thickBot="1">
      <c r="A124" s="409" t="s">
        <v>1033</v>
      </c>
      <c r="B124" s="421">
        <f>INDEX('DEFAULT DATA'!$DZ$9:$MG$40,$B$4,175)</f>
        <v>0</v>
      </c>
      <c r="C124" s="421">
        <f>INDEX('DEFAULT DATA'!$DZ$9:$MG$40,$B$4,176)</f>
        <v>0</v>
      </c>
      <c r="D124" s="421">
        <f>INDEX('DEFAULT DATA'!$DZ$9:$MG$40,$B$4,177)</f>
        <v>0</v>
      </c>
      <c r="E124" s="421">
        <f>INDEX('DEFAULT DATA'!$DZ$9:$MG$40,$B$4,178)</f>
        <v>0</v>
      </c>
      <c r="F124" s="421">
        <f>INDEX('DEFAULT DATA'!$DZ$9:$MG$40,$B$4,179)</f>
        <v>0</v>
      </c>
      <c r="G124" s="422">
        <f>INDEX('DEFAULT DATA'!$DZ$9:$MG$40,$B$4,180)</f>
        <v>0</v>
      </c>
    </row>
    <row r="125" spans="1:7" ht="20.100000000000001" customHeight="1">
      <c r="A125" s="410" t="s">
        <v>1034</v>
      </c>
      <c r="B125" s="423">
        <f>INDEX('DEFAULT DATA'!$DZ$9:$MG$40,$B$4,181)</f>
        <v>1.0046888903139199</v>
      </c>
      <c r="C125" s="423">
        <f>INDEX('DEFAULT DATA'!$DZ$9:$MG$40,$B$4,182)</f>
        <v>0.16710577309979999</v>
      </c>
      <c r="D125" s="423">
        <f>INDEX('DEFAULT DATA'!$DZ$9:$MG$40,$B$4,183)</f>
        <v>-0.20275762945598999</v>
      </c>
      <c r="E125" s="423">
        <f>INDEX('DEFAULT DATA'!$DZ$9:$MG$40,$B$4,184)</f>
        <v>1.2390474038300001E-2</v>
      </c>
      <c r="F125" s="423">
        <f>INDEX('DEFAULT DATA'!$DZ$9:$MG$40,$B$4,185)</f>
        <v>-5.5329298001249999E-2</v>
      </c>
      <c r="G125" s="424">
        <f>INDEX('DEFAULT DATA'!$DZ$9:$MG$40,$B$4,186)</f>
        <v>-0.44750344212965998</v>
      </c>
    </row>
    <row r="126" spans="1:7" ht="20.100000000000001" customHeight="1">
      <c r="A126" s="411" t="s">
        <v>1035</v>
      </c>
      <c r="B126" s="417">
        <f>INDEX('DEFAULT DATA'!$DZ$9:$MG$40,$B$4,187)</f>
        <v>-2.6800558377699998E-3</v>
      </c>
      <c r="C126" s="417">
        <f>INDEX('DEFAULT DATA'!$DZ$9:$MG$40,$B$4,188)</f>
        <v>0</v>
      </c>
      <c r="D126" s="417">
        <f>INDEX('DEFAULT DATA'!$DZ$9:$MG$40,$B$4,189)</f>
        <v>0</v>
      </c>
      <c r="E126" s="417">
        <f>INDEX('DEFAULT DATA'!$DZ$9:$MG$40,$B$4,190)</f>
        <v>0</v>
      </c>
      <c r="F126" s="417">
        <f>INDEX('DEFAULT DATA'!$DZ$9:$MG$40,$B$4,191)</f>
        <v>4.3345790606010001E-2</v>
      </c>
      <c r="G126" s="420">
        <f>INDEX('DEFAULT DATA'!$DZ$9:$MG$40,$B$4,192)</f>
        <v>0</v>
      </c>
    </row>
    <row r="127" spans="1:7" ht="20.100000000000001" customHeight="1">
      <c r="A127" s="411" t="s">
        <v>1036</v>
      </c>
      <c r="B127" s="417">
        <f>INDEX('DEFAULT DATA'!$DZ$9:$MG$40,$B$4,193)</f>
        <v>0</v>
      </c>
      <c r="C127" s="417">
        <f>INDEX('DEFAULT DATA'!$DZ$9:$MG$40,$B$4,194)</f>
        <v>0</v>
      </c>
      <c r="D127" s="417">
        <f>INDEX('DEFAULT DATA'!$DZ$9:$MG$40,$B$4,195)</f>
        <v>0</v>
      </c>
      <c r="E127" s="417">
        <f>INDEX('DEFAULT DATA'!$DZ$9:$MG$40,$B$4,196)</f>
        <v>0</v>
      </c>
      <c r="F127" s="417">
        <f>INDEX('DEFAULT DATA'!$DZ$9:$MG$40,$B$4,197)</f>
        <v>0.14138326334163001</v>
      </c>
      <c r="G127" s="420">
        <f>INDEX('DEFAULT DATA'!$DZ$9:$MG$40,$B$4,198)</f>
        <v>-6.76163329988798</v>
      </c>
    </row>
    <row r="128" spans="1:7" ht="20.100000000000001" customHeight="1">
      <c r="A128" s="411" t="s">
        <v>1037</v>
      </c>
      <c r="B128" s="417">
        <f>INDEX('DEFAULT DATA'!$DZ$9:$MG$40,$B$4,199)</f>
        <v>0.12020443037641</v>
      </c>
      <c r="C128" s="417">
        <f>INDEX('DEFAULT DATA'!$DZ$9:$MG$40,$B$4,200)</f>
        <v>0</v>
      </c>
      <c r="D128" s="417">
        <f>INDEX('DEFAULT DATA'!$DZ$9:$MG$40,$B$4,201)</f>
        <v>0</v>
      </c>
      <c r="E128" s="417">
        <f>INDEX('DEFAULT DATA'!$DZ$9:$MG$40,$B$4,202)</f>
        <v>0</v>
      </c>
      <c r="F128" s="417">
        <f>INDEX('DEFAULT DATA'!$DZ$9:$MG$40,$B$4,203)</f>
        <v>0</v>
      </c>
      <c r="G128" s="420">
        <f>INDEX('DEFAULT DATA'!$DZ$9:$MG$40,$B$4,204)</f>
        <v>-3.11</v>
      </c>
    </row>
    <row r="129" spans="1:7" ht="20.100000000000001" customHeight="1">
      <c r="A129" s="411" t="s">
        <v>1038</v>
      </c>
      <c r="B129" s="417">
        <f>INDEX('DEFAULT DATA'!$DZ$9:$MG$40,$B$4,205)</f>
        <v>6.8506595710599999E-3</v>
      </c>
      <c r="C129" s="417">
        <f>INDEX('DEFAULT DATA'!$DZ$9:$MG$40,$B$4,206)</f>
        <v>0</v>
      </c>
      <c r="D129" s="417">
        <f>INDEX('DEFAULT DATA'!$DZ$9:$MG$40,$B$4,207)</f>
        <v>0</v>
      </c>
      <c r="E129" s="417">
        <f>INDEX('DEFAULT DATA'!$DZ$9:$MG$40,$B$4,208)</f>
        <v>0</v>
      </c>
      <c r="F129" s="417">
        <f>INDEX('DEFAULT DATA'!$DZ$9:$MG$40,$B$4,209)</f>
        <v>0</v>
      </c>
      <c r="G129" s="420">
        <f>INDEX('DEFAULT DATA'!$DZ$9:$MG$40,$B$4,210)</f>
        <v>-0.43889541996992998</v>
      </c>
    </row>
    <row r="130" spans="1:7" ht="20.100000000000001" customHeight="1" thickBot="1">
      <c r="A130" s="412" t="s">
        <v>1039</v>
      </c>
      <c r="B130" s="421">
        <f>INDEX('DEFAULT DATA'!$DZ$9:$MG$40,$B$4,211)</f>
        <v>0</v>
      </c>
      <c r="C130" s="421">
        <f>INDEX('DEFAULT DATA'!$DZ$9:$MG$40,$B$4,212)</f>
        <v>0</v>
      </c>
      <c r="D130" s="421">
        <f>INDEX('DEFAULT DATA'!$DZ$9:$MG$40,$B$4,213)</f>
        <v>0</v>
      </c>
      <c r="E130" s="421">
        <f>INDEX('DEFAULT DATA'!$DZ$9:$MG$40,$B$4,214)</f>
        <v>0</v>
      </c>
      <c r="F130" s="421">
        <f>INDEX('DEFAULT DATA'!$DZ$9:$MG$40,$B$4,215)</f>
        <v>0</v>
      </c>
      <c r="G130" s="422">
        <f>INDEX('DEFAULT DATA'!$DZ$9:$MG$40,$B$4,216)</f>
        <v>0</v>
      </c>
    </row>
    <row r="182" spans="1:383" ht="20.100000000000001" customHeight="1">
      <c r="B182" s="260">
        <v>0</v>
      </c>
      <c r="C182" s="261">
        <v>1</v>
      </c>
      <c r="D182" s="262">
        <f>C182+1</f>
        <v>2</v>
      </c>
      <c r="E182" s="261">
        <f t="shared" ref="E182:BP182" si="36">D182+1</f>
        <v>3</v>
      </c>
      <c r="F182" s="261">
        <f t="shared" si="36"/>
        <v>4</v>
      </c>
      <c r="G182" s="261">
        <f t="shared" si="36"/>
        <v>5</v>
      </c>
      <c r="H182" s="261">
        <f t="shared" si="36"/>
        <v>6</v>
      </c>
      <c r="I182" s="261">
        <f t="shared" si="36"/>
        <v>7</v>
      </c>
      <c r="J182" s="261">
        <f t="shared" si="36"/>
        <v>8</v>
      </c>
      <c r="K182" s="261">
        <f t="shared" si="36"/>
        <v>9</v>
      </c>
      <c r="L182" s="261">
        <f t="shared" si="36"/>
        <v>10</v>
      </c>
      <c r="M182" s="261">
        <f t="shared" si="36"/>
        <v>11</v>
      </c>
      <c r="N182" s="261">
        <f t="shared" si="36"/>
        <v>12</v>
      </c>
      <c r="O182" s="261">
        <f t="shared" si="36"/>
        <v>13</v>
      </c>
      <c r="P182" s="261">
        <f t="shared" si="36"/>
        <v>14</v>
      </c>
      <c r="Q182" s="261">
        <f t="shared" si="36"/>
        <v>15</v>
      </c>
      <c r="R182" s="261">
        <f t="shared" si="36"/>
        <v>16</v>
      </c>
      <c r="S182" s="261">
        <f t="shared" si="36"/>
        <v>17</v>
      </c>
      <c r="T182" s="261">
        <f t="shared" si="36"/>
        <v>18</v>
      </c>
      <c r="U182" s="261">
        <f t="shared" si="36"/>
        <v>19</v>
      </c>
      <c r="V182" s="261">
        <f t="shared" si="36"/>
        <v>20</v>
      </c>
      <c r="W182" s="261">
        <f t="shared" si="36"/>
        <v>21</v>
      </c>
      <c r="X182" s="261">
        <f t="shared" si="36"/>
        <v>22</v>
      </c>
      <c r="Y182" s="261">
        <f t="shared" si="36"/>
        <v>23</v>
      </c>
      <c r="Z182" s="261">
        <f t="shared" si="36"/>
        <v>24</v>
      </c>
      <c r="AA182" s="261">
        <f t="shared" si="36"/>
        <v>25</v>
      </c>
      <c r="AB182" s="261">
        <f t="shared" si="36"/>
        <v>26</v>
      </c>
      <c r="AC182" s="261">
        <f t="shared" si="36"/>
        <v>27</v>
      </c>
      <c r="AD182" s="261">
        <f t="shared" si="36"/>
        <v>28</v>
      </c>
      <c r="AE182" s="261">
        <f t="shared" si="36"/>
        <v>29</v>
      </c>
      <c r="AF182" s="261">
        <f t="shared" si="36"/>
        <v>30</v>
      </c>
      <c r="AG182" s="261">
        <f t="shared" si="36"/>
        <v>31</v>
      </c>
      <c r="AH182" s="261">
        <f t="shared" si="36"/>
        <v>32</v>
      </c>
      <c r="AI182" s="261">
        <f t="shared" si="36"/>
        <v>33</v>
      </c>
      <c r="AJ182" s="261">
        <f t="shared" si="36"/>
        <v>34</v>
      </c>
      <c r="AK182" s="261">
        <f t="shared" si="36"/>
        <v>35</v>
      </c>
      <c r="AL182" s="261">
        <f t="shared" si="36"/>
        <v>36</v>
      </c>
      <c r="AM182" s="261">
        <f t="shared" si="36"/>
        <v>37</v>
      </c>
      <c r="AN182" s="261">
        <f t="shared" si="36"/>
        <v>38</v>
      </c>
      <c r="AO182" s="261">
        <f t="shared" si="36"/>
        <v>39</v>
      </c>
      <c r="AP182" s="261">
        <f t="shared" si="36"/>
        <v>40</v>
      </c>
      <c r="AQ182" s="261">
        <f t="shared" si="36"/>
        <v>41</v>
      </c>
      <c r="AR182" s="261">
        <f t="shared" si="36"/>
        <v>42</v>
      </c>
      <c r="AS182" s="261">
        <f t="shared" si="36"/>
        <v>43</v>
      </c>
      <c r="AT182" s="261">
        <f t="shared" si="36"/>
        <v>44</v>
      </c>
      <c r="AU182" s="261">
        <f t="shared" si="36"/>
        <v>45</v>
      </c>
      <c r="AV182" s="261">
        <f t="shared" si="36"/>
        <v>46</v>
      </c>
      <c r="AW182" s="261">
        <f t="shared" si="36"/>
        <v>47</v>
      </c>
      <c r="AX182" s="261">
        <f t="shared" si="36"/>
        <v>48</v>
      </c>
      <c r="AY182" s="261">
        <f t="shared" si="36"/>
        <v>49</v>
      </c>
      <c r="AZ182" s="261">
        <f t="shared" si="36"/>
        <v>50</v>
      </c>
      <c r="BA182" s="261">
        <f t="shared" si="36"/>
        <v>51</v>
      </c>
      <c r="BB182" s="261">
        <f t="shared" si="36"/>
        <v>52</v>
      </c>
      <c r="BC182" s="261">
        <f t="shared" si="36"/>
        <v>53</v>
      </c>
      <c r="BD182" s="261">
        <f t="shared" si="36"/>
        <v>54</v>
      </c>
      <c r="BE182" s="261">
        <f t="shared" si="36"/>
        <v>55</v>
      </c>
      <c r="BF182" s="261">
        <f t="shared" si="36"/>
        <v>56</v>
      </c>
      <c r="BG182" s="261">
        <f t="shared" si="36"/>
        <v>57</v>
      </c>
      <c r="BH182" s="261">
        <f t="shared" si="36"/>
        <v>58</v>
      </c>
      <c r="BI182" s="261">
        <f t="shared" si="36"/>
        <v>59</v>
      </c>
      <c r="BJ182" s="261">
        <f t="shared" si="36"/>
        <v>60</v>
      </c>
      <c r="BK182" s="261">
        <f t="shared" si="36"/>
        <v>61</v>
      </c>
      <c r="BL182" s="261">
        <f t="shared" si="36"/>
        <v>62</v>
      </c>
      <c r="BM182" s="261">
        <f t="shared" si="36"/>
        <v>63</v>
      </c>
      <c r="BN182" s="261">
        <f t="shared" si="36"/>
        <v>64</v>
      </c>
      <c r="BO182" s="261">
        <f t="shared" si="36"/>
        <v>65</v>
      </c>
      <c r="BP182" s="261">
        <f t="shared" si="36"/>
        <v>66</v>
      </c>
      <c r="BQ182" s="261">
        <f t="shared" ref="BQ182:EB182" si="37">BP182+1</f>
        <v>67</v>
      </c>
      <c r="BR182" s="261">
        <f t="shared" si="37"/>
        <v>68</v>
      </c>
      <c r="BS182" s="261">
        <f t="shared" si="37"/>
        <v>69</v>
      </c>
      <c r="BT182" s="261">
        <f t="shared" si="37"/>
        <v>70</v>
      </c>
      <c r="BU182" s="261">
        <f t="shared" si="37"/>
        <v>71</v>
      </c>
      <c r="BV182" s="261">
        <f t="shared" si="37"/>
        <v>72</v>
      </c>
      <c r="BW182" s="261">
        <f t="shared" si="37"/>
        <v>73</v>
      </c>
      <c r="BX182" s="261">
        <f t="shared" si="37"/>
        <v>74</v>
      </c>
      <c r="BY182" s="261">
        <f t="shared" si="37"/>
        <v>75</v>
      </c>
      <c r="BZ182" s="261">
        <f t="shared" si="37"/>
        <v>76</v>
      </c>
      <c r="CA182" s="261">
        <f t="shared" si="37"/>
        <v>77</v>
      </c>
      <c r="CB182" s="261">
        <f t="shared" si="37"/>
        <v>78</v>
      </c>
      <c r="CC182" s="261">
        <f t="shared" si="37"/>
        <v>79</v>
      </c>
      <c r="CD182" s="261">
        <f t="shared" si="37"/>
        <v>80</v>
      </c>
      <c r="CE182" s="261">
        <f t="shared" si="37"/>
        <v>81</v>
      </c>
      <c r="CF182" s="261">
        <f t="shared" si="37"/>
        <v>82</v>
      </c>
      <c r="CG182" s="261">
        <f t="shared" si="37"/>
        <v>83</v>
      </c>
      <c r="CH182" s="261">
        <f t="shared" si="37"/>
        <v>84</v>
      </c>
      <c r="CI182" s="261">
        <f t="shared" si="37"/>
        <v>85</v>
      </c>
      <c r="CJ182" s="261">
        <f t="shared" si="37"/>
        <v>86</v>
      </c>
      <c r="CK182" s="261">
        <f t="shared" si="37"/>
        <v>87</v>
      </c>
      <c r="CL182" s="261">
        <f t="shared" si="37"/>
        <v>88</v>
      </c>
      <c r="CM182" s="261">
        <f t="shared" si="37"/>
        <v>89</v>
      </c>
      <c r="CN182" s="261">
        <f t="shared" si="37"/>
        <v>90</v>
      </c>
      <c r="CO182" s="261">
        <f t="shared" si="37"/>
        <v>91</v>
      </c>
      <c r="CP182" s="261">
        <f t="shared" si="37"/>
        <v>92</v>
      </c>
      <c r="CQ182" s="261">
        <f t="shared" si="37"/>
        <v>93</v>
      </c>
      <c r="CR182" s="261">
        <f t="shared" si="37"/>
        <v>94</v>
      </c>
      <c r="CS182" s="261">
        <f t="shared" si="37"/>
        <v>95</v>
      </c>
      <c r="CT182" s="261">
        <f t="shared" si="37"/>
        <v>96</v>
      </c>
      <c r="CU182" s="261">
        <f t="shared" si="37"/>
        <v>97</v>
      </c>
      <c r="CV182" s="261">
        <f t="shared" si="37"/>
        <v>98</v>
      </c>
      <c r="CW182" s="261">
        <f t="shared" si="37"/>
        <v>99</v>
      </c>
      <c r="CX182" s="261">
        <f t="shared" si="37"/>
        <v>100</v>
      </c>
      <c r="CY182" s="261">
        <f t="shared" si="37"/>
        <v>101</v>
      </c>
      <c r="CZ182" s="261">
        <f t="shared" si="37"/>
        <v>102</v>
      </c>
      <c r="DA182" s="261">
        <f t="shared" si="37"/>
        <v>103</v>
      </c>
      <c r="DB182" s="261">
        <f t="shared" si="37"/>
        <v>104</v>
      </c>
      <c r="DC182" s="261">
        <f t="shared" si="37"/>
        <v>105</v>
      </c>
      <c r="DD182" s="261">
        <f t="shared" si="37"/>
        <v>106</v>
      </c>
      <c r="DE182" s="261">
        <f t="shared" si="37"/>
        <v>107</v>
      </c>
      <c r="DF182" s="261">
        <f t="shared" si="37"/>
        <v>108</v>
      </c>
      <c r="DG182" s="261">
        <f t="shared" si="37"/>
        <v>109</v>
      </c>
      <c r="DH182" s="261">
        <f t="shared" si="37"/>
        <v>110</v>
      </c>
      <c r="DI182" s="261">
        <f t="shared" si="37"/>
        <v>111</v>
      </c>
      <c r="DJ182" s="261">
        <f t="shared" si="37"/>
        <v>112</v>
      </c>
      <c r="DK182" s="261">
        <f t="shared" si="37"/>
        <v>113</v>
      </c>
      <c r="DL182" s="261">
        <f t="shared" si="37"/>
        <v>114</v>
      </c>
      <c r="DM182" s="261">
        <f t="shared" si="37"/>
        <v>115</v>
      </c>
      <c r="DN182" s="261">
        <f t="shared" si="37"/>
        <v>116</v>
      </c>
      <c r="DO182" s="261">
        <f t="shared" si="37"/>
        <v>117</v>
      </c>
      <c r="DP182" s="261">
        <f t="shared" si="37"/>
        <v>118</v>
      </c>
      <c r="DQ182" s="261">
        <f t="shared" si="37"/>
        <v>119</v>
      </c>
      <c r="DR182" s="261">
        <f t="shared" si="37"/>
        <v>120</v>
      </c>
      <c r="DS182" s="261">
        <f t="shared" si="37"/>
        <v>121</v>
      </c>
      <c r="DT182" s="261">
        <f t="shared" si="37"/>
        <v>122</v>
      </c>
      <c r="DU182" s="261">
        <f t="shared" si="37"/>
        <v>123</v>
      </c>
      <c r="DV182" s="261">
        <f t="shared" si="37"/>
        <v>124</v>
      </c>
      <c r="DW182" s="261">
        <f t="shared" si="37"/>
        <v>125</v>
      </c>
      <c r="DX182" s="261">
        <f t="shared" si="37"/>
        <v>126</v>
      </c>
      <c r="DY182" s="261">
        <f t="shared" si="37"/>
        <v>127</v>
      </c>
      <c r="DZ182" s="425">
        <f t="shared" si="37"/>
        <v>128</v>
      </c>
      <c r="EA182" s="261">
        <f t="shared" si="37"/>
        <v>129</v>
      </c>
      <c r="EB182" s="261">
        <f t="shared" si="37"/>
        <v>130</v>
      </c>
      <c r="EC182" s="261">
        <f t="shared" ref="EC182:GN182" si="38">EB182+1</f>
        <v>131</v>
      </c>
      <c r="ED182" s="261">
        <f t="shared" si="38"/>
        <v>132</v>
      </c>
      <c r="EE182" s="261">
        <f t="shared" si="38"/>
        <v>133</v>
      </c>
      <c r="EF182" s="261">
        <f t="shared" si="38"/>
        <v>134</v>
      </c>
      <c r="EG182" s="261">
        <f t="shared" si="38"/>
        <v>135</v>
      </c>
      <c r="EH182" s="261">
        <f t="shared" si="38"/>
        <v>136</v>
      </c>
      <c r="EI182" s="261">
        <f t="shared" si="38"/>
        <v>137</v>
      </c>
      <c r="EJ182" s="261">
        <f t="shared" si="38"/>
        <v>138</v>
      </c>
      <c r="EK182" s="261">
        <f t="shared" si="38"/>
        <v>139</v>
      </c>
      <c r="EL182" s="261">
        <f t="shared" si="38"/>
        <v>140</v>
      </c>
      <c r="EM182" s="261">
        <f t="shared" si="38"/>
        <v>141</v>
      </c>
      <c r="EN182" s="261">
        <f t="shared" si="38"/>
        <v>142</v>
      </c>
      <c r="EO182" s="261">
        <f t="shared" si="38"/>
        <v>143</v>
      </c>
      <c r="EP182" s="261">
        <f t="shared" si="38"/>
        <v>144</v>
      </c>
      <c r="EQ182" s="261">
        <f t="shared" si="38"/>
        <v>145</v>
      </c>
      <c r="ER182" s="261">
        <f t="shared" si="38"/>
        <v>146</v>
      </c>
      <c r="ES182" s="261">
        <f t="shared" si="38"/>
        <v>147</v>
      </c>
      <c r="ET182" s="261">
        <f t="shared" si="38"/>
        <v>148</v>
      </c>
      <c r="EU182" s="261">
        <f t="shared" si="38"/>
        <v>149</v>
      </c>
      <c r="EV182" s="261">
        <f t="shared" si="38"/>
        <v>150</v>
      </c>
      <c r="EW182" s="261">
        <f t="shared" si="38"/>
        <v>151</v>
      </c>
      <c r="EX182" s="261">
        <f t="shared" si="38"/>
        <v>152</v>
      </c>
      <c r="EY182" s="261">
        <f t="shared" si="38"/>
        <v>153</v>
      </c>
      <c r="EZ182" s="261">
        <f t="shared" si="38"/>
        <v>154</v>
      </c>
      <c r="FA182" s="261">
        <f t="shared" si="38"/>
        <v>155</v>
      </c>
      <c r="FB182" s="261">
        <f t="shared" si="38"/>
        <v>156</v>
      </c>
      <c r="FC182" s="261">
        <f t="shared" si="38"/>
        <v>157</v>
      </c>
      <c r="FD182" s="261">
        <f t="shared" si="38"/>
        <v>158</v>
      </c>
      <c r="FE182" s="261">
        <f t="shared" si="38"/>
        <v>159</v>
      </c>
      <c r="FF182" s="261">
        <f t="shared" si="38"/>
        <v>160</v>
      </c>
      <c r="FG182" s="261">
        <f t="shared" si="38"/>
        <v>161</v>
      </c>
      <c r="FH182" s="261">
        <f t="shared" si="38"/>
        <v>162</v>
      </c>
      <c r="FI182" s="261">
        <f t="shared" si="38"/>
        <v>163</v>
      </c>
      <c r="FJ182" s="261">
        <f t="shared" si="38"/>
        <v>164</v>
      </c>
      <c r="FK182" s="261">
        <f t="shared" si="38"/>
        <v>165</v>
      </c>
      <c r="FL182" s="261">
        <f t="shared" si="38"/>
        <v>166</v>
      </c>
      <c r="FM182" s="261">
        <f t="shared" si="38"/>
        <v>167</v>
      </c>
      <c r="FN182" s="261">
        <f t="shared" si="38"/>
        <v>168</v>
      </c>
      <c r="FO182" s="261">
        <f t="shared" si="38"/>
        <v>169</v>
      </c>
      <c r="FP182" s="261">
        <f t="shared" si="38"/>
        <v>170</v>
      </c>
      <c r="FQ182" s="261">
        <f t="shared" si="38"/>
        <v>171</v>
      </c>
      <c r="FR182" s="261">
        <f t="shared" si="38"/>
        <v>172</v>
      </c>
      <c r="FS182" s="261">
        <f t="shared" si="38"/>
        <v>173</v>
      </c>
      <c r="FT182" s="261">
        <f t="shared" si="38"/>
        <v>174</v>
      </c>
      <c r="FU182" s="261">
        <f t="shared" si="38"/>
        <v>175</v>
      </c>
      <c r="FV182" s="261">
        <f t="shared" si="38"/>
        <v>176</v>
      </c>
      <c r="FW182" s="261">
        <f t="shared" si="38"/>
        <v>177</v>
      </c>
      <c r="FX182" s="261">
        <f t="shared" si="38"/>
        <v>178</v>
      </c>
      <c r="FY182" s="261">
        <f t="shared" si="38"/>
        <v>179</v>
      </c>
      <c r="FZ182" s="261">
        <f t="shared" si="38"/>
        <v>180</v>
      </c>
      <c r="GA182" s="261">
        <f t="shared" si="38"/>
        <v>181</v>
      </c>
      <c r="GB182" s="261">
        <f t="shared" si="38"/>
        <v>182</v>
      </c>
      <c r="GC182" s="261">
        <f t="shared" si="38"/>
        <v>183</v>
      </c>
      <c r="GD182" s="261">
        <f t="shared" si="38"/>
        <v>184</v>
      </c>
      <c r="GE182" s="261">
        <f t="shared" si="38"/>
        <v>185</v>
      </c>
      <c r="GF182" s="261">
        <f t="shared" si="38"/>
        <v>186</v>
      </c>
      <c r="GG182" s="261">
        <f t="shared" si="38"/>
        <v>187</v>
      </c>
      <c r="GH182" s="261">
        <f t="shared" si="38"/>
        <v>188</v>
      </c>
      <c r="GI182" s="261">
        <f t="shared" si="38"/>
        <v>189</v>
      </c>
      <c r="GJ182" s="261">
        <f t="shared" si="38"/>
        <v>190</v>
      </c>
      <c r="GK182" s="261">
        <f t="shared" si="38"/>
        <v>191</v>
      </c>
      <c r="GL182" s="261">
        <f t="shared" si="38"/>
        <v>192</v>
      </c>
      <c r="GM182" s="261">
        <f t="shared" si="38"/>
        <v>193</v>
      </c>
      <c r="GN182" s="261">
        <f t="shared" si="38"/>
        <v>194</v>
      </c>
      <c r="GO182" s="261">
        <f t="shared" ref="GO182:IZ182" si="39">GN182+1</f>
        <v>195</v>
      </c>
      <c r="GP182" s="261">
        <f t="shared" si="39"/>
        <v>196</v>
      </c>
      <c r="GQ182" s="261">
        <f t="shared" si="39"/>
        <v>197</v>
      </c>
      <c r="GR182" s="261">
        <f t="shared" si="39"/>
        <v>198</v>
      </c>
      <c r="GS182" s="261">
        <f t="shared" si="39"/>
        <v>199</v>
      </c>
      <c r="GT182" s="261">
        <f t="shared" si="39"/>
        <v>200</v>
      </c>
      <c r="GU182" s="261">
        <f t="shared" si="39"/>
        <v>201</v>
      </c>
      <c r="GV182" s="261">
        <f t="shared" si="39"/>
        <v>202</v>
      </c>
      <c r="GW182" s="261">
        <f t="shared" si="39"/>
        <v>203</v>
      </c>
      <c r="GX182" s="261">
        <f t="shared" si="39"/>
        <v>204</v>
      </c>
      <c r="GY182" s="261">
        <f t="shared" si="39"/>
        <v>205</v>
      </c>
      <c r="GZ182" s="261">
        <f t="shared" si="39"/>
        <v>206</v>
      </c>
      <c r="HA182" s="261">
        <f t="shared" si="39"/>
        <v>207</v>
      </c>
      <c r="HB182" s="261">
        <f t="shared" si="39"/>
        <v>208</v>
      </c>
      <c r="HC182" s="261">
        <f t="shared" si="39"/>
        <v>209</v>
      </c>
      <c r="HD182" s="261">
        <f t="shared" si="39"/>
        <v>210</v>
      </c>
      <c r="HE182" s="261">
        <f t="shared" si="39"/>
        <v>211</v>
      </c>
      <c r="HF182" s="261">
        <f t="shared" si="39"/>
        <v>212</v>
      </c>
      <c r="HG182" s="261">
        <f t="shared" si="39"/>
        <v>213</v>
      </c>
      <c r="HH182" s="261">
        <f t="shared" si="39"/>
        <v>214</v>
      </c>
      <c r="HI182" s="261">
        <f t="shared" si="39"/>
        <v>215</v>
      </c>
      <c r="HJ182" s="261">
        <f t="shared" si="39"/>
        <v>216</v>
      </c>
      <c r="HK182" s="261">
        <f t="shared" si="39"/>
        <v>217</v>
      </c>
      <c r="HL182" s="261">
        <f t="shared" si="39"/>
        <v>218</v>
      </c>
      <c r="HM182" s="261">
        <f t="shared" si="39"/>
        <v>219</v>
      </c>
      <c r="HN182" s="261">
        <f t="shared" si="39"/>
        <v>220</v>
      </c>
      <c r="HO182" s="261">
        <f t="shared" si="39"/>
        <v>221</v>
      </c>
      <c r="HP182" s="261">
        <f t="shared" si="39"/>
        <v>222</v>
      </c>
      <c r="HQ182" s="261">
        <f t="shared" si="39"/>
        <v>223</v>
      </c>
      <c r="HR182" s="261">
        <f t="shared" si="39"/>
        <v>224</v>
      </c>
      <c r="HS182" s="261">
        <f t="shared" si="39"/>
        <v>225</v>
      </c>
      <c r="HT182" s="261">
        <f t="shared" si="39"/>
        <v>226</v>
      </c>
      <c r="HU182" s="261">
        <f t="shared" si="39"/>
        <v>227</v>
      </c>
      <c r="HV182" s="261">
        <f t="shared" si="39"/>
        <v>228</v>
      </c>
      <c r="HW182" s="261">
        <f t="shared" si="39"/>
        <v>229</v>
      </c>
      <c r="HX182" s="261">
        <f t="shared" si="39"/>
        <v>230</v>
      </c>
      <c r="HY182" s="261">
        <f t="shared" si="39"/>
        <v>231</v>
      </c>
      <c r="HZ182" s="261">
        <f t="shared" si="39"/>
        <v>232</v>
      </c>
      <c r="IA182" s="261">
        <f t="shared" si="39"/>
        <v>233</v>
      </c>
      <c r="IB182" s="261">
        <f t="shared" si="39"/>
        <v>234</v>
      </c>
      <c r="IC182" s="261">
        <f t="shared" si="39"/>
        <v>235</v>
      </c>
      <c r="ID182" s="261">
        <f t="shared" si="39"/>
        <v>236</v>
      </c>
      <c r="IE182" s="261">
        <f t="shared" si="39"/>
        <v>237</v>
      </c>
      <c r="IF182" s="261">
        <f t="shared" si="39"/>
        <v>238</v>
      </c>
      <c r="IG182" s="261">
        <f t="shared" si="39"/>
        <v>239</v>
      </c>
      <c r="IH182" s="261">
        <f t="shared" si="39"/>
        <v>240</v>
      </c>
      <c r="II182" s="261">
        <f t="shared" si="39"/>
        <v>241</v>
      </c>
      <c r="IJ182" s="261">
        <f t="shared" si="39"/>
        <v>242</v>
      </c>
      <c r="IK182" s="261">
        <f t="shared" si="39"/>
        <v>243</v>
      </c>
      <c r="IL182" s="261">
        <f t="shared" si="39"/>
        <v>244</v>
      </c>
      <c r="IM182" s="261">
        <f t="shared" si="39"/>
        <v>245</v>
      </c>
      <c r="IN182" s="261">
        <f t="shared" si="39"/>
        <v>246</v>
      </c>
      <c r="IO182" s="261">
        <f t="shared" si="39"/>
        <v>247</v>
      </c>
      <c r="IP182" s="261">
        <f t="shared" si="39"/>
        <v>248</v>
      </c>
      <c r="IQ182" s="261">
        <f t="shared" si="39"/>
        <v>249</v>
      </c>
      <c r="IR182" s="261">
        <f t="shared" si="39"/>
        <v>250</v>
      </c>
      <c r="IS182" s="261">
        <f t="shared" si="39"/>
        <v>251</v>
      </c>
      <c r="IT182" s="261">
        <f t="shared" si="39"/>
        <v>252</v>
      </c>
      <c r="IU182" s="261">
        <f t="shared" si="39"/>
        <v>253</v>
      </c>
      <c r="IV182" s="261">
        <f t="shared" si="39"/>
        <v>254</v>
      </c>
      <c r="IW182" s="261">
        <f t="shared" si="39"/>
        <v>255</v>
      </c>
      <c r="IX182" s="261">
        <f t="shared" si="39"/>
        <v>256</v>
      </c>
      <c r="IY182" s="261">
        <f t="shared" si="39"/>
        <v>257</v>
      </c>
      <c r="IZ182" s="261">
        <f t="shared" si="39"/>
        <v>258</v>
      </c>
      <c r="JA182" s="261">
        <f t="shared" ref="JA182:LL182" si="40">IZ182+1</f>
        <v>259</v>
      </c>
      <c r="JB182" s="261">
        <f t="shared" si="40"/>
        <v>260</v>
      </c>
      <c r="JC182" s="261">
        <f t="shared" si="40"/>
        <v>261</v>
      </c>
      <c r="JD182" s="261">
        <f t="shared" si="40"/>
        <v>262</v>
      </c>
      <c r="JE182" s="261">
        <f t="shared" si="40"/>
        <v>263</v>
      </c>
      <c r="JF182" s="261">
        <f t="shared" si="40"/>
        <v>264</v>
      </c>
      <c r="JG182" s="261">
        <f t="shared" si="40"/>
        <v>265</v>
      </c>
      <c r="JH182" s="261">
        <f t="shared" si="40"/>
        <v>266</v>
      </c>
      <c r="JI182" s="261">
        <f t="shared" si="40"/>
        <v>267</v>
      </c>
      <c r="JJ182" s="261">
        <f t="shared" si="40"/>
        <v>268</v>
      </c>
      <c r="JK182" s="261">
        <f t="shared" si="40"/>
        <v>269</v>
      </c>
      <c r="JL182" s="261">
        <f t="shared" si="40"/>
        <v>270</v>
      </c>
      <c r="JM182" s="261">
        <f t="shared" si="40"/>
        <v>271</v>
      </c>
      <c r="JN182" s="261">
        <f t="shared" si="40"/>
        <v>272</v>
      </c>
      <c r="JO182" s="261">
        <f t="shared" si="40"/>
        <v>273</v>
      </c>
      <c r="JP182" s="261">
        <f t="shared" si="40"/>
        <v>274</v>
      </c>
      <c r="JQ182" s="261">
        <f t="shared" si="40"/>
        <v>275</v>
      </c>
      <c r="JR182" s="261">
        <f t="shared" si="40"/>
        <v>276</v>
      </c>
      <c r="JS182" s="261">
        <f t="shared" si="40"/>
        <v>277</v>
      </c>
      <c r="JT182" s="261">
        <f t="shared" si="40"/>
        <v>278</v>
      </c>
      <c r="JU182" s="261">
        <f t="shared" si="40"/>
        <v>279</v>
      </c>
      <c r="JV182" s="261">
        <f t="shared" si="40"/>
        <v>280</v>
      </c>
      <c r="JW182" s="261">
        <f t="shared" si="40"/>
        <v>281</v>
      </c>
      <c r="JX182" s="261">
        <f t="shared" si="40"/>
        <v>282</v>
      </c>
      <c r="JY182" s="261">
        <f t="shared" si="40"/>
        <v>283</v>
      </c>
      <c r="JZ182" s="261">
        <f t="shared" si="40"/>
        <v>284</v>
      </c>
      <c r="KA182" s="261">
        <f t="shared" si="40"/>
        <v>285</v>
      </c>
      <c r="KB182" s="261">
        <f t="shared" si="40"/>
        <v>286</v>
      </c>
      <c r="KC182" s="261">
        <f t="shared" si="40"/>
        <v>287</v>
      </c>
      <c r="KD182" s="261">
        <f t="shared" si="40"/>
        <v>288</v>
      </c>
      <c r="KE182" s="261">
        <f t="shared" si="40"/>
        <v>289</v>
      </c>
      <c r="KF182" s="261">
        <f t="shared" si="40"/>
        <v>290</v>
      </c>
      <c r="KG182" s="261">
        <f t="shared" si="40"/>
        <v>291</v>
      </c>
      <c r="KH182" s="261">
        <f t="shared" si="40"/>
        <v>292</v>
      </c>
      <c r="KI182" s="261">
        <f t="shared" si="40"/>
        <v>293</v>
      </c>
      <c r="KJ182" s="261">
        <f t="shared" si="40"/>
        <v>294</v>
      </c>
      <c r="KK182" s="261">
        <f t="shared" si="40"/>
        <v>295</v>
      </c>
      <c r="KL182" s="261">
        <f t="shared" si="40"/>
        <v>296</v>
      </c>
      <c r="KM182" s="261">
        <f t="shared" si="40"/>
        <v>297</v>
      </c>
      <c r="KN182" s="261">
        <f t="shared" si="40"/>
        <v>298</v>
      </c>
      <c r="KO182" s="261">
        <f t="shared" si="40"/>
        <v>299</v>
      </c>
      <c r="KP182" s="261">
        <f t="shared" si="40"/>
        <v>300</v>
      </c>
      <c r="KQ182" s="261">
        <f t="shared" si="40"/>
        <v>301</v>
      </c>
      <c r="KR182" s="261">
        <f t="shared" si="40"/>
        <v>302</v>
      </c>
      <c r="KS182" s="261">
        <f t="shared" si="40"/>
        <v>303</v>
      </c>
      <c r="KT182" s="261">
        <f t="shared" si="40"/>
        <v>304</v>
      </c>
      <c r="KU182" s="261">
        <f t="shared" si="40"/>
        <v>305</v>
      </c>
      <c r="KV182" s="261">
        <f t="shared" si="40"/>
        <v>306</v>
      </c>
      <c r="KW182" s="261">
        <f t="shared" si="40"/>
        <v>307</v>
      </c>
      <c r="KX182" s="261">
        <f t="shared" si="40"/>
        <v>308</v>
      </c>
      <c r="KY182" s="261">
        <f t="shared" si="40"/>
        <v>309</v>
      </c>
      <c r="KZ182" s="261">
        <f t="shared" si="40"/>
        <v>310</v>
      </c>
      <c r="LA182" s="261">
        <f t="shared" si="40"/>
        <v>311</v>
      </c>
      <c r="LB182" s="261">
        <f t="shared" si="40"/>
        <v>312</v>
      </c>
      <c r="LC182" s="261">
        <f t="shared" si="40"/>
        <v>313</v>
      </c>
      <c r="LD182" s="261">
        <f t="shared" si="40"/>
        <v>314</v>
      </c>
      <c r="LE182" s="261">
        <f t="shared" si="40"/>
        <v>315</v>
      </c>
      <c r="LF182" s="261">
        <f t="shared" si="40"/>
        <v>316</v>
      </c>
      <c r="LG182" s="261">
        <f t="shared" si="40"/>
        <v>317</v>
      </c>
      <c r="LH182" s="261">
        <f t="shared" si="40"/>
        <v>318</v>
      </c>
      <c r="LI182" s="261">
        <f t="shared" si="40"/>
        <v>319</v>
      </c>
      <c r="LJ182" s="261">
        <f t="shared" si="40"/>
        <v>320</v>
      </c>
      <c r="LK182" s="261">
        <f t="shared" si="40"/>
        <v>321</v>
      </c>
      <c r="LL182" s="261">
        <f t="shared" si="40"/>
        <v>322</v>
      </c>
      <c r="LM182" s="261">
        <f t="shared" ref="LM182:MH182" si="41">LL182+1</f>
        <v>323</v>
      </c>
      <c r="LN182" s="261">
        <f t="shared" si="41"/>
        <v>324</v>
      </c>
      <c r="LO182" s="261">
        <f t="shared" si="41"/>
        <v>325</v>
      </c>
      <c r="LP182" s="261">
        <f t="shared" si="41"/>
        <v>326</v>
      </c>
      <c r="LQ182" s="261">
        <f t="shared" si="41"/>
        <v>327</v>
      </c>
      <c r="LR182" s="261">
        <f t="shared" si="41"/>
        <v>328</v>
      </c>
      <c r="LS182" s="261">
        <f t="shared" si="41"/>
        <v>329</v>
      </c>
      <c r="LT182" s="261">
        <f t="shared" si="41"/>
        <v>330</v>
      </c>
      <c r="LU182" s="261">
        <f t="shared" si="41"/>
        <v>331</v>
      </c>
      <c r="LV182" s="261">
        <f t="shared" si="41"/>
        <v>332</v>
      </c>
      <c r="LW182" s="261">
        <f t="shared" si="41"/>
        <v>333</v>
      </c>
      <c r="LX182" s="261">
        <f t="shared" si="41"/>
        <v>334</v>
      </c>
      <c r="LY182" s="261">
        <f t="shared" si="41"/>
        <v>335</v>
      </c>
      <c r="LZ182" s="261">
        <f t="shared" si="41"/>
        <v>336</v>
      </c>
      <c r="MA182" s="261">
        <f t="shared" si="41"/>
        <v>337</v>
      </c>
      <c r="MB182" s="261">
        <f t="shared" si="41"/>
        <v>338</v>
      </c>
      <c r="MC182" s="261">
        <f t="shared" si="41"/>
        <v>339</v>
      </c>
      <c r="MD182" s="261">
        <f t="shared" si="41"/>
        <v>340</v>
      </c>
      <c r="ME182" s="261">
        <f t="shared" si="41"/>
        <v>341</v>
      </c>
      <c r="MF182" s="261">
        <f t="shared" si="41"/>
        <v>342</v>
      </c>
      <c r="MG182" s="261">
        <f t="shared" si="41"/>
        <v>343</v>
      </c>
      <c r="MH182" s="261">
        <f t="shared" si="41"/>
        <v>344</v>
      </c>
    </row>
    <row r="183" spans="1:383" ht="115.5">
      <c r="A183" s="56" t="s">
        <v>385</v>
      </c>
      <c r="B183" s="263" t="s">
        <v>379</v>
      </c>
      <c r="C183" s="264" t="s">
        <v>114</v>
      </c>
      <c r="D183" s="265" t="s">
        <v>115</v>
      </c>
      <c r="E183" s="266" t="s">
        <v>116</v>
      </c>
      <c r="F183" s="265" t="s">
        <v>224</v>
      </c>
      <c r="G183" s="265" t="s">
        <v>239</v>
      </c>
      <c r="H183" s="265" t="s">
        <v>240</v>
      </c>
      <c r="I183" s="265" t="s">
        <v>241</v>
      </c>
      <c r="J183" s="267" t="s">
        <v>40</v>
      </c>
      <c r="K183" s="265" t="s">
        <v>41</v>
      </c>
      <c r="L183" s="265" t="s">
        <v>57</v>
      </c>
      <c r="M183" s="265" t="s">
        <v>117</v>
      </c>
      <c r="N183" s="265" t="s">
        <v>118</v>
      </c>
      <c r="O183" s="265" t="s">
        <v>119</v>
      </c>
      <c r="P183" s="265" t="s">
        <v>229</v>
      </c>
      <c r="Q183" s="265" t="s">
        <v>230</v>
      </c>
      <c r="R183" s="265" t="s">
        <v>231</v>
      </c>
      <c r="S183" s="265" t="s">
        <v>232</v>
      </c>
      <c r="T183" s="265" t="s">
        <v>233</v>
      </c>
      <c r="U183" s="265" t="s">
        <v>338</v>
      </c>
      <c r="V183" s="265" t="s">
        <v>339</v>
      </c>
      <c r="W183" s="265" t="s">
        <v>341</v>
      </c>
      <c r="X183" s="265" t="s">
        <v>340</v>
      </c>
      <c r="Y183" s="266" t="s">
        <v>342</v>
      </c>
      <c r="Z183" s="268" t="s">
        <v>43</v>
      </c>
      <c r="AA183" s="265" t="s">
        <v>42</v>
      </c>
      <c r="AB183" s="265" t="s">
        <v>58</v>
      </c>
      <c r="AC183" s="265" t="s">
        <v>117</v>
      </c>
      <c r="AD183" s="265" t="s">
        <v>118</v>
      </c>
      <c r="AE183" s="265" t="s">
        <v>119</v>
      </c>
      <c r="AF183" s="265" t="s">
        <v>242</v>
      </c>
      <c r="AG183" s="265" t="s">
        <v>243</v>
      </c>
      <c r="AH183" s="265" t="s">
        <v>244</v>
      </c>
      <c r="AI183" s="265" t="s">
        <v>245</v>
      </c>
      <c r="AJ183" s="265" t="s">
        <v>246</v>
      </c>
      <c r="AK183" s="265" t="s">
        <v>249</v>
      </c>
      <c r="AL183" s="265" t="s">
        <v>247</v>
      </c>
      <c r="AM183" s="265" t="s">
        <v>256</v>
      </c>
      <c r="AN183" s="265" t="s">
        <v>248</v>
      </c>
      <c r="AO183" s="265" t="s">
        <v>250</v>
      </c>
      <c r="AP183" s="265" t="s">
        <v>257</v>
      </c>
      <c r="AQ183" s="265" t="s">
        <v>251</v>
      </c>
      <c r="AR183" s="265" t="s">
        <v>252</v>
      </c>
      <c r="AS183" s="265" t="s">
        <v>253</v>
      </c>
      <c r="AT183" s="265" t="s">
        <v>254</v>
      </c>
      <c r="AU183" s="265" t="s">
        <v>299</v>
      </c>
      <c r="AV183" s="265" t="s">
        <v>255</v>
      </c>
      <c r="AW183" s="265" t="s">
        <v>338</v>
      </c>
      <c r="AX183" s="265" t="s">
        <v>339</v>
      </c>
      <c r="AY183" s="265" t="s">
        <v>341</v>
      </c>
      <c r="AZ183" s="265" t="s">
        <v>340</v>
      </c>
      <c r="BA183" s="266" t="s">
        <v>342</v>
      </c>
      <c r="BB183" s="264" t="s">
        <v>45</v>
      </c>
      <c r="BC183" s="265" t="s">
        <v>44</v>
      </c>
      <c r="BD183" s="265" t="s">
        <v>46</v>
      </c>
      <c r="BE183" s="265" t="s">
        <v>124</v>
      </c>
      <c r="BF183" s="265" t="s">
        <v>125</v>
      </c>
      <c r="BG183" s="266" t="s">
        <v>126</v>
      </c>
      <c r="BH183" s="265" t="s">
        <v>47</v>
      </c>
      <c r="BI183" s="265" t="s">
        <v>48</v>
      </c>
      <c r="BJ183" s="265" t="s">
        <v>49</v>
      </c>
      <c r="BK183" s="265" t="s">
        <v>124</v>
      </c>
      <c r="BL183" s="265" t="s">
        <v>125</v>
      </c>
      <c r="BM183" s="266" t="s">
        <v>126</v>
      </c>
      <c r="BN183" s="265" t="s">
        <v>50</v>
      </c>
      <c r="BO183" s="265" t="s">
        <v>51</v>
      </c>
      <c r="BP183" s="265" t="s">
        <v>52</v>
      </c>
      <c r="BQ183" s="265" t="s">
        <v>124</v>
      </c>
      <c r="BR183" s="265" t="s">
        <v>125</v>
      </c>
      <c r="BS183" s="265" t="s">
        <v>126</v>
      </c>
      <c r="BT183" s="265" t="s">
        <v>338</v>
      </c>
      <c r="BU183" s="265" t="s">
        <v>339</v>
      </c>
      <c r="BV183" s="265" t="s">
        <v>341</v>
      </c>
      <c r="BW183" s="265" t="s">
        <v>340</v>
      </c>
      <c r="BX183" s="266" t="s">
        <v>342</v>
      </c>
      <c r="BY183" s="265" t="s">
        <v>272</v>
      </c>
      <c r="BZ183" s="265" t="s">
        <v>273</v>
      </c>
      <c r="CA183" s="265" t="s">
        <v>124</v>
      </c>
      <c r="CB183" s="265" t="s">
        <v>222</v>
      </c>
      <c r="CC183" s="265" t="s">
        <v>223</v>
      </c>
      <c r="CD183" s="265" t="s">
        <v>338</v>
      </c>
      <c r="CE183" s="265" t="s">
        <v>339</v>
      </c>
      <c r="CF183" s="265" t="s">
        <v>341</v>
      </c>
      <c r="CG183" s="265" t="s">
        <v>340</v>
      </c>
      <c r="CH183" s="266" t="s">
        <v>342</v>
      </c>
      <c r="CI183" s="265" t="s">
        <v>53</v>
      </c>
      <c r="CJ183" s="265" t="s">
        <v>56</v>
      </c>
      <c r="CK183" s="265" t="s">
        <v>124</v>
      </c>
      <c r="CL183" s="265" t="s">
        <v>125</v>
      </c>
      <c r="CM183" s="265" t="s">
        <v>126</v>
      </c>
      <c r="CN183" s="265" t="s">
        <v>338</v>
      </c>
      <c r="CO183" s="265" t="s">
        <v>339</v>
      </c>
      <c r="CP183" s="265" t="s">
        <v>341</v>
      </c>
      <c r="CQ183" s="265" t="s">
        <v>340</v>
      </c>
      <c r="CR183" s="266" t="s">
        <v>342</v>
      </c>
      <c r="CS183" s="265" t="s">
        <v>54</v>
      </c>
      <c r="CT183" s="265" t="s">
        <v>55</v>
      </c>
      <c r="CU183" s="265" t="s">
        <v>124</v>
      </c>
      <c r="CV183" s="265" t="s">
        <v>125</v>
      </c>
      <c r="CW183" s="265" t="s">
        <v>126</v>
      </c>
      <c r="CX183" s="265" t="s">
        <v>338</v>
      </c>
      <c r="CY183" s="265" t="s">
        <v>339</v>
      </c>
      <c r="CZ183" s="265" t="s">
        <v>341</v>
      </c>
      <c r="DA183" s="265" t="s">
        <v>340</v>
      </c>
      <c r="DB183" s="266" t="s">
        <v>342</v>
      </c>
      <c r="DC183" s="265" t="s">
        <v>898</v>
      </c>
      <c r="DD183" s="265" t="s">
        <v>895</v>
      </c>
      <c r="DE183" s="265" t="s">
        <v>896</v>
      </c>
      <c r="DF183" s="265" t="s">
        <v>897</v>
      </c>
      <c r="DG183" s="265" t="s">
        <v>899</v>
      </c>
      <c r="DH183" s="265" t="s">
        <v>904</v>
      </c>
      <c r="DI183" s="265" t="s">
        <v>905</v>
      </c>
      <c r="DJ183" s="265" t="s">
        <v>906</v>
      </c>
      <c r="DK183" s="265" t="s">
        <v>900</v>
      </c>
      <c r="DL183" s="265" t="s">
        <v>907</v>
      </c>
      <c r="DM183" s="265" t="s">
        <v>908</v>
      </c>
      <c r="DN183" s="265" t="s">
        <v>909</v>
      </c>
      <c r="DO183" s="265" t="s">
        <v>901</v>
      </c>
      <c r="DP183" s="265" t="s">
        <v>910</v>
      </c>
      <c r="DQ183" s="265" t="s">
        <v>911</v>
      </c>
      <c r="DR183" s="265" t="s">
        <v>912</v>
      </c>
      <c r="DS183" s="265" t="s">
        <v>902</v>
      </c>
      <c r="DT183" s="265" t="s">
        <v>913</v>
      </c>
      <c r="DU183" s="265" t="s">
        <v>914</v>
      </c>
      <c r="DV183" s="265" t="s">
        <v>915</v>
      </c>
      <c r="DW183" s="265" t="s">
        <v>903</v>
      </c>
      <c r="DX183" s="265" t="s">
        <v>916</v>
      </c>
      <c r="DY183" s="265" t="s">
        <v>917</v>
      </c>
      <c r="DZ183" s="266" t="s">
        <v>918</v>
      </c>
      <c r="EA183" s="367" t="s">
        <v>485</v>
      </c>
      <c r="EB183" s="367" t="s">
        <v>486</v>
      </c>
      <c r="EC183" s="367" t="s">
        <v>487</v>
      </c>
      <c r="ED183" s="367" t="s">
        <v>488</v>
      </c>
      <c r="EE183" s="367" t="s">
        <v>489</v>
      </c>
      <c r="EF183" s="428" t="s">
        <v>490</v>
      </c>
      <c r="EG183" s="367" t="s">
        <v>491</v>
      </c>
      <c r="EH183" s="367" t="s">
        <v>492</v>
      </c>
      <c r="EI183" s="367" t="s">
        <v>493</v>
      </c>
      <c r="EJ183" s="367" t="s">
        <v>494</v>
      </c>
      <c r="EK183" s="367" t="s">
        <v>495</v>
      </c>
      <c r="EL183" s="428" t="s">
        <v>496</v>
      </c>
      <c r="EM183" s="367" t="s">
        <v>497</v>
      </c>
      <c r="EN183" s="367" t="s">
        <v>498</v>
      </c>
      <c r="EO183" s="367" t="s">
        <v>499</v>
      </c>
      <c r="EP183" s="367" t="s">
        <v>500</v>
      </c>
      <c r="EQ183" s="367" t="s">
        <v>501</v>
      </c>
      <c r="ER183" s="428" t="s">
        <v>502</v>
      </c>
      <c r="ES183" s="367" t="s">
        <v>503</v>
      </c>
      <c r="ET183" s="367" t="s">
        <v>504</v>
      </c>
      <c r="EU183" s="367" t="s">
        <v>505</v>
      </c>
      <c r="EV183" s="367" t="s">
        <v>506</v>
      </c>
      <c r="EW183" s="367" t="s">
        <v>507</v>
      </c>
      <c r="EX183" s="428" t="s">
        <v>508</v>
      </c>
      <c r="EY183" s="367" t="s">
        <v>509</v>
      </c>
      <c r="EZ183" s="367" t="s">
        <v>510</v>
      </c>
      <c r="FA183" s="367" t="s">
        <v>511</v>
      </c>
      <c r="FB183" s="367" t="s">
        <v>512</v>
      </c>
      <c r="FC183" s="367" t="s">
        <v>513</v>
      </c>
      <c r="FD183" s="428" t="s">
        <v>514</v>
      </c>
      <c r="FE183" s="367" t="s">
        <v>515</v>
      </c>
      <c r="FF183" s="367" t="s">
        <v>516</v>
      </c>
      <c r="FG183" s="367" t="s">
        <v>517</v>
      </c>
      <c r="FH183" s="367" t="s">
        <v>518</v>
      </c>
      <c r="FI183" s="367" t="s">
        <v>519</v>
      </c>
      <c r="FJ183" s="428" t="s">
        <v>520</v>
      </c>
      <c r="FK183" s="367" t="s">
        <v>521</v>
      </c>
      <c r="FL183" s="367" t="s">
        <v>522</v>
      </c>
      <c r="FM183" s="367" t="s">
        <v>523</v>
      </c>
      <c r="FN183" s="367" t="s">
        <v>524</v>
      </c>
      <c r="FO183" s="367" t="s">
        <v>525</v>
      </c>
      <c r="FP183" s="428" t="s">
        <v>526</v>
      </c>
      <c r="FQ183" s="367" t="s">
        <v>527</v>
      </c>
      <c r="FR183" s="367" t="s">
        <v>528</v>
      </c>
      <c r="FS183" s="367" t="s">
        <v>529</v>
      </c>
      <c r="FT183" s="367" t="s">
        <v>530</v>
      </c>
      <c r="FU183" s="367" t="s">
        <v>531</v>
      </c>
      <c r="FV183" s="428" t="s">
        <v>532</v>
      </c>
      <c r="FW183" s="367" t="s">
        <v>533</v>
      </c>
      <c r="FX183" s="367" t="s">
        <v>534</v>
      </c>
      <c r="FY183" s="367" t="s">
        <v>535</v>
      </c>
      <c r="FZ183" s="367" t="s">
        <v>536</v>
      </c>
      <c r="GA183" s="367" t="s">
        <v>537</v>
      </c>
      <c r="GB183" s="428" t="s">
        <v>538</v>
      </c>
      <c r="GC183" s="367" t="s">
        <v>539</v>
      </c>
      <c r="GD183" s="367" t="s">
        <v>540</v>
      </c>
      <c r="GE183" s="367" t="s">
        <v>541</v>
      </c>
      <c r="GF183" s="367" t="s">
        <v>542</v>
      </c>
      <c r="GG183" s="367" t="s">
        <v>543</v>
      </c>
      <c r="GH183" s="428" t="s">
        <v>544</v>
      </c>
      <c r="GI183" s="367" t="s">
        <v>545</v>
      </c>
      <c r="GJ183" s="367" t="s">
        <v>546</v>
      </c>
      <c r="GK183" s="367" t="s">
        <v>547</v>
      </c>
      <c r="GL183" s="367" t="s">
        <v>548</v>
      </c>
      <c r="GM183" s="367" t="s">
        <v>549</v>
      </c>
      <c r="GN183" s="428" t="s">
        <v>550</v>
      </c>
      <c r="GO183" s="367" t="s">
        <v>551</v>
      </c>
      <c r="GP183" s="367" t="s">
        <v>552</v>
      </c>
      <c r="GQ183" s="367" t="s">
        <v>553</v>
      </c>
      <c r="GR183" s="367" t="s">
        <v>554</v>
      </c>
      <c r="GS183" s="367" t="s">
        <v>555</v>
      </c>
      <c r="GT183" s="428" t="s">
        <v>556</v>
      </c>
      <c r="GU183" s="367" t="s">
        <v>557</v>
      </c>
      <c r="GV183" s="367" t="s">
        <v>558</v>
      </c>
      <c r="GW183" s="367" t="s">
        <v>559</v>
      </c>
      <c r="GX183" s="367" t="s">
        <v>560</v>
      </c>
      <c r="GY183" s="367" t="s">
        <v>561</v>
      </c>
      <c r="GZ183" s="428" t="s">
        <v>562</v>
      </c>
      <c r="HA183" s="367" t="s">
        <v>563</v>
      </c>
      <c r="HB183" s="367" t="s">
        <v>564</v>
      </c>
      <c r="HC183" s="367" t="s">
        <v>565</v>
      </c>
      <c r="HD183" s="367" t="s">
        <v>566</v>
      </c>
      <c r="HE183" s="367" t="s">
        <v>567</v>
      </c>
      <c r="HF183" s="428" t="s">
        <v>568</v>
      </c>
      <c r="HG183" s="367" t="s">
        <v>569</v>
      </c>
      <c r="HH183" s="367" t="s">
        <v>570</v>
      </c>
      <c r="HI183" s="367" t="s">
        <v>571</v>
      </c>
      <c r="HJ183" s="367" t="s">
        <v>572</v>
      </c>
      <c r="HK183" s="367" t="s">
        <v>573</v>
      </c>
      <c r="HL183" s="428" t="s">
        <v>574</v>
      </c>
      <c r="HM183" s="367" t="s">
        <v>959</v>
      </c>
      <c r="HN183" s="367" t="s">
        <v>960</v>
      </c>
      <c r="HO183" s="367" t="s">
        <v>961</v>
      </c>
      <c r="HP183" s="367" t="s">
        <v>962</v>
      </c>
      <c r="HQ183" s="367" t="s">
        <v>963</v>
      </c>
      <c r="HR183" s="428" t="s">
        <v>964</v>
      </c>
      <c r="HS183" s="367" t="s">
        <v>966</v>
      </c>
      <c r="HT183" s="367" t="s">
        <v>967</v>
      </c>
      <c r="HU183" s="367" t="s">
        <v>968</v>
      </c>
      <c r="HV183" s="367" t="s">
        <v>969</v>
      </c>
      <c r="HW183" s="367" t="s">
        <v>970</v>
      </c>
      <c r="HX183" s="428" t="s">
        <v>971</v>
      </c>
      <c r="HY183" s="367" t="s">
        <v>973</v>
      </c>
      <c r="HZ183" s="367" t="s">
        <v>974</v>
      </c>
      <c r="IA183" s="367" t="s">
        <v>975</v>
      </c>
      <c r="IB183" s="367" t="s">
        <v>976</v>
      </c>
      <c r="IC183" s="367" t="s">
        <v>977</v>
      </c>
      <c r="ID183" s="428" t="s">
        <v>978</v>
      </c>
      <c r="IE183" s="367" t="s">
        <v>980</v>
      </c>
      <c r="IF183" s="367" t="s">
        <v>981</v>
      </c>
      <c r="IG183" s="367" t="s">
        <v>982</v>
      </c>
      <c r="IH183" s="367" t="s">
        <v>983</v>
      </c>
      <c r="II183" s="367" t="s">
        <v>984</v>
      </c>
      <c r="IJ183" s="428" t="s">
        <v>985</v>
      </c>
      <c r="IK183" s="367" t="s">
        <v>987</v>
      </c>
      <c r="IL183" s="367" t="s">
        <v>988</v>
      </c>
      <c r="IM183" s="367" t="s">
        <v>989</v>
      </c>
      <c r="IN183" s="367" t="s">
        <v>990</v>
      </c>
      <c r="IO183" s="367" t="s">
        <v>991</v>
      </c>
      <c r="IP183" s="428" t="s">
        <v>992</v>
      </c>
      <c r="IQ183" s="367" t="s">
        <v>575</v>
      </c>
      <c r="IR183" s="367" t="s">
        <v>576</v>
      </c>
      <c r="IS183" s="367" t="s">
        <v>577</v>
      </c>
      <c r="IT183" s="367" t="s">
        <v>578</v>
      </c>
      <c r="IU183" s="367" t="s">
        <v>579</v>
      </c>
      <c r="IV183" s="428" t="s">
        <v>580</v>
      </c>
      <c r="IW183" s="367" t="s">
        <v>581</v>
      </c>
      <c r="IX183" s="367" t="s">
        <v>582</v>
      </c>
      <c r="IY183" s="367" t="s">
        <v>583</v>
      </c>
      <c r="IZ183" s="367" t="s">
        <v>584</v>
      </c>
      <c r="JA183" s="367" t="s">
        <v>585</v>
      </c>
      <c r="JB183" s="428" t="s">
        <v>586</v>
      </c>
      <c r="JC183" s="367" t="s">
        <v>587</v>
      </c>
      <c r="JD183" s="367" t="s">
        <v>588</v>
      </c>
      <c r="JE183" s="367" t="s">
        <v>589</v>
      </c>
      <c r="JF183" s="367" t="s">
        <v>590</v>
      </c>
      <c r="JG183" s="367" t="s">
        <v>591</v>
      </c>
      <c r="JH183" s="428" t="s">
        <v>592</v>
      </c>
      <c r="JI183" s="367" t="s">
        <v>593</v>
      </c>
      <c r="JJ183" s="367" t="s">
        <v>594</v>
      </c>
      <c r="JK183" s="367" t="s">
        <v>595</v>
      </c>
      <c r="JL183" s="367" t="s">
        <v>596</v>
      </c>
      <c r="JM183" s="367" t="s">
        <v>597</v>
      </c>
      <c r="JN183" s="428" t="s">
        <v>598</v>
      </c>
      <c r="JO183" s="367" t="s">
        <v>599</v>
      </c>
      <c r="JP183" s="367" t="s">
        <v>600</v>
      </c>
      <c r="JQ183" s="367" t="s">
        <v>601</v>
      </c>
      <c r="JR183" s="367" t="s">
        <v>602</v>
      </c>
      <c r="JS183" s="367" t="s">
        <v>603</v>
      </c>
      <c r="JT183" s="428" t="s">
        <v>604</v>
      </c>
      <c r="JU183" s="367" t="s">
        <v>605</v>
      </c>
      <c r="JV183" s="367" t="s">
        <v>606</v>
      </c>
      <c r="JW183" s="367" t="s">
        <v>607</v>
      </c>
      <c r="JX183" s="367" t="s">
        <v>608</v>
      </c>
      <c r="JY183" s="367" t="s">
        <v>609</v>
      </c>
      <c r="JZ183" s="428" t="s">
        <v>610</v>
      </c>
      <c r="KA183" s="367" t="s">
        <v>611</v>
      </c>
      <c r="KB183" s="367" t="s">
        <v>612</v>
      </c>
      <c r="KC183" s="367" t="s">
        <v>613</v>
      </c>
      <c r="KD183" s="367" t="s">
        <v>614</v>
      </c>
      <c r="KE183" s="367" t="s">
        <v>615</v>
      </c>
      <c r="KF183" s="428" t="s">
        <v>616</v>
      </c>
      <c r="KG183" s="367" t="s">
        <v>617</v>
      </c>
      <c r="KH183" s="367" t="s">
        <v>618</v>
      </c>
      <c r="KI183" s="367" t="s">
        <v>619</v>
      </c>
      <c r="KJ183" s="367" t="s">
        <v>620</v>
      </c>
      <c r="KK183" s="367" t="s">
        <v>621</v>
      </c>
      <c r="KL183" s="428" t="s">
        <v>622</v>
      </c>
      <c r="KM183" s="367" t="s">
        <v>623</v>
      </c>
      <c r="KN183" s="367" t="s">
        <v>624</v>
      </c>
      <c r="KO183" s="367" t="s">
        <v>625</v>
      </c>
      <c r="KP183" s="367" t="s">
        <v>626</v>
      </c>
      <c r="KQ183" s="367" t="s">
        <v>627</v>
      </c>
      <c r="KR183" s="428" t="s">
        <v>628</v>
      </c>
      <c r="KS183" s="367" t="s">
        <v>629</v>
      </c>
      <c r="KT183" s="367" t="s">
        <v>630</v>
      </c>
      <c r="KU183" s="367" t="s">
        <v>631</v>
      </c>
      <c r="KV183" s="367" t="s">
        <v>632</v>
      </c>
      <c r="KW183" s="367" t="s">
        <v>633</v>
      </c>
      <c r="KX183" s="428" t="s">
        <v>634</v>
      </c>
      <c r="KY183" s="367" t="s">
        <v>635</v>
      </c>
      <c r="KZ183" s="367" t="s">
        <v>636</v>
      </c>
      <c r="LA183" s="367" t="s">
        <v>637</v>
      </c>
      <c r="LB183" s="367" t="s">
        <v>638</v>
      </c>
      <c r="LC183" s="367" t="s">
        <v>639</v>
      </c>
      <c r="LD183" s="428" t="s">
        <v>640</v>
      </c>
      <c r="LE183" s="367" t="s">
        <v>641</v>
      </c>
      <c r="LF183" s="367" t="s">
        <v>642</v>
      </c>
      <c r="LG183" s="367" t="s">
        <v>643</v>
      </c>
      <c r="LH183" s="367" t="s">
        <v>644</v>
      </c>
      <c r="LI183" s="367" t="s">
        <v>645</v>
      </c>
      <c r="LJ183" s="428" t="s">
        <v>646</v>
      </c>
      <c r="LK183" s="367" t="s">
        <v>647</v>
      </c>
      <c r="LL183" s="367" t="s">
        <v>648</v>
      </c>
      <c r="LM183" s="367" t="s">
        <v>649</v>
      </c>
      <c r="LN183" s="367" t="s">
        <v>650</v>
      </c>
      <c r="LO183" s="367" t="s">
        <v>651</v>
      </c>
      <c r="LP183" s="428" t="s">
        <v>652</v>
      </c>
      <c r="LQ183" s="367" t="s">
        <v>665</v>
      </c>
      <c r="LR183" s="367" t="s">
        <v>666</v>
      </c>
      <c r="LS183" s="367" t="s">
        <v>667</v>
      </c>
      <c r="LT183" s="367" t="s">
        <v>668</v>
      </c>
      <c r="LU183" s="367" t="s">
        <v>669</v>
      </c>
      <c r="LV183" s="428" t="s">
        <v>670</v>
      </c>
      <c r="LW183" s="367" t="s">
        <v>653</v>
      </c>
      <c r="LX183" s="367" t="s">
        <v>654</v>
      </c>
      <c r="LY183" s="367" t="s">
        <v>655</v>
      </c>
      <c r="LZ183" s="367" t="s">
        <v>656</v>
      </c>
      <c r="MA183" s="367" t="s">
        <v>657</v>
      </c>
      <c r="MB183" s="428" t="s">
        <v>658</v>
      </c>
      <c r="MC183" s="367" t="s">
        <v>659</v>
      </c>
      <c r="MD183" s="367" t="s">
        <v>660</v>
      </c>
      <c r="ME183" s="367" t="s">
        <v>661</v>
      </c>
      <c r="MF183" s="367" t="s">
        <v>662</v>
      </c>
      <c r="MG183" s="367" t="s">
        <v>663</v>
      </c>
      <c r="MH183" s="367" t="s">
        <v>664</v>
      </c>
    </row>
    <row r="184" spans="1:383" ht="20.100000000000001" customHeight="1">
      <c r="A184" s="291" t="s">
        <v>397</v>
      </c>
      <c r="B184" s="292" t="s">
        <v>380</v>
      </c>
      <c r="C184" s="293" t="s">
        <v>99</v>
      </c>
      <c r="D184" s="294" t="s">
        <v>110</v>
      </c>
      <c r="E184" s="295" t="s">
        <v>111</v>
      </c>
      <c r="F184" s="294" t="s">
        <v>225</v>
      </c>
      <c r="G184" s="294" t="s">
        <v>226</v>
      </c>
      <c r="H184" s="294" t="s">
        <v>227</v>
      </c>
      <c r="I184" s="294" t="s">
        <v>228</v>
      </c>
      <c r="J184" s="269" t="s">
        <v>59</v>
      </c>
      <c r="K184" s="271" t="s">
        <v>60</v>
      </c>
      <c r="L184" s="271" t="s">
        <v>61</v>
      </c>
      <c r="M184" s="271" t="s">
        <v>109</v>
      </c>
      <c r="N184" s="271" t="s">
        <v>112</v>
      </c>
      <c r="O184" s="271" t="s">
        <v>113</v>
      </c>
      <c r="P184" s="271" t="s">
        <v>234</v>
      </c>
      <c r="Q184" s="271" t="s">
        <v>235</v>
      </c>
      <c r="R184" s="271" t="s">
        <v>236</v>
      </c>
      <c r="S184" s="271" t="s">
        <v>237</v>
      </c>
      <c r="T184" s="271" t="s">
        <v>238</v>
      </c>
      <c r="U184" s="368" t="s">
        <v>343</v>
      </c>
      <c r="V184" s="368" t="s">
        <v>344</v>
      </c>
      <c r="W184" s="368" t="s">
        <v>345</v>
      </c>
      <c r="X184" s="368" t="s">
        <v>346</v>
      </c>
      <c r="Y184" s="373" t="s">
        <v>347</v>
      </c>
      <c r="Z184" s="271" t="s">
        <v>62</v>
      </c>
      <c r="AA184" s="271" t="s">
        <v>63</v>
      </c>
      <c r="AB184" s="271" t="s">
        <v>64</v>
      </c>
      <c r="AC184" s="271" t="s">
        <v>108</v>
      </c>
      <c r="AD184" s="271" t="s">
        <v>120</v>
      </c>
      <c r="AE184" s="271" t="s">
        <v>121</v>
      </c>
      <c r="AF184" s="368" t="s">
        <v>283</v>
      </c>
      <c r="AG184" s="271" t="s">
        <v>284</v>
      </c>
      <c r="AH184" s="271" t="s">
        <v>285</v>
      </c>
      <c r="AI184" s="271" t="s">
        <v>286</v>
      </c>
      <c r="AJ184" s="271" t="s">
        <v>287</v>
      </c>
      <c r="AK184" s="271" t="s">
        <v>288</v>
      </c>
      <c r="AL184" s="271" t="s">
        <v>289</v>
      </c>
      <c r="AM184" s="271" t="s">
        <v>290</v>
      </c>
      <c r="AN184" s="271" t="s">
        <v>291</v>
      </c>
      <c r="AO184" s="271" t="s">
        <v>292</v>
      </c>
      <c r="AP184" s="271" t="s">
        <v>293</v>
      </c>
      <c r="AQ184" s="271" t="s">
        <v>294</v>
      </c>
      <c r="AR184" s="271" t="s">
        <v>295</v>
      </c>
      <c r="AS184" s="271" t="s">
        <v>296</v>
      </c>
      <c r="AT184" s="271" t="s">
        <v>297</v>
      </c>
      <c r="AU184" s="271" t="s">
        <v>298</v>
      </c>
      <c r="AV184" s="271" t="s">
        <v>300</v>
      </c>
      <c r="AW184" s="271" t="s">
        <v>348</v>
      </c>
      <c r="AX184" s="368" t="s">
        <v>349</v>
      </c>
      <c r="AY184" s="368" t="s">
        <v>350</v>
      </c>
      <c r="AZ184" s="368" t="s">
        <v>351</v>
      </c>
      <c r="BA184" s="368" t="s">
        <v>352</v>
      </c>
      <c r="BB184" s="269" t="s">
        <v>65</v>
      </c>
      <c r="BC184" s="271" t="s">
        <v>66</v>
      </c>
      <c r="BD184" s="271" t="s">
        <v>67</v>
      </c>
      <c r="BE184" s="271" t="s">
        <v>107</v>
      </c>
      <c r="BF184" s="271" t="s">
        <v>122</v>
      </c>
      <c r="BG184" s="270" t="s">
        <v>123</v>
      </c>
      <c r="BH184" s="271" t="s">
        <v>68</v>
      </c>
      <c r="BI184" s="271" t="s">
        <v>69</v>
      </c>
      <c r="BJ184" s="271" t="s">
        <v>70</v>
      </c>
      <c r="BK184" s="271" t="s">
        <v>106</v>
      </c>
      <c r="BL184" s="271" t="s">
        <v>127</v>
      </c>
      <c r="BM184" s="270" t="s">
        <v>128</v>
      </c>
      <c r="BN184" s="271" t="s">
        <v>71</v>
      </c>
      <c r="BO184" s="271" t="s">
        <v>72</v>
      </c>
      <c r="BP184" s="271" t="s">
        <v>73</v>
      </c>
      <c r="BQ184" s="271" t="s">
        <v>105</v>
      </c>
      <c r="BR184" s="271" t="s">
        <v>129</v>
      </c>
      <c r="BS184" s="271" t="s">
        <v>130</v>
      </c>
      <c r="BT184" s="368" t="s">
        <v>353</v>
      </c>
      <c r="BU184" s="368" t="s">
        <v>354</v>
      </c>
      <c r="BV184" s="368" t="s">
        <v>355</v>
      </c>
      <c r="BW184" s="368" t="s">
        <v>356</v>
      </c>
      <c r="BX184" s="373" t="s">
        <v>357</v>
      </c>
      <c r="BY184" s="271" t="s">
        <v>74</v>
      </c>
      <c r="BZ184" s="271" t="s">
        <v>75</v>
      </c>
      <c r="CA184" s="271" t="s">
        <v>104</v>
      </c>
      <c r="CB184" s="271" t="s">
        <v>131</v>
      </c>
      <c r="CC184" s="271" t="s">
        <v>132</v>
      </c>
      <c r="CD184" s="368" t="s">
        <v>358</v>
      </c>
      <c r="CE184" s="368" t="s">
        <v>359</v>
      </c>
      <c r="CF184" s="368" t="s">
        <v>360</v>
      </c>
      <c r="CG184" s="368" t="s">
        <v>361</v>
      </c>
      <c r="CH184" s="373" t="s">
        <v>362</v>
      </c>
      <c r="CI184" s="271" t="s">
        <v>76</v>
      </c>
      <c r="CJ184" s="271" t="s">
        <v>100</v>
      </c>
      <c r="CK184" s="271" t="s">
        <v>103</v>
      </c>
      <c r="CL184" s="271" t="s">
        <v>133</v>
      </c>
      <c r="CM184" s="271" t="s">
        <v>134</v>
      </c>
      <c r="CN184" s="271" t="s">
        <v>363</v>
      </c>
      <c r="CO184" s="271" t="s">
        <v>364</v>
      </c>
      <c r="CP184" s="271" t="s">
        <v>365</v>
      </c>
      <c r="CQ184" s="271" t="s">
        <v>366</v>
      </c>
      <c r="CR184" s="270" t="s">
        <v>367</v>
      </c>
      <c r="CS184" s="271" t="s">
        <v>101</v>
      </c>
      <c r="CT184" s="271" t="s">
        <v>102</v>
      </c>
      <c r="CU184" s="271" t="s">
        <v>81</v>
      </c>
      <c r="CV184" s="271" t="s">
        <v>82</v>
      </c>
      <c r="CW184" s="271" t="s">
        <v>135</v>
      </c>
      <c r="CX184" s="271" t="s">
        <v>368</v>
      </c>
      <c r="CY184" s="271" t="s">
        <v>369</v>
      </c>
      <c r="CZ184" s="271" t="s">
        <v>370</v>
      </c>
      <c r="DA184" s="271" t="s">
        <v>371</v>
      </c>
      <c r="DB184" s="270" t="s">
        <v>372</v>
      </c>
      <c r="DC184" s="368" t="s">
        <v>399</v>
      </c>
      <c r="DD184" s="368" t="s">
        <v>400</v>
      </c>
      <c r="DE184" s="368" t="s">
        <v>401</v>
      </c>
      <c r="DF184" s="368" t="s">
        <v>402</v>
      </c>
      <c r="DG184" s="368" t="s">
        <v>403</v>
      </c>
      <c r="DH184" s="368" t="s">
        <v>404</v>
      </c>
      <c r="DI184" s="368" t="s">
        <v>417</v>
      </c>
      <c r="DJ184" s="368" t="s">
        <v>418</v>
      </c>
      <c r="DK184" s="368" t="s">
        <v>419</v>
      </c>
      <c r="DL184" s="368" t="s">
        <v>420</v>
      </c>
      <c r="DM184" s="368" t="s">
        <v>421</v>
      </c>
      <c r="DN184" s="368" t="s">
        <v>422</v>
      </c>
      <c r="DO184" s="368" t="s">
        <v>423</v>
      </c>
      <c r="DP184" s="368" t="s">
        <v>424</v>
      </c>
      <c r="DQ184" s="368" t="s">
        <v>425</v>
      </c>
      <c r="DR184" s="368" t="s">
        <v>426</v>
      </c>
      <c r="DS184" s="368" t="s">
        <v>427</v>
      </c>
      <c r="DT184" s="368" t="s">
        <v>428</v>
      </c>
      <c r="DU184" s="368" t="s">
        <v>429</v>
      </c>
      <c r="DV184" s="368" t="s">
        <v>430</v>
      </c>
      <c r="DW184" s="368" t="s">
        <v>431</v>
      </c>
      <c r="DX184" s="368" t="s">
        <v>432</v>
      </c>
      <c r="DY184" s="368" t="s">
        <v>433</v>
      </c>
      <c r="DZ184" s="270" t="s">
        <v>434</v>
      </c>
      <c r="EA184" s="368" t="s">
        <v>435</v>
      </c>
      <c r="EB184" s="368" t="s">
        <v>436</v>
      </c>
      <c r="EC184" s="368" t="s">
        <v>437</v>
      </c>
      <c r="ED184" s="368" t="s">
        <v>438</v>
      </c>
      <c r="EE184" s="368" t="s">
        <v>439</v>
      </c>
      <c r="EF184" s="270" t="s">
        <v>440</v>
      </c>
      <c r="EG184" s="368" t="s">
        <v>441</v>
      </c>
      <c r="EH184" s="368" t="s">
        <v>442</v>
      </c>
      <c r="EI184" s="368" t="s">
        <v>443</v>
      </c>
      <c r="EJ184" s="368" t="s">
        <v>444</v>
      </c>
      <c r="EK184" s="368" t="s">
        <v>445</v>
      </c>
      <c r="EL184" s="270" t="s">
        <v>446</v>
      </c>
      <c r="EM184" s="368" t="s">
        <v>455</v>
      </c>
      <c r="EN184" s="368" t="s">
        <v>456</v>
      </c>
      <c r="EO184" s="368" t="s">
        <v>457</v>
      </c>
      <c r="EP184" s="368" t="s">
        <v>458</v>
      </c>
      <c r="EQ184" s="368" t="s">
        <v>459</v>
      </c>
      <c r="ER184" s="270" t="s">
        <v>460</v>
      </c>
      <c r="ES184" s="368" t="s">
        <v>461</v>
      </c>
      <c r="ET184" s="368" t="s">
        <v>462</v>
      </c>
      <c r="EU184" s="368" t="s">
        <v>463</v>
      </c>
      <c r="EV184" s="368" t="s">
        <v>464</v>
      </c>
      <c r="EW184" s="368" t="s">
        <v>465</v>
      </c>
      <c r="EX184" s="270" t="s">
        <v>466</v>
      </c>
      <c r="EY184" s="368" t="s">
        <v>467</v>
      </c>
      <c r="EZ184" s="368" t="s">
        <v>468</v>
      </c>
      <c r="FA184" s="368" t="s">
        <v>469</v>
      </c>
      <c r="FB184" s="368" t="s">
        <v>470</v>
      </c>
      <c r="FC184" s="368" t="s">
        <v>471</v>
      </c>
      <c r="FD184" s="270" t="s">
        <v>472</v>
      </c>
      <c r="FE184" s="368" t="s">
        <v>473</v>
      </c>
      <c r="FF184" s="368" t="s">
        <v>474</v>
      </c>
      <c r="FG184" s="368" t="s">
        <v>475</v>
      </c>
      <c r="FH184" s="368" t="s">
        <v>476</v>
      </c>
      <c r="FI184" s="368" t="s">
        <v>477</v>
      </c>
      <c r="FJ184" s="270" t="s">
        <v>478</v>
      </c>
      <c r="FK184" s="368" t="s">
        <v>479</v>
      </c>
      <c r="FL184" s="368" t="s">
        <v>480</v>
      </c>
      <c r="FM184" s="368" t="s">
        <v>481</v>
      </c>
      <c r="FN184" s="368" t="s">
        <v>482</v>
      </c>
      <c r="FO184" s="368" t="s">
        <v>483</v>
      </c>
      <c r="FP184" s="270" t="s">
        <v>484</v>
      </c>
      <c r="FQ184" s="368" t="s">
        <v>671</v>
      </c>
      <c r="FR184" s="368" t="s">
        <v>672</v>
      </c>
      <c r="FS184" s="368" t="s">
        <v>673</v>
      </c>
      <c r="FT184" s="368" t="s">
        <v>674</v>
      </c>
      <c r="FU184" s="368" t="s">
        <v>675</v>
      </c>
      <c r="FV184" s="270" t="s">
        <v>676</v>
      </c>
      <c r="FW184" s="368" t="s">
        <v>677</v>
      </c>
      <c r="FX184" s="368" t="s">
        <v>678</v>
      </c>
      <c r="FY184" s="368" t="s">
        <v>679</v>
      </c>
      <c r="FZ184" s="368" t="s">
        <v>680</v>
      </c>
      <c r="GA184" s="368" t="s">
        <v>681</v>
      </c>
      <c r="GB184" s="270" t="s">
        <v>682</v>
      </c>
      <c r="GC184" s="368" t="s">
        <v>683</v>
      </c>
      <c r="GD184" s="368" t="s">
        <v>684</v>
      </c>
      <c r="GE184" s="368" t="s">
        <v>685</v>
      </c>
      <c r="GF184" s="368" t="s">
        <v>686</v>
      </c>
      <c r="GG184" s="368" t="s">
        <v>687</v>
      </c>
      <c r="GH184" s="270" t="s">
        <v>688</v>
      </c>
      <c r="GI184" s="368" t="s">
        <v>689</v>
      </c>
      <c r="GJ184" s="368" t="s">
        <v>690</v>
      </c>
      <c r="GK184" s="368" t="s">
        <v>691</v>
      </c>
      <c r="GL184" s="368" t="s">
        <v>692</v>
      </c>
      <c r="GM184" s="368" t="s">
        <v>693</v>
      </c>
      <c r="GN184" s="270" t="s">
        <v>694</v>
      </c>
      <c r="GO184" s="368" t="s">
        <v>695</v>
      </c>
      <c r="GP184" s="368" t="s">
        <v>696</v>
      </c>
      <c r="GQ184" s="368" t="s">
        <v>697</v>
      </c>
      <c r="GR184" s="368" t="s">
        <v>698</v>
      </c>
      <c r="GS184" s="368" t="s">
        <v>699</v>
      </c>
      <c r="GT184" s="270" t="s">
        <v>700</v>
      </c>
      <c r="GU184" s="368" t="s">
        <v>701</v>
      </c>
      <c r="GV184" s="368" t="s">
        <v>702</v>
      </c>
      <c r="GW184" s="368" t="s">
        <v>703</v>
      </c>
      <c r="GX184" s="368" t="s">
        <v>704</v>
      </c>
      <c r="GY184" s="368" t="s">
        <v>705</v>
      </c>
      <c r="GZ184" s="270" t="s">
        <v>706</v>
      </c>
      <c r="HA184" s="368" t="s">
        <v>707</v>
      </c>
      <c r="HB184" s="368" t="s">
        <v>708</v>
      </c>
      <c r="HC184" s="368" t="s">
        <v>709</v>
      </c>
      <c r="HD184" s="368" t="s">
        <v>710</v>
      </c>
      <c r="HE184" s="368" t="s">
        <v>711</v>
      </c>
      <c r="HF184" s="270" t="s">
        <v>712</v>
      </c>
      <c r="HG184" s="368" t="s">
        <v>713</v>
      </c>
      <c r="HH184" s="368" t="s">
        <v>714</v>
      </c>
      <c r="HI184" s="368" t="s">
        <v>715</v>
      </c>
      <c r="HJ184" s="368" t="s">
        <v>716</v>
      </c>
      <c r="HK184" s="368" t="s">
        <v>717</v>
      </c>
      <c r="HL184" s="270" t="s">
        <v>718</v>
      </c>
      <c r="HM184" s="368" t="s">
        <v>719</v>
      </c>
      <c r="HN184" s="368" t="s">
        <v>720</v>
      </c>
      <c r="HO184" s="368" t="s">
        <v>721</v>
      </c>
      <c r="HP184" s="368" t="s">
        <v>722</v>
      </c>
      <c r="HQ184" s="368" t="s">
        <v>723</v>
      </c>
      <c r="HR184" s="270" t="s">
        <v>724</v>
      </c>
      <c r="HS184" s="368" t="s">
        <v>725</v>
      </c>
      <c r="HT184" s="368" t="s">
        <v>726</v>
      </c>
      <c r="HU184" s="368" t="s">
        <v>727</v>
      </c>
      <c r="HV184" s="368" t="s">
        <v>728</v>
      </c>
      <c r="HW184" s="368" t="s">
        <v>729</v>
      </c>
      <c r="HX184" s="270" t="s">
        <v>730</v>
      </c>
      <c r="HY184" s="368" t="s">
        <v>731</v>
      </c>
      <c r="HZ184" s="368" t="s">
        <v>732</v>
      </c>
      <c r="IA184" s="368" t="s">
        <v>733</v>
      </c>
      <c r="IB184" s="368" t="s">
        <v>734</v>
      </c>
      <c r="IC184" s="368" t="s">
        <v>735</v>
      </c>
      <c r="ID184" s="270" t="s">
        <v>736</v>
      </c>
      <c r="IE184" s="368" t="s">
        <v>737</v>
      </c>
      <c r="IF184" s="368" t="s">
        <v>738</v>
      </c>
      <c r="IG184" s="368" t="s">
        <v>739</v>
      </c>
      <c r="IH184" s="368" t="s">
        <v>740</v>
      </c>
      <c r="II184" s="368" t="s">
        <v>741</v>
      </c>
      <c r="IJ184" s="270" t="s">
        <v>742</v>
      </c>
      <c r="IK184" s="368" t="s">
        <v>743</v>
      </c>
      <c r="IL184" s="368" t="s">
        <v>744</v>
      </c>
      <c r="IM184" s="368" t="s">
        <v>745</v>
      </c>
      <c r="IN184" s="368" t="s">
        <v>746</v>
      </c>
      <c r="IO184" s="368" t="s">
        <v>747</v>
      </c>
      <c r="IP184" s="270" t="s">
        <v>748</v>
      </c>
      <c r="IQ184" s="368" t="s">
        <v>749</v>
      </c>
      <c r="IR184" s="368" t="s">
        <v>750</v>
      </c>
      <c r="IS184" s="368" t="s">
        <v>751</v>
      </c>
      <c r="IT184" s="368" t="s">
        <v>752</v>
      </c>
      <c r="IU184" s="368" t="s">
        <v>753</v>
      </c>
      <c r="IV184" s="270" t="s">
        <v>754</v>
      </c>
      <c r="IW184" s="368" t="s">
        <v>755</v>
      </c>
      <c r="IX184" s="368" t="s">
        <v>756</v>
      </c>
      <c r="IY184" s="368" t="s">
        <v>757</v>
      </c>
      <c r="IZ184" s="368" t="s">
        <v>758</v>
      </c>
      <c r="JA184" s="368" t="s">
        <v>759</v>
      </c>
      <c r="JB184" s="270" t="s">
        <v>760</v>
      </c>
      <c r="JC184" s="368" t="s">
        <v>761</v>
      </c>
      <c r="JD184" s="368" t="s">
        <v>762</v>
      </c>
      <c r="JE184" s="368" t="s">
        <v>763</v>
      </c>
      <c r="JF184" s="368" t="s">
        <v>764</v>
      </c>
      <c r="JG184" s="368" t="s">
        <v>765</v>
      </c>
      <c r="JH184" s="270" t="s">
        <v>766</v>
      </c>
      <c r="JI184" s="368" t="s">
        <v>767</v>
      </c>
      <c r="JJ184" s="368" t="s">
        <v>768</v>
      </c>
      <c r="JK184" s="368" t="s">
        <v>769</v>
      </c>
      <c r="JL184" s="368" t="s">
        <v>770</v>
      </c>
      <c r="JM184" s="368" t="s">
        <v>771</v>
      </c>
      <c r="JN184" s="270" t="s">
        <v>772</v>
      </c>
      <c r="JO184" s="368" t="s">
        <v>773</v>
      </c>
      <c r="JP184" s="368" t="s">
        <v>774</v>
      </c>
      <c r="JQ184" s="368" t="s">
        <v>775</v>
      </c>
      <c r="JR184" s="368" t="s">
        <v>776</v>
      </c>
      <c r="JS184" s="368" t="s">
        <v>777</v>
      </c>
      <c r="JT184" s="270" t="s">
        <v>778</v>
      </c>
      <c r="JU184" s="368" t="s">
        <v>779</v>
      </c>
      <c r="JV184" s="368" t="s">
        <v>780</v>
      </c>
      <c r="JW184" s="368" t="s">
        <v>781</v>
      </c>
      <c r="JX184" s="368" t="s">
        <v>782</v>
      </c>
      <c r="JY184" s="368" t="s">
        <v>783</v>
      </c>
      <c r="JZ184" s="270" t="s">
        <v>784</v>
      </c>
      <c r="KA184" s="368" t="s">
        <v>785</v>
      </c>
      <c r="KB184" s="368" t="s">
        <v>786</v>
      </c>
      <c r="KC184" s="368" t="s">
        <v>787</v>
      </c>
      <c r="KD184" s="368" t="s">
        <v>788</v>
      </c>
      <c r="KE184" s="368" t="s">
        <v>789</v>
      </c>
      <c r="KF184" s="270" t="s">
        <v>790</v>
      </c>
      <c r="KG184" s="368" t="s">
        <v>791</v>
      </c>
      <c r="KH184" s="368" t="s">
        <v>792</v>
      </c>
      <c r="KI184" s="368" t="s">
        <v>793</v>
      </c>
      <c r="KJ184" s="368" t="s">
        <v>794</v>
      </c>
      <c r="KK184" s="368" t="s">
        <v>795</v>
      </c>
      <c r="KL184" s="270" t="s">
        <v>796</v>
      </c>
      <c r="KM184" s="368" t="s">
        <v>797</v>
      </c>
      <c r="KN184" s="368" t="s">
        <v>798</v>
      </c>
      <c r="KO184" s="368" t="s">
        <v>799</v>
      </c>
      <c r="KP184" s="368" t="s">
        <v>800</v>
      </c>
      <c r="KQ184" s="368" t="s">
        <v>801</v>
      </c>
      <c r="KR184" s="270" t="s">
        <v>802</v>
      </c>
      <c r="KS184" s="368" t="s">
        <v>803</v>
      </c>
      <c r="KT184" s="368" t="s">
        <v>804</v>
      </c>
      <c r="KU184" s="368" t="s">
        <v>805</v>
      </c>
      <c r="KV184" s="368" t="s">
        <v>806</v>
      </c>
      <c r="KW184" s="368" t="s">
        <v>807</v>
      </c>
      <c r="KX184" s="270" t="s">
        <v>808</v>
      </c>
      <c r="KY184" s="368" t="s">
        <v>809</v>
      </c>
      <c r="KZ184" s="368" t="s">
        <v>810</v>
      </c>
      <c r="LA184" s="368" t="s">
        <v>811</v>
      </c>
      <c r="LB184" s="368" t="s">
        <v>812</v>
      </c>
      <c r="LC184" s="368" t="s">
        <v>813</v>
      </c>
      <c r="LD184" s="270" t="s">
        <v>814</v>
      </c>
      <c r="LE184" s="368" t="s">
        <v>815</v>
      </c>
      <c r="LF184" s="368" t="s">
        <v>816</v>
      </c>
      <c r="LG184" s="368" t="s">
        <v>817</v>
      </c>
      <c r="LH184" s="368" t="s">
        <v>818</v>
      </c>
      <c r="LI184" s="368" t="s">
        <v>819</v>
      </c>
      <c r="LJ184" s="270" t="s">
        <v>820</v>
      </c>
      <c r="LK184" s="368" t="s">
        <v>821</v>
      </c>
      <c r="LL184" s="368" t="s">
        <v>822</v>
      </c>
      <c r="LM184" s="368" t="s">
        <v>823</v>
      </c>
      <c r="LN184" s="368" t="s">
        <v>824</v>
      </c>
      <c r="LO184" s="368" t="s">
        <v>825</v>
      </c>
      <c r="LP184" s="270" t="s">
        <v>826</v>
      </c>
      <c r="LQ184" s="368" t="s">
        <v>827</v>
      </c>
      <c r="LR184" s="368" t="s">
        <v>828</v>
      </c>
      <c r="LS184" s="368" t="s">
        <v>829</v>
      </c>
      <c r="LT184" s="368" t="s">
        <v>830</v>
      </c>
      <c r="LU184" s="368" t="s">
        <v>831</v>
      </c>
      <c r="LV184" s="270" t="s">
        <v>832</v>
      </c>
      <c r="LW184" s="368" t="s">
        <v>833</v>
      </c>
      <c r="LX184" s="368" t="s">
        <v>834</v>
      </c>
      <c r="LY184" s="368" t="s">
        <v>835</v>
      </c>
      <c r="LZ184" s="368" t="s">
        <v>836</v>
      </c>
      <c r="MA184" s="368" t="s">
        <v>837</v>
      </c>
      <c r="MB184" s="270" t="s">
        <v>838</v>
      </c>
      <c r="MC184" s="368" t="s">
        <v>839</v>
      </c>
      <c r="MD184" s="368" t="s">
        <v>840</v>
      </c>
      <c r="ME184" s="368" t="s">
        <v>841</v>
      </c>
      <c r="MF184" s="368" t="s">
        <v>842</v>
      </c>
      <c r="MG184" s="368" t="s">
        <v>843</v>
      </c>
      <c r="MH184" s="368" t="s">
        <v>844</v>
      </c>
    </row>
    <row r="185" spans="1:383" s="56" customFormat="1" ht="20.100000000000001" customHeight="1">
      <c r="A185" s="297" t="str">
        <f>B2</f>
        <v>Mir</v>
      </c>
      <c r="B185" s="45">
        <v>174200</v>
      </c>
      <c r="C185" s="235">
        <f>SUM(C8:L8)/10</f>
        <v>0</v>
      </c>
      <c r="D185" s="235">
        <f>SUM(M8:V8)/10</f>
        <v>0.39999999999999997</v>
      </c>
      <c r="E185" s="235">
        <f>SUM(W8:AF8)/10</f>
        <v>0.39999999999999997</v>
      </c>
      <c r="F185" s="257">
        <f>B11</f>
        <v>364.08695652173913</v>
      </c>
      <c r="G185" s="257">
        <f>SUM(C13:L13)/10</f>
        <v>-1.5</v>
      </c>
      <c r="H185" s="257">
        <f>SUM(M13:V13)/10</f>
        <v>-3.8</v>
      </c>
      <c r="I185" s="257">
        <f>SUM(W13:AF13)/10</f>
        <v>-3.8</v>
      </c>
      <c r="J185" s="257">
        <f>B25</f>
        <v>2124.3106214374661</v>
      </c>
      <c r="K185" s="235">
        <f>B26</f>
        <v>18</v>
      </c>
      <c r="L185" s="235"/>
      <c r="M185" s="235">
        <f>SUM(C28:K28)/10</f>
        <v>0.63000000000000012</v>
      </c>
      <c r="N185" s="235">
        <f>SUM(M28:V28)/10</f>
        <v>0.70000000000000007</v>
      </c>
      <c r="O185" s="235">
        <f>SUM(W28:AF28)/10</f>
        <v>0.70000000000000007</v>
      </c>
      <c r="P185" s="257">
        <f>C31</f>
        <v>0.1</v>
      </c>
      <c r="Q185" s="257">
        <f>C32</f>
        <v>0</v>
      </c>
      <c r="R185" s="257">
        <f>C33</f>
        <v>99.9</v>
      </c>
      <c r="S185" s="257">
        <f>C34</f>
        <v>0</v>
      </c>
      <c r="T185" s="257">
        <f>C35</f>
        <v>0</v>
      </c>
      <c r="U185" s="59">
        <v>1</v>
      </c>
      <c r="V185" s="59">
        <v>1</v>
      </c>
      <c r="W185" s="59">
        <v>1</v>
      </c>
      <c r="X185" s="59">
        <v>1</v>
      </c>
      <c r="Y185" s="59">
        <v>1</v>
      </c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AJ185" s="235"/>
      <c r="AK185" s="235"/>
      <c r="AL185" s="235"/>
      <c r="AM185" s="235"/>
      <c r="AN185" s="235"/>
      <c r="AO185" s="235"/>
      <c r="AP185" s="235"/>
      <c r="AQ185" s="235"/>
      <c r="AR185" s="235"/>
      <c r="AS185" s="235"/>
      <c r="AT185" s="235"/>
      <c r="AU185" s="235"/>
      <c r="AV185" s="235"/>
      <c r="AW185" s="235"/>
      <c r="AX185" s="59">
        <v>1</v>
      </c>
      <c r="AY185" s="59">
        <v>1</v>
      </c>
      <c r="AZ185" s="59">
        <v>1</v>
      </c>
      <c r="BA185" s="59">
        <v>1</v>
      </c>
      <c r="BB185" s="235"/>
      <c r="BC185" s="235"/>
      <c r="BD185" s="235"/>
      <c r="BE185" s="235"/>
      <c r="BF185" s="235"/>
      <c r="BG185" s="235"/>
      <c r="BH185" s="235"/>
      <c r="BI185" s="235"/>
      <c r="BJ185" s="235"/>
      <c r="BK185" s="235"/>
      <c r="BL185" s="235"/>
      <c r="BM185" s="235"/>
      <c r="BN185" s="235"/>
      <c r="BO185" s="235"/>
      <c r="BP185" s="235"/>
      <c r="BQ185" s="235"/>
      <c r="BR185" s="235"/>
      <c r="BS185" s="235"/>
      <c r="BT185" s="59">
        <v>1</v>
      </c>
      <c r="BU185" s="59">
        <v>1</v>
      </c>
      <c r="BV185" s="59">
        <v>1</v>
      </c>
      <c r="BW185" s="59">
        <v>1</v>
      </c>
      <c r="BX185" s="59">
        <v>1</v>
      </c>
      <c r="BY185" s="235"/>
      <c r="BZ185" s="235"/>
      <c r="CA185" s="235"/>
      <c r="CB185" s="235"/>
      <c r="CC185" s="235"/>
      <c r="CD185" s="59">
        <v>1</v>
      </c>
      <c r="CE185" s="59">
        <v>1</v>
      </c>
      <c r="CF185" s="59">
        <v>1</v>
      </c>
      <c r="CG185" s="59">
        <v>1</v>
      </c>
      <c r="CH185" s="59">
        <v>1</v>
      </c>
      <c r="CI185" s="235"/>
      <c r="CJ185" s="235"/>
      <c r="CK185" s="235"/>
      <c r="CL185" s="235"/>
      <c r="CM185" s="235"/>
      <c r="CN185" s="59">
        <v>1</v>
      </c>
      <c r="CO185" s="59">
        <v>1</v>
      </c>
      <c r="CP185" s="59">
        <v>1</v>
      </c>
      <c r="CQ185" s="59">
        <v>1</v>
      </c>
      <c r="CR185" s="59">
        <v>1</v>
      </c>
      <c r="CS185" s="235"/>
      <c r="CT185" s="235"/>
      <c r="CU185" s="235"/>
      <c r="CV185" s="235"/>
      <c r="CW185" s="235"/>
      <c r="CX185" s="59">
        <v>1</v>
      </c>
      <c r="CY185" s="59">
        <v>1</v>
      </c>
      <c r="CZ185" s="59">
        <v>1</v>
      </c>
      <c r="DA185" s="59">
        <v>1</v>
      </c>
      <c r="DB185" s="59">
        <v>1</v>
      </c>
      <c r="DC185" s="45">
        <f>D78</f>
        <v>-548379.96591493534</v>
      </c>
      <c r="DD185" s="378">
        <f>AVERAGE(C85:L85)</f>
        <v>-5.6057976196632886E-2</v>
      </c>
      <c r="DE185" s="378">
        <f>AVERAGE(M85:V85)</f>
        <v>2.3169596365813168</v>
      </c>
      <c r="DF185" s="378">
        <f>AVERAGE(W85:AF85)</f>
        <v>2.3169596365813168</v>
      </c>
      <c r="DG185" s="45">
        <f>B79</f>
        <v>163008.86814203212</v>
      </c>
      <c r="DH185" s="378">
        <f>AVERAGE(C86:L86)</f>
        <v>1.1935164277488752</v>
      </c>
      <c r="DI185" s="378">
        <f>AVERAGE(M86:V86)</f>
        <v>0.16969509809525718</v>
      </c>
      <c r="DJ185" s="378">
        <f>AVERAGE(W86:AF86)</f>
        <v>0.16969509809525718</v>
      </c>
      <c r="DK185" s="45">
        <f>D80</f>
        <v>16971.749140328644</v>
      </c>
      <c r="DL185" s="378">
        <f>AVERAGE(C87:L87)</f>
        <v>-0.49105974754584114</v>
      </c>
      <c r="DM185" s="378">
        <f>AVERAGE(M87:V87)</f>
        <v>4.5777144812553239E-2</v>
      </c>
      <c r="DN185" s="378">
        <f>AVERAGE(W87:AF87)</f>
        <v>4.5777144812553239E-2</v>
      </c>
      <c r="DO185" s="45">
        <f>B81</f>
        <v>24937.229909639544</v>
      </c>
      <c r="DP185" s="378">
        <f>AVERAGE(C88:L88)</f>
        <v>-0.5728508462310099</v>
      </c>
      <c r="DQ185" s="378">
        <f>AVERAGE(M88:V88)</f>
        <v>-0.31928389463363738</v>
      </c>
      <c r="DR185" s="378">
        <f>AVERAGE(W88:AF88)</f>
        <v>-0.31928389463363738</v>
      </c>
      <c r="DS185" s="45">
        <f>D82</f>
        <v>46903.788460051932</v>
      </c>
      <c r="DT185" s="378">
        <f>AVERAGE(C89:L89)</f>
        <v>-0.10286391912811554</v>
      </c>
      <c r="DU185" s="378">
        <f>AVERAGE(M89:V89)</f>
        <v>-1.2470099209330618</v>
      </c>
      <c r="DV185" s="378">
        <f>AVERAGE(W89:AF89)</f>
        <v>-1.2470099209330618</v>
      </c>
      <c r="DW185" s="45">
        <f>B83</f>
        <v>-111907.03951127999</v>
      </c>
      <c r="DX185" s="378">
        <f>AVERAGE(C90:L90)</f>
        <v>-1.0698418934196872</v>
      </c>
      <c r="DY185" s="378">
        <f>AVERAGE(M90:V90)</f>
        <v>-1.6571095904057032</v>
      </c>
      <c r="DZ185" s="378">
        <f>AVERAGE(W90:AF90)</f>
        <v>-1.6571095904057032</v>
      </c>
      <c r="EA185" s="426">
        <f>B95</f>
        <v>0</v>
      </c>
      <c r="EB185" s="426">
        <f t="shared" ref="EB185:EF185" si="42">C95</f>
        <v>0</v>
      </c>
      <c r="EC185" s="426">
        <f t="shared" si="42"/>
        <v>0</v>
      </c>
      <c r="ED185" s="426">
        <f t="shared" si="42"/>
        <v>0</v>
      </c>
      <c r="EE185" s="426">
        <f t="shared" si="42"/>
        <v>0</v>
      </c>
      <c r="EF185" s="426">
        <f t="shared" si="42"/>
        <v>0</v>
      </c>
      <c r="EG185" s="427">
        <f>B96</f>
        <v>2.3331596698950001</v>
      </c>
      <c r="EH185" s="427">
        <f t="shared" ref="EH185:EL185" si="43">C96</f>
        <v>0</v>
      </c>
      <c r="EI185" s="427">
        <f t="shared" si="43"/>
        <v>0</v>
      </c>
      <c r="EJ185" s="427">
        <f t="shared" si="43"/>
        <v>0.98609088910742004</v>
      </c>
      <c r="EK185" s="427">
        <f t="shared" si="43"/>
        <v>9.6999770847580005E-2</v>
      </c>
      <c r="EL185" s="427">
        <f t="shared" si="43"/>
        <v>-0.74905005460903995</v>
      </c>
      <c r="EM185" s="427">
        <f>B97</f>
        <v>2.3331596698949899</v>
      </c>
      <c r="EN185" s="427">
        <f t="shared" ref="EN185:ER185" si="44">C97</f>
        <v>0</v>
      </c>
      <c r="EO185" s="427">
        <f t="shared" si="44"/>
        <v>0</v>
      </c>
      <c r="EP185" s="427">
        <f t="shared" si="44"/>
        <v>0.98609088910742004</v>
      </c>
      <c r="EQ185" s="427">
        <f t="shared" si="44"/>
        <v>0</v>
      </c>
      <c r="ER185" s="427">
        <f t="shared" si="44"/>
        <v>-0.74905005460903995</v>
      </c>
      <c r="ES185" s="427">
        <f>B98</f>
        <v>0</v>
      </c>
      <c r="ET185" s="427">
        <f t="shared" ref="ET185:EX185" si="45">C98</f>
        <v>0</v>
      </c>
      <c r="EU185" s="427">
        <f t="shared" si="45"/>
        <v>0</v>
      </c>
      <c r="EV185" s="427">
        <f t="shared" si="45"/>
        <v>0</v>
      </c>
      <c r="EW185" s="427">
        <f t="shared" si="45"/>
        <v>0</v>
      </c>
      <c r="EX185" s="427">
        <f t="shared" si="45"/>
        <v>0</v>
      </c>
      <c r="EY185" s="427">
        <f>B99</f>
        <v>0</v>
      </c>
      <c r="EZ185" s="427">
        <f t="shared" ref="EZ185:FD185" si="46">C99</f>
        <v>0</v>
      </c>
      <c r="FA185" s="427">
        <f t="shared" si="46"/>
        <v>0</v>
      </c>
      <c r="FB185" s="427">
        <f t="shared" si="46"/>
        <v>0</v>
      </c>
      <c r="FC185" s="427">
        <f t="shared" si="46"/>
        <v>0</v>
      </c>
      <c r="FD185" s="427">
        <f t="shared" si="46"/>
        <v>0</v>
      </c>
      <c r="FE185" s="427">
        <f>B100</f>
        <v>0</v>
      </c>
      <c r="FF185" s="427">
        <f t="shared" ref="FF185:FJ185" si="47">C100</f>
        <v>0</v>
      </c>
      <c r="FG185" s="427">
        <f t="shared" si="47"/>
        <v>0</v>
      </c>
      <c r="FH185" s="427">
        <f t="shared" si="47"/>
        <v>0</v>
      </c>
      <c r="FI185" s="427">
        <f t="shared" si="47"/>
        <v>0</v>
      </c>
      <c r="FJ185" s="427">
        <f t="shared" si="47"/>
        <v>0</v>
      </c>
      <c r="FK185" s="427">
        <f>B101</f>
        <v>0</v>
      </c>
      <c r="FL185" s="427">
        <f t="shared" ref="FL185:FP185" si="48">C101</f>
        <v>0</v>
      </c>
      <c r="FM185" s="427">
        <f t="shared" si="48"/>
        <v>0</v>
      </c>
      <c r="FN185" s="427">
        <f t="shared" si="48"/>
        <v>0</v>
      </c>
      <c r="FO185" s="427">
        <f t="shared" si="48"/>
        <v>0</v>
      </c>
      <c r="FP185" s="427">
        <f t="shared" si="48"/>
        <v>0</v>
      </c>
      <c r="FQ185" s="427">
        <f>B102</f>
        <v>0</v>
      </c>
      <c r="FR185" s="427">
        <f t="shared" ref="FR185:FV185" si="49">C102</f>
        <v>0</v>
      </c>
      <c r="FS185" s="427">
        <f t="shared" si="49"/>
        <v>0</v>
      </c>
      <c r="FT185" s="427">
        <f t="shared" si="49"/>
        <v>0</v>
      </c>
      <c r="FU185" s="427">
        <f t="shared" si="49"/>
        <v>0</v>
      </c>
      <c r="FV185" s="427">
        <f t="shared" si="49"/>
        <v>0</v>
      </c>
      <c r="FW185" s="427">
        <f>B103</f>
        <v>0</v>
      </c>
      <c r="FX185" s="427">
        <f t="shared" ref="FX185:GB185" si="50">C103</f>
        <v>0</v>
      </c>
      <c r="FY185" s="427">
        <f t="shared" si="50"/>
        <v>0</v>
      </c>
      <c r="FZ185" s="427">
        <f t="shared" si="50"/>
        <v>0</v>
      </c>
      <c r="GA185" s="427">
        <f t="shared" si="50"/>
        <v>0</v>
      </c>
      <c r="GB185" s="427">
        <f t="shared" si="50"/>
        <v>0</v>
      </c>
      <c r="GC185" s="427">
        <f>B104</f>
        <v>0</v>
      </c>
      <c r="GD185" s="427">
        <f t="shared" ref="GD185:GH185" si="51">C104</f>
        <v>0</v>
      </c>
      <c r="GE185" s="427">
        <f t="shared" si="51"/>
        <v>0</v>
      </c>
      <c r="GF185" s="427">
        <f t="shared" si="51"/>
        <v>0</v>
      </c>
      <c r="GG185" s="427">
        <f t="shared" si="51"/>
        <v>0</v>
      </c>
      <c r="GH185" s="427">
        <f t="shared" si="51"/>
        <v>0</v>
      </c>
      <c r="GI185" s="427">
        <f>B105</f>
        <v>-55.82</v>
      </c>
      <c r="GJ185" s="427">
        <f t="shared" ref="GJ185:GN185" si="52">C105</f>
        <v>-11.99</v>
      </c>
      <c r="GK185" s="427">
        <f t="shared" si="52"/>
        <v>-19.61</v>
      </c>
      <c r="GL185" s="427">
        <f t="shared" si="52"/>
        <v>-12.92</v>
      </c>
      <c r="GM185" s="427">
        <f t="shared" si="52"/>
        <v>4.6060068064949999E-2</v>
      </c>
      <c r="GN185" s="427">
        <f t="shared" si="52"/>
        <v>-3.91</v>
      </c>
      <c r="GO185" s="427">
        <f>B106</f>
        <v>0</v>
      </c>
      <c r="GP185" s="427">
        <f t="shared" ref="GP185:GT185" si="53">C106</f>
        <v>0</v>
      </c>
      <c r="GQ185" s="427">
        <f t="shared" si="53"/>
        <v>0</v>
      </c>
      <c r="GR185" s="427">
        <f t="shared" si="53"/>
        <v>0</v>
      </c>
      <c r="GS185" s="427">
        <f t="shared" si="53"/>
        <v>0</v>
      </c>
      <c r="GT185" s="427">
        <f t="shared" si="53"/>
        <v>0</v>
      </c>
      <c r="GU185" s="427">
        <f>B107</f>
        <v>0</v>
      </c>
      <c r="GV185" s="427">
        <f t="shared" ref="GV185:GZ185" si="54">C107</f>
        <v>0</v>
      </c>
      <c r="GW185" s="427">
        <f t="shared" si="54"/>
        <v>0</v>
      </c>
      <c r="GX185" s="427">
        <f t="shared" si="54"/>
        <v>0</v>
      </c>
      <c r="GY185" s="427">
        <f t="shared" si="54"/>
        <v>0</v>
      </c>
      <c r="GZ185" s="427">
        <f t="shared" si="54"/>
        <v>0</v>
      </c>
      <c r="HA185" s="427">
        <f>B108</f>
        <v>0</v>
      </c>
      <c r="HB185" s="427">
        <f t="shared" ref="HB185:HF185" si="55">C108</f>
        <v>0</v>
      </c>
      <c r="HC185" s="427">
        <f t="shared" si="55"/>
        <v>0</v>
      </c>
      <c r="HD185" s="427">
        <f t="shared" si="55"/>
        <v>0</v>
      </c>
      <c r="HE185" s="427">
        <f t="shared" si="55"/>
        <v>0</v>
      </c>
      <c r="HF185" s="427">
        <f t="shared" si="55"/>
        <v>0</v>
      </c>
      <c r="HG185" s="427">
        <f>B109</f>
        <v>0</v>
      </c>
      <c r="HH185" s="427">
        <f t="shared" ref="HH185:HL185" si="56">C109</f>
        <v>0</v>
      </c>
      <c r="HI185" s="427">
        <f t="shared" si="56"/>
        <v>0</v>
      </c>
      <c r="HJ185" s="427">
        <f t="shared" si="56"/>
        <v>0</v>
      </c>
      <c r="HK185" s="427">
        <f t="shared" si="56"/>
        <v>0</v>
      </c>
      <c r="HL185" s="427">
        <f t="shared" si="56"/>
        <v>0</v>
      </c>
      <c r="HM185" s="427">
        <f>B110</f>
        <v>-0.6</v>
      </c>
      <c r="HN185" s="427">
        <f t="shared" ref="HN185:HR185" si="57">C110</f>
        <v>0</v>
      </c>
      <c r="HO185" s="427">
        <f t="shared" si="57"/>
        <v>0</v>
      </c>
      <c r="HP185" s="427">
        <f t="shared" si="57"/>
        <v>0</v>
      </c>
      <c r="HQ185" s="427">
        <f t="shared" si="57"/>
        <v>0</v>
      </c>
      <c r="HR185" s="427">
        <f t="shared" si="57"/>
        <v>-3.1108822695035498</v>
      </c>
      <c r="HS185" s="427">
        <f>B111</f>
        <v>0.1</v>
      </c>
      <c r="HT185" s="427">
        <f t="shared" ref="HT185:HX185" si="58">C111</f>
        <v>0</v>
      </c>
      <c r="HU185" s="427">
        <f t="shared" si="58"/>
        <v>0</v>
      </c>
      <c r="HV185" s="427">
        <f t="shared" si="58"/>
        <v>0</v>
      </c>
      <c r="HW185" s="427">
        <f t="shared" si="58"/>
        <v>0</v>
      </c>
      <c r="HX185" s="427">
        <f t="shared" si="58"/>
        <v>0.23</v>
      </c>
      <c r="HY185" s="427">
        <f>B112</f>
        <v>-9.0767508396599993E-3</v>
      </c>
      <c r="HZ185" s="427">
        <f t="shared" ref="HZ185:ID185" si="59">C112</f>
        <v>0</v>
      </c>
      <c r="IA185" s="427">
        <f t="shared" si="59"/>
        <v>0</v>
      </c>
      <c r="IB185" s="427">
        <f t="shared" si="59"/>
        <v>-2.3954794799700002E-3</v>
      </c>
      <c r="IC185" s="427">
        <f t="shared" si="59"/>
        <v>0</v>
      </c>
      <c r="ID185" s="427">
        <f t="shared" si="59"/>
        <v>-0.47</v>
      </c>
      <c r="IE185" s="427">
        <f>B113</f>
        <v>0</v>
      </c>
      <c r="IF185" s="427">
        <f t="shared" ref="IF185:IJ185" si="60">C113</f>
        <v>0</v>
      </c>
      <c r="IG185" s="427">
        <f t="shared" si="60"/>
        <v>0</v>
      </c>
      <c r="IH185" s="427">
        <f t="shared" si="60"/>
        <v>0</v>
      </c>
      <c r="II185" s="427">
        <f t="shared" si="60"/>
        <v>0</v>
      </c>
      <c r="IJ185" s="427">
        <f t="shared" si="60"/>
        <v>0</v>
      </c>
      <c r="IK185" s="427">
        <f>B114</f>
        <v>0</v>
      </c>
      <c r="IL185" s="427">
        <f t="shared" ref="IL185:IP185" si="61">C114</f>
        <v>0</v>
      </c>
      <c r="IM185" s="427">
        <f t="shared" si="61"/>
        <v>0</v>
      </c>
      <c r="IN185" s="427">
        <f t="shared" si="61"/>
        <v>0</v>
      </c>
      <c r="IO185" s="427">
        <f t="shared" si="61"/>
        <v>0</v>
      </c>
      <c r="IP185" s="427">
        <f t="shared" si="61"/>
        <v>0</v>
      </c>
      <c r="IQ185" s="427">
        <f>B115</f>
        <v>-55.82</v>
      </c>
      <c r="IR185" s="427">
        <f t="shared" ref="IR185:IV185" si="62">C115</f>
        <v>-11.99</v>
      </c>
      <c r="IS185" s="427">
        <f t="shared" si="62"/>
        <v>-19.61</v>
      </c>
      <c r="IT185" s="427">
        <f t="shared" si="62"/>
        <v>-12.92</v>
      </c>
      <c r="IU185" s="427">
        <f t="shared" si="62"/>
        <v>-1.07225369578546</v>
      </c>
      <c r="IV185" s="427">
        <f t="shared" si="62"/>
        <v>-0.59</v>
      </c>
      <c r="IW185" s="427">
        <f>B116</f>
        <v>-0.12913436945737</v>
      </c>
      <c r="IX185" s="427">
        <f t="shared" ref="IX185:JB185" si="63">C116</f>
        <v>0</v>
      </c>
      <c r="IY185" s="427">
        <f t="shared" si="63"/>
        <v>0</v>
      </c>
      <c r="IZ185" s="427">
        <f t="shared" si="63"/>
        <v>0</v>
      </c>
      <c r="JA185" s="427">
        <f t="shared" si="63"/>
        <v>-0.75737307686747002</v>
      </c>
      <c r="JB185" s="427">
        <f t="shared" si="63"/>
        <v>0</v>
      </c>
      <c r="JC185" s="427">
        <f>B117</f>
        <v>-0.15496124334884001</v>
      </c>
      <c r="JD185" s="427">
        <f t="shared" ref="JD185:JH185" si="64">C117</f>
        <v>0</v>
      </c>
      <c r="JE185" s="427">
        <f t="shared" si="64"/>
        <v>0</v>
      </c>
      <c r="JF185" s="427">
        <f t="shared" si="64"/>
        <v>0</v>
      </c>
      <c r="JG185" s="427">
        <f t="shared" si="64"/>
        <v>-1.39367584496439</v>
      </c>
      <c r="JH185" s="427">
        <f t="shared" si="64"/>
        <v>0</v>
      </c>
      <c r="JI185" s="427">
        <f>B118</f>
        <v>0</v>
      </c>
      <c r="JJ185" s="427">
        <f t="shared" ref="JJ185:JN185" si="65">C118</f>
        <v>0</v>
      </c>
      <c r="JK185" s="427">
        <f t="shared" si="65"/>
        <v>0</v>
      </c>
      <c r="JL185" s="427">
        <f t="shared" si="65"/>
        <v>0</v>
      </c>
      <c r="JM185" s="427">
        <f t="shared" si="65"/>
        <v>0</v>
      </c>
      <c r="JN185" s="427">
        <f t="shared" si="65"/>
        <v>0</v>
      </c>
      <c r="JO185" s="427">
        <f>B119</f>
        <v>-0.15496124334885</v>
      </c>
      <c r="JP185" s="427">
        <f t="shared" ref="JP185:JT185" si="66">C119</f>
        <v>0</v>
      </c>
      <c r="JQ185" s="427">
        <f t="shared" si="66"/>
        <v>0</v>
      </c>
      <c r="JR185" s="427">
        <f t="shared" si="66"/>
        <v>0</v>
      </c>
      <c r="JS185" s="427">
        <f t="shared" si="66"/>
        <v>-1.3435541332540599</v>
      </c>
      <c r="JT185" s="427">
        <f t="shared" si="66"/>
        <v>0</v>
      </c>
      <c r="JU185" s="427">
        <f>B120</f>
        <v>-55.82</v>
      </c>
      <c r="JV185" s="427">
        <f t="shared" ref="JV185:JZ185" si="67">C120</f>
        <v>-11.99</v>
      </c>
      <c r="JW185" s="427">
        <f t="shared" si="67"/>
        <v>-19.61</v>
      </c>
      <c r="JX185" s="427">
        <f t="shared" si="67"/>
        <v>-12.92</v>
      </c>
      <c r="JY185" s="427">
        <f t="shared" si="67"/>
        <v>-0.84497718120804999</v>
      </c>
      <c r="JZ185" s="427">
        <f t="shared" si="67"/>
        <v>-0.9</v>
      </c>
      <c r="KA185" s="427">
        <f>B121</f>
        <v>0</v>
      </c>
      <c r="KB185" s="427">
        <f t="shared" ref="KB185:KF185" si="68">C121</f>
        <v>0</v>
      </c>
      <c r="KC185" s="427">
        <f t="shared" si="68"/>
        <v>0</v>
      </c>
      <c r="KD185" s="427">
        <f t="shared" si="68"/>
        <v>0</v>
      </c>
      <c r="KE185" s="427">
        <f t="shared" si="68"/>
        <v>0</v>
      </c>
      <c r="KF185" s="427">
        <f t="shared" si="68"/>
        <v>0</v>
      </c>
      <c r="KG185" s="427">
        <f>B122</f>
        <v>0</v>
      </c>
      <c r="KH185" s="427">
        <f t="shared" ref="KH185:KL185" si="69">C122</f>
        <v>0</v>
      </c>
      <c r="KI185" s="427">
        <f t="shared" si="69"/>
        <v>0</v>
      </c>
      <c r="KJ185" s="427">
        <f t="shared" si="69"/>
        <v>0</v>
      </c>
      <c r="KK185" s="427">
        <f t="shared" si="69"/>
        <v>0</v>
      </c>
      <c r="KL185" s="427">
        <f t="shared" si="69"/>
        <v>0</v>
      </c>
      <c r="KM185" s="427">
        <f>B123</f>
        <v>0</v>
      </c>
      <c r="KN185" s="427">
        <f t="shared" ref="KN185:KR185" si="70">C123</f>
        <v>0</v>
      </c>
      <c r="KO185" s="427">
        <f t="shared" si="70"/>
        <v>0</v>
      </c>
      <c r="KP185" s="427">
        <f t="shared" si="70"/>
        <v>0</v>
      </c>
      <c r="KQ185" s="427">
        <f t="shared" si="70"/>
        <v>0</v>
      </c>
      <c r="KR185" s="427">
        <f t="shared" si="70"/>
        <v>0</v>
      </c>
      <c r="KS185" s="427">
        <f>B124</f>
        <v>0</v>
      </c>
      <c r="KT185" s="427">
        <f t="shared" ref="KT185:KX185" si="71">C124</f>
        <v>0</v>
      </c>
      <c r="KU185" s="427">
        <f t="shared" si="71"/>
        <v>0</v>
      </c>
      <c r="KV185" s="427">
        <f t="shared" si="71"/>
        <v>0</v>
      </c>
      <c r="KW185" s="427">
        <f t="shared" si="71"/>
        <v>0</v>
      </c>
      <c r="KX185" s="427">
        <f t="shared" si="71"/>
        <v>0</v>
      </c>
      <c r="KY185" s="427">
        <f>B125</f>
        <v>1.0046888903139199</v>
      </c>
      <c r="KZ185" s="427">
        <f t="shared" ref="KZ185:LD185" si="72">C125</f>
        <v>0.16710577309979999</v>
      </c>
      <c r="LA185" s="427">
        <f t="shared" si="72"/>
        <v>-0.20275762945598999</v>
      </c>
      <c r="LB185" s="427">
        <f t="shared" si="72"/>
        <v>1.2390474038300001E-2</v>
      </c>
      <c r="LC185" s="427">
        <f t="shared" si="72"/>
        <v>-5.5329298001249999E-2</v>
      </c>
      <c r="LD185" s="427">
        <f t="shared" si="72"/>
        <v>-0.44750344212965998</v>
      </c>
      <c r="LE185" s="427">
        <f>B126</f>
        <v>-2.6800558377699998E-3</v>
      </c>
      <c r="LF185" s="427">
        <f t="shared" ref="LF185:LJ185" si="73">C126</f>
        <v>0</v>
      </c>
      <c r="LG185" s="427">
        <f t="shared" si="73"/>
        <v>0</v>
      </c>
      <c r="LH185" s="427">
        <f t="shared" si="73"/>
        <v>0</v>
      </c>
      <c r="LI185" s="427">
        <f t="shared" si="73"/>
        <v>4.3345790606010001E-2</v>
      </c>
      <c r="LJ185" s="427">
        <f t="shared" si="73"/>
        <v>0</v>
      </c>
      <c r="LK185" s="427">
        <f>B127</f>
        <v>0</v>
      </c>
      <c r="LL185" s="427">
        <f t="shared" ref="LL185:LP185" si="74">C127</f>
        <v>0</v>
      </c>
      <c r="LM185" s="427">
        <f t="shared" si="74"/>
        <v>0</v>
      </c>
      <c r="LN185" s="427">
        <f t="shared" si="74"/>
        <v>0</v>
      </c>
      <c r="LO185" s="427">
        <f t="shared" si="74"/>
        <v>0.14138326334163001</v>
      </c>
      <c r="LP185" s="427">
        <f t="shared" si="74"/>
        <v>-6.76163329988798</v>
      </c>
      <c r="LQ185" s="427">
        <f>B128</f>
        <v>0.12020443037641</v>
      </c>
      <c r="LR185" s="427">
        <f t="shared" ref="LR185:LV185" si="75">C128</f>
        <v>0</v>
      </c>
      <c r="LS185" s="427">
        <f t="shared" si="75"/>
        <v>0</v>
      </c>
      <c r="LT185" s="427">
        <f t="shared" si="75"/>
        <v>0</v>
      </c>
      <c r="LU185" s="427">
        <f t="shared" si="75"/>
        <v>0</v>
      </c>
      <c r="LV185" s="427">
        <f t="shared" si="75"/>
        <v>-3.11</v>
      </c>
      <c r="LW185" s="427">
        <f>B129</f>
        <v>6.8506595710599999E-3</v>
      </c>
      <c r="LX185" s="427">
        <f t="shared" ref="LX185:MB185" si="76">C129</f>
        <v>0</v>
      </c>
      <c r="LY185" s="427">
        <f t="shared" si="76"/>
        <v>0</v>
      </c>
      <c r="LZ185" s="427">
        <f t="shared" si="76"/>
        <v>0</v>
      </c>
      <c r="MA185" s="427">
        <f t="shared" si="76"/>
        <v>0</v>
      </c>
      <c r="MB185" s="427">
        <f t="shared" si="76"/>
        <v>-0.43889541996992998</v>
      </c>
      <c r="MC185" s="427">
        <f>B130</f>
        <v>0</v>
      </c>
      <c r="MD185" s="427">
        <f t="shared" ref="MD185:MH185" si="77">C130</f>
        <v>0</v>
      </c>
      <c r="ME185" s="427">
        <f t="shared" si="77"/>
        <v>0</v>
      </c>
      <c r="MF185" s="427">
        <f t="shared" si="77"/>
        <v>0</v>
      </c>
      <c r="MG185" s="427">
        <f t="shared" si="77"/>
        <v>0</v>
      </c>
      <c r="MH185" s="427">
        <f t="shared" si="77"/>
        <v>0</v>
      </c>
      <c r="MI185" s="259"/>
      <c r="MJ185" s="259"/>
      <c r="MK185" s="259"/>
      <c r="ML185" s="259"/>
      <c r="MM185" s="259"/>
      <c r="MN185" s="259"/>
      <c r="MO185" s="259"/>
      <c r="MP185" s="259"/>
      <c r="MQ185" s="259"/>
      <c r="MR185" s="259"/>
      <c r="MS185" s="259"/>
      <c r="MT185" s="259"/>
      <c r="MU185" s="259"/>
      <c r="MV185" s="259"/>
      <c r="MW185" s="259"/>
      <c r="MX185" s="259"/>
      <c r="MY185" s="259"/>
      <c r="MZ185" s="259"/>
      <c r="NA185" s="259"/>
      <c r="NB185" s="259"/>
      <c r="NC185" s="259"/>
      <c r="ND185" s="259"/>
      <c r="NE185" s="259"/>
      <c r="NF185" s="259"/>
      <c r="NG185" s="259"/>
      <c r="NH185" s="259"/>
      <c r="NI185" s="259"/>
      <c r="NJ185" s="259"/>
      <c r="NK185" s="259"/>
      <c r="NL185" s="259"/>
      <c r="NM185" s="259"/>
      <c r="NN185" s="259"/>
      <c r="NO185" s="259"/>
      <c r="NP185" s="259"/>
      <c r="NQ185" s="259"/>
      <c r="NR185" s="259"/>
      <c r="NS185" s="259"/>
    </row>
    <row r="186" spans="1:383" ht="20.100000000000001" customHeight="1">
      <c r="U186" s="374" t="s">
        <v>893</v>
      </c>
      <c r="AX186" s="374" t="s">
        <v>893</v>
      </c>
      <c r="BT186" s="374" t="s">
        <v>893</v>
      </c>
      <c r="CD186" s="374" t="s">
        <v>893</v>
      </c>
      <c r="CN186" s="374" t="s">
        <v>893</v>
      </c>
      <c r="CX186" s="374" t="s">
        <v>893</v>
      </c>
      <c r="DC186" s="265"/>
      <c r="DD186" s="265"/>
      <c r="DE186" s="265"/>
      <c r="DF186" s="265"/>
      <c r="DG186" s="265"/>
      <c r="DH186" s="265"/>
      <c r="DI186" s="265"/>
      <c r="DJ186" s="265"/>
      <c r="DK186" s="265"/>
      <c r="DL186" s="265"/>
      <c r="DM186" s="265"/>
      <c r="DN186" s="265"/>
      <c r="DO186" s="265"/>
      <c r="DP186" s="265"/>
      <c r="DQ186" s="265"/>
      <c r="DR186" s="265"/>
      <c r="DS186" s="265"/>
      <c r="DT186" s="265"/>
      <c r="DU186" s="265"/>
      <c r="DV186" s="265"/>
      <c r="DW186" s="265"/>
      <c r="DX186" s="265"/>
      <c r="DY186" s="265"/>
      <c r="DZ186" s="265"/>
      <c r="EA186" s="369"/>
      <c r="EB186" s="369"/>
      <c r="EC186" s="369"/>
      <c r="ED186" s="369"/>
      <c r="EE186" s="370"/>
      <c r="EF186" s="370"/>
      <c r="EG186" s="369"/>
      <c r="EH186" s="369"/>
      <c r="EI186" s="369"/>
      <c r="EJ186" s="369"/>
      <c r="EK186" s="371"/>
      <c r="EL186" s="371"/>
      <c r="EM186" s="369"/>
      <c r="EN186" s="369"/>
      <c r="EO186" s="369"/>
      <c r="EP186" s="369"/>
      <c r="EQ186" s="371"/>
      <c r="ER186" s="371"/>
      <c r="ES186" s="369"/>
      <c r="ET186" s="369"/>
      <c r="EU186" s="369"/>
      <c r="EV186" s="369"/>
      <c r="EW186" s="371"/>
      <c r="EX186" s="371"/>
      <c r="EY186" s="369"/>
      <c r="EZ186" s="369"/>
      <c r="FA186" s="369"/>
      <c r="FB186" s="369"/>
      <c r="FC186" s="371"/>
      <c r="FD186" s="371"/>
      <c r="FE186" s="369"/>
      <c r="FF186" s="369"/>
      <c r="FG186" s="369"/>
      <c r="FH186" s="369"/>
      <c r="FI186" s="371"/>
      <c r="FJ186" s="371"/>
      <c r="FK186" s="372"/>
      <c r="FL186" s="372"/>
      <c r="FM186" s="372"/>
      <c r="FN186" s="372"/>
      <c r="FO186" s="372"/>
      <c r="FP186" s="372"/>
      <c r="FQ186" s="372"/>
      <c r="FR186" s="372"/>
      <c r="FS186" s="372"/>
      <c r="FT186" s="372"/>
      <c r="FU186" s="372"/>
      <c r="FV186" s="372"/>
      <c r="FW186" s="372"/>
      <c r="FX186" s="372"/>
      <c r="FY186" s="372"/>
      <c r="FZ186" s="372"/>
      <c r="GA186" s="372"/>
      <c r="GB186" s="372"/>
      <c r="GC186" s="372"/>
      <c r="GD186" s="372"/>
      <c r="GE186" s="372"/>
      <c r="GF186" s="372"/>
      <c r="GG186" s="372"/>
      <c r="GH186" s="372"/>
      <c r="GI186" s="372"/>
      <c r="GJ186" s="372"/>
      <c r="GK186" s="372"/>
      <c r="GL186" s="372"/>
      <c r="GM186" s="372"/>
      <c r="GN186" s="372"/>
      <c r="GO186" s="372"/>
      <c r="GP186" s="372"/>
      <c r="GQ186" s="372"/>
      <c r="GR186" s="372"/>
      <c r="GS186" s="372"/>
      <c r="GT186" s="372"/>
      <c r="GU186" s="372"/>
      <c r="GV186" s="372"/>
      <c r="GW186" s="372"/>
      <c r="GX186" s="372"/>
      <c r="GY186" s="372"/>
      <c r="GZ186" s="372"/>
      <c r="HA186" s="372"/>
      <c r="HB186" s="372"/>
      <c r="HC186" s="372"/>
      <c r="HD186" s="372"/>
      <c r="HE186" s="372"/>
      <c r="HF186" s="372"/>
      <c r="HG186" s="372"/>
      <c r="HH186" s="372"/>
      <c r="HI186" s="372"/>
      <c r="HJ186" s="372"/>
      <c r="HK186" s="372"/>
      <c r="HL186" s="372"/>
      <c r="HM186" s="372"/>
      <c r="HN186" s="372"/>
      <c r="HO186" s="372"/>
      <c r="HP186" s="372"/>
      <c r="HQ186" s="372"/>
      <c r="HR186" s="372"/>
      <c r="HS186" s="372"/>
      <c r="HT186" s="372"/>
      <c r="HU186" s="372"/>
      <c r="HV186" s="372"/>
      <c r="HW186" s="372"/>
      <c r="HX186" s="372"/>
      <c r="HY186" s="372"/>
      <c r="HZ186" s="372"/>
      <c r="IA186" s="372"/>
      <c r="IB186" s="372"/>
      <c r="IC186" s="372"/>
      <c r="ID186" s="372"/>
      <c r="IE186" s="372"/>
      <c r="IF186" s="372"/>
      <c r="IG186" s="372"/>
      <c r="IH186" s="372"/>
      <c r="II186" s="372"/>
      <c r="IJ186" s="372"/>
      <c r="IK186" s="372"/>
      <c r="IL186" s="372"/>
      <c r="IM186" s="372"/>
      <c r="IN186" s="372"/>
      <c r="IO186" s="372"/>
      <c r="IP186" s="372"/>
      <c r="IQ186" s="372"/>
      <c r="IR186" s="372"/>
      <c r="IS186" s="372"/>
      <c r="IT186" s="372"/>
      <c r="IU186" s="372"/>
      <c r="IV186" s="372"/>
      <c r="IW186" s="372"/>
      <c r="IX186" s="372"/>
      <c r="IY186" s="372"/>
      <c r="IZ186" s="372"/>
      <c r="JA186" s="372"/>
      <c r="JB186" s="372"/>
      <c r="JC186" s="372"/>
      <c r="JD186" s="372"/>
      <c r="JE186" s="372"/>
      <c r="JF186" s="372"/>
      <c r="JG186" s="372"/>
      <c r="JH186" s="372"/>
      <c r="JI186" s="372"/>
      <c r="JJ186" s="372"/>
      <c r="JK186" s="372"/>
      <c r="JL186" s="372"/>
      <c r="JM186" s="372"/>
      <c r="JN186" s="372"/>
      <c r="JO186" s="372"/>
      <c r="JP186" s="372"/>
      <c r="JQ186" s="372"/>
      <c r="JR186" s="372"/>
      <c r="JS186" s="372"/>
      <c r="JT186" s="372"/>
      <c r="JU186" s="372"/>
      <c r="JV186" s="372"/>
      <c r="JW186" s="372"/>
      <c r="JX186" s="372"/>
      <c r="JY186" s="372"/>
      <c r="JZ186" s="372"/>
      <c r="KA186" s="372"/>
      <c r="KB186" s="372"/>
      <c r="KC186" s="372"/>
      <c r="KD186" s="372"/>
      <c r="KE186" s="372"/>
      <c r="KF186" s="372"/>
      <c r="KG186" s="372"/>
      <c r="KH186" s="372"/>
      <c r="KI186" s="372"/>
      <c r="KJ186" s="372"/>
      <c r="KK186" s="372"/>
      <c r="KL186" s="372"/>
      <c r="KM186" s="372"/>
      <c r="KN186" s="372"/>
      <c r="KO186" s="372"/>
      <c r="KP186" s="372"/>
      <c r="KQ186" s="372"/>
      <c r="KR186" s="372"/>
      <c r="KS186" s="372"/>
      <c r="KT186" s="372"/>
      <c r="KU186" s="372"/>
      <c r="KV186" s="372"/>
      <c r="KW186" s="372"/>
      <c r="KX186" s="372"/>
      <c r="KY186" s="372"/>
      <c r="KZ186" s="372"/>
      <c r="LA186" s="372"/>
      <c r="LB186" s="372"/>
      <c r="LC186" s="372"/>
      <c r="LD186" s="372"/>
      <c r="LE186" s="372"/>
      <c r="LF186" s="372"/>
      <c r="LG186" s="372"/>
      <c r="LH186" s="372"/>
      <c r="LI186" s="372"/>
      <c r="LJ186" s="372"/>
      <c r="LK186" s="372"/>
      <c r="LL186" s="372"/>
      <c r="LM186" s="372"/>
      <c r="LN186" s="372"/>
      <c r="LO186" s="372"/>
      <c r="LP186" s="372"/>
      <c r="LQ186" s="372"/>
      <c r="LR186" s="372"/>
      <c r="LS186" s="372"/>
      <c r="LT186" s="372"/>
      <c r="LU186" s="372"/>
      <c r="LV186" s="372"/>
      <c r="LW186" s="372"/>
      <c r="LX186" s="372"/>
      <c r="LY186" s="372"/>
      <c r="LZ186" s="372"/>
      <c r="MA186" s="372"/>
      <c r="MB186" s="372"/>
      <c r="MC186" s="372"/>
      <c r="MD186" s="372"/>
      <c r="ME186" s="372"/>
      <c r="MF186" s="372"/>
      <c r="MG186" s="372"/>
      <c r="MH186" s="372"/>
    </row>
    <row r="187" spans="1:383" ht="20.100000000000001" customHeight="1">
      <c r="EA187" s="265"/>
      <c r="EB187" s="265"/>
      <c r="EC187" s="265"/>
      <c r="ED187" s="265"/>
      <c r="EE187" s="265"/>
      <c r="EF187" s="265"/>
      <c r="EG187" s="265"/>
      <c r="EH187" s="265"/>
      <c r="EI187" s="265"/>
      <c r="EJ187" s="265"/>
      <c r="EK187" s="265"/>
      <c r="EL187" s="265"/>
      <c r="EM187" s="265"/>
      <c r="EN187" s="265"/>
      <c r="EO187" s="265"/>
      <c r="EP187" s="265"/>
      <c r="EQ187" s="265"/>
      <c r="ER187" s="265"/>
      <c r="ES187" s="265"/>
      <c r="ET187" s="265"/>
      <c r="EU187" s="265"/>
      <c r="EV187" s="265"/>
      <c r="EW187" s="265"/>
      <c r="EX187" s="265"/>
      <c r="EY187" s="265"/>
      <c r="EZ187" s="265"/>
      <c r="FA187" s="265"/>
      <c r="FB187" s="265"/>
      <c r="FC187" s="265"/>
      <c r="FD187" s="265"/>
      <c r="FE187" s="265"/>
      <c r="FF187" s="265"/>
      <c r="FG187" s="265"/>
      <c r="FH187" s="265"/>
      <c r="FI187" s="265"/>
      <c r="FJ187" s="265"/>
      <c r="FK187" s="372"/>
      <c r="FL187" s="372"/>
      <c r="FM187" s="372"/>
      <c r="FN187" s="372"/>
      <c r="FO187" s="372"/>
      <c r="FP187" s="372"/>
      <c r="FQ187" s="372"/>
      <c r="FR187" s="372"/>
      <c r="FS187" s="372"/>
      <c r="FT187" s="372"/>
      <c r="FU187" s="372"/>
      <c r="FV187" s="372"/>
      <c r="FW187" s="372"/>
      <c r="FX187" s="372"/>
      <c r="FY187" s="372"/>
      <c r="FZ187" s="372"/>
      <c r="GA187" s="372"/>
      <c r="GB187" s="372"/>
      <c r="GC187" s="372"/>
      <c r="GD187" s="372"/>
      <c r="GE187" s="372"/>
      <c r="GF187" s="372"/>
      <c r="GG187" s="372"/>
      <c r="GH187" s="372"/>
      <c r="GI187" s="372"/>
      <c r="GJ187" s="372"/>
      <c r="GK187" s="372"/>
      <c r="GL187" s="372"/>
      <c r="GM187" s="372"/>
      <c r="GN187" s="372"/>
      <c r="GO187" s="372"/>
      <c r="GP187" s="372"/>
      <c r="GQ187" s="372"/>
      <c r="GR187" s="372"/>
      <c r="GS187" s="372"/>
      <c r="GT187" s="372"/>
      <c r="GU187" s="372"/>
      <c r="GV187" s="372"/>
      <c r="GW187" s="372"/>
      <c r="GX187" s="372"/>
      <c r="GY187" s="372"/>
      <c r="GZ187" s="372"/>
      <c r="HA187" s="372"/>
      <c r="HB187" s="372"/>
      <c r="HC187" s="372"/>
      <c r="HD187" s="372"/>
      <c r="HE187" s="372"/>
      <c r="HF187" s="372"/>
      <c r="HG187" s="372"/>
      <c r="HH187" s="372"/>
      <c r="HI187" s="372"/>
      <c r="HJ187" s="372"/>
      <c r="HK187" s="372"/>
      <c r="HL187" s="372"/>
      <c r="HM187" s="372"/>
      <c r="HN187" s="372"/>
      <c r="HO187" s="372"/>
      <c r="HP187" s="372"/>
      <c r="HQ187" s="372"/>
      <c r="HR187" s="372"/>
      <c r="HS187" s="372"/>
      <c r="HT187" s="372"/>
      <c r="HU187" s="372"/>
      <c r="HV187" s="372"/>
      <c r="HW187" s="372"/>
      <c r="HX187" s="372"/>
      <c r="HY187" s="372"/>
      <c r="HZ187" s="372"/>
      <c r="IA187" s="372"/>
      <c r="IB187" s="372"/>
      <c r="IC187" s="372"/>
      <c r="ID187" s="372"/>
      <c r="IE187" s="372"/>
      <c r="IF187" s="372"/>
      <c r="IG187" s="372"/>
      <c r="IH187" s="372"/>
      <c r="II187" s="372"/>
      <c r="IJ187" s="372"/>
      <c r="IK187" s="372"/>
      <c r="IL187" s="372"/>
      <c r="IM187" s="372"/>
      <c r="IN187" s="372"/>
      <c r="IO187" s="372"/>
      <c r="IP187" s="372"/>
      <c r="IQ187" s="372"/>
      <c r="IR187" s="372"/>
      <c r="IS187" s="372"/>
      <c r="IT187" s="372"/>
      <c r="IU187" s="372"/>
      <c r="IV187" s="372"/>
      <c r="IW187" s="372"/>
      <c r="IX187" s="372"/>
      <c r="IY187" s="372"/>
      <c r="IZ187" s="372"/>
      <c r="JA187" s="372"/>
      <c r="JB187" s="372"/>
      <c r="JC187" s="372"/>
      <c r="JD187" s="372"/>
      <c r="JE187" s="372"/>
      <c r="JF187" s="372"/>
      <c r="JG187" s="372"/>
      <c r="JH187" s="372"/>
      <c r="JI187" s="372"/>
      <c r="JJ187" s="372"/>
      <c r="JK187" s="372"/>
      <c r="JL187" s="372"/>
      <c r="JM187" s="372"/>
      <c r="JN187" s="372"/>
      <c r="JO187" s="372"/>
      <c r="JP187" s="372"/>
      <c r="JQ187" s="372"/>
      <c r="JR187" s="372"/>
      <c r="JS187" s="372"/>
      <c r="JT187" s="372"/>
      <c r="JU187" s="372"/>
      <c r="JV187" s="372"/>
      <c r="JW187" s="372"/>
      <c r="JX187" s="372"/>
      <c r="JY187" s="372"/>
      <c r="JZ187" s="372"/>
      <c r="KA187" s="372"/>
      <c r="KB187" s="372"/>
      <c r="KC187" s="372"/>
      <c r="KD187" s="372"/>
      <c r="KE187" s="372"/>
      <c r="KF187" s="372"/>
      <c r="KG187" s="372"/>
      <c r="KH187" s="372"/>
      <c r="KI187" s="372"/>
      <c r="KJ187" s="372"/>
      <c r="KK187" s="372"/>
      <c r="KL187" s="372"/>
      <c r="KM187" s="372"/>
      <c r="KN187" s="372"/>
      <c r="KO187" s="372"/>
      <c r="KP187" s="372"/>
      <c r="KQ187" s="372"/>
      <c r="KR187" s="372"/>
      <c r="KS187" s="372"/>
      <c r="KT187" s="372"/>
      <c r="KU187" s="372"/>
      <c r="KV187" s="372"/>
      <c r="KW187" s="372"/>
      <c r="KX187" s="372"/>
      <c r="KY187" s="372"/>
      <c r="KZ187" s="372"/>
      <c r="LA187" s="372"/>
      <c r="LB187" s="372"/>
      <c r="LC187" s="372"/>
      <c r="LD187" s="372"/>
      <c r="LE187" s="372"/>
      <c r="LF187" s="372"/>
      <c r="LG187" s="372"/>
      <c r="LH187" s="372"/>
      <c r="LI187" s="372"/>
      <c r="LJ187" s="372"/>
      <c r="LK187" s="372"/>
      <c r="LL187" s="372"/>
      <c r="LM187" s="372"/>
      <c r="LN187" s="372"/>
      <c r="LO187" s="372"/>
      <c r="LP187" s="372"/>
      <c r="LQ187" s="372"/>
      <c r="LR187" s="372"/>
      <c r="LS187" s="372"/>
      <c r="LT187" s="372"/>
      <c r="LU187" s="372"/>
      <c r="LV187" s="372"/>
      <c r="LW187" s="372"/>
      <c r="LX187" s="372"/>
      <c r="LY187" s="372"/>
      <c r="LZ187" s="372"/>
      <c r="MA187" s="372"/>
      <c r="MB187" s="372"/>
      <c r="MC187" s="372"/>
      <c r="MD187" s="372"/>
      <c r="ME187" s="372"/>
      <c r="MF187" s="372"/>
      <c r="MG187" s="372"/>
      <c r="MH187" s="372"/>
      <c r="MI187" s="372"/>
      <c r="MJ187" s="372"/>
      <c r="MK187" s="372"/>
      <c r="ML187" s="372"/>
      <c r="MM187" s="372"/>
      <c r="MN187" s="372"/>
      <c r="MO187" s="372"/>
      <c r="MP187" s="372"/>
      <c r="MQ187" s="372"/>
      <c r="MR187" s="372"/>
      <c r="MS187" s="372"/>
      <c r="MT187" s="372"/>
      <c r="MU187" s="372"/>
      <c r="MV187" s="372"/>
      <c r="MW187" s="372"/>
      <c r="MX187" s="372"/>
      <c r="MY187" s="372"/>
      <c r="MZ187" s="372"/>
      <c r="NA187" s="372"/>
      <c r="NB187" s="372"/>
      <c r="NC187" s="372"/>
      <c r="ND187" s="372"/>
      <c r="NE187" s="372"/>
      <c r="NF187" s="372"/>
      <c r="NG187" s="372"/>
      <c r="NH187" s="372"/>
      <c r="NI187" s="372"/>
      <c r="NJ187" s="372"/>
      <c r="NK187" s="372"/>
      <c r="NL187" s="372"/>
      <c r="NM187" s="372"/>
      <c r="NN187" s="372"/>
      <c r="NO187" s="372"/>
      <c r="NP187" s="372"/>
      <c r="NQ187" s="372"/>
      <c r="NR187" s="372"/>
    </row>
  </sheetData>
  <mergeCells count="6">
    <mergeCell ref="B2:F2"/>
    <mergeCell ref="D29:E29"/>
    <mergeCell ref="A93:A94"/>
    <mergeCell ref="B93:C93"/>
    <mergeCell ref="D93:E93"/>
    <mergeCell ref="F93:G9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ommandButton2">
          <controlPr defaultSize="0" autoLine="0" r:id="rId5">
            <anchor moveWithCells="1">
              <from>
                <xdr:col>1</xdr:col>
                <xdr:colOff>542925</xdr:colOff>
                <xdr:row>177</xdr:row>
                <xdr:rowOff>238125</xdr:rowOff>
              </from>
              <to>
                <xdr:col>3</xdr:col>
                <xdr:colOff>647700</xdr:colOff>
                <xdr:row>179</xdr:row>
                <xdr:rowOff>180975</xdr:rowOff>
              </to>
            </anchor>
          </controlPr>
        </control>
      </mc:Choice>
      <mc:Fallback>
        <control shapeId="11269" r:id="rId4" name="CommandButton2"/>
      </mc:Fallback>
    </mc:AlternateContent>
    <mc:AlternateContent xmlns:mc="http://schemas.openxmlformats.org/markup-compatibility/2006">
      <mc:Choice Requires="x14">
        <control shapeId="11268" r:id="rId6" name="CommandButton1">
          <controlPr defaultSize="0" autoLine="0" r:id="rId7">
            <anchor moveWithCells="1">
              <from>
                <xdr:col>0</xdr:col>
                <xdr:colOff>542925</xdr:colOff>
                <xdr:row>177</xdr:row>
                <xdr:rowOff>238125</xdr:rowOff>
              </from>
              <to>
                <xdr:col>0</xdr:col>
                <xdr:colOff>2076450</xdr:colOff>
                <xdr:row>179</xdr:row>
                <xdr:rowOff>180975</xdr:rowOff>
              </to>
            </anchor>
          </controlPr>
        </control>
      </mc:Choice>
      <mc:Fallback>
        <control shapeId="11268" r:id="rId6" name="CommandButton1"/>
      </mc:Fallback>
    </mc:AlternateContent>
    <mc:AlternateContent xmlns:mc="http://schemas.openxmlformats.org/markup-compatibility/2006">
      <mc:Choice Requires="x14">
        <control shapeId="2" r:id="rId8" name="Drop Down 1">
          <controlPr defaultSize="0" autoLine="0" autoPict="0">
            <anchor moveWithCells="1">
              <from>
                <xdr:col>1</xdr:col>
                <xdr:colOff>0</xdr:colOff>
                <xdr:row>3</xdr:row>
                <xdr:rowOff>19050</xdr:rowOff>
              </from>
              <to>
                <xdr:col>2</xdr:col>
                <xdr:colOff>657225</xdr:colOff>
                <xdr:row>4</xdr:row>
                <xdr:rowOff>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34998626667073579"/>
  </sheetPr>
  <dimension ref="A1:MH16"/>
  <sheetViews>
    <sheetView workbookViewId="0">
      <selection activeCell="K13" sqref="K13"/>
    </sheetView>
  </sheetViews>
  <sheetFormatPr defaultRowHeight="15"/>
  <sheetData>
    <row r="1" spans="1:346" ht="115.5">
      <c r="A1" s="56" t="s">
        <v>385</v>
      </c>
      <c r="B1" s="263" t="s">
        <v>379</v>
      </c>
      <c r="C1" s="264" t="s">
        <v>114</v>
      </c>
      <c r="D1" s="265" t="s">
        <v>115</v>
      </c>
      <c r="E1" s="266" t="s">
        <v>116</v>
      </c>
      <c r="F1" s="265" t="s">
        <v>224</v>
      </c>
      <c r="G1" s="265" t="s">
        <v>239</v>
      </c>
      <c r="H1" s="265" t="s">
        <v>240</v>
      </c>
      <c r="I1" s="265" t="s">
        <v>241</v>
      </c>
      <c r="J1" s="267" t="s">
        <v>40</v>
      </c>
      <c r="K1" s="265" t="s">
        <v>41</v>
      </c>
      <c r="L1" s="265" t="s">
        <v>57</v>
      </c>
      <c r="M1" s="265" t="s">
        <v>117</v>
      </c>
      <c r="N1" s="265" t="s">
        <v>118</v>
      </c>
      <c r="O1" s="265" t="s">
        <v>119</v>
      </c>
      <c r="P1" s="265" t="s">
        <v>229</v>
      </c>
      <c r="Q1" s="265" t="s">
        <v>230</v>
      </c>
      <c r="R1" s="265" t="s">
        <v>231</v>
      </c>
      <c r="S1" s="265" t="s">
        <v>232</v>
      </c>
      <c r="T1" s="265" t="s">
        <v>233</v>
      </c>
      <c r="U1" s="265" t="s">
        <v>338</v>
      </c>
      <c r="V1" s="265" t="s">
        <v>339</v>
      </c>
      <c r="W1" s="265" t="s">
        <v>341</v>
      </c>
      <c r="X1" s="265" t="s">
        <v>340</v>
      </c>
      <c r="Y1" s="266" t="s">
        <v>342</v>
      </c>
      <c r="Z1" s="268" t="s">
        <v>43</v>
      </c>
      <c r="AA1" s="265" t="s">
        <v>42</v>
      </c>
      <c r="AB1" s="265" t="s">
        <v>58</v>
      </c>
      <c r="AC1" s="265" t="s">
        <v>117</v>
      </c>
      <c r="AD1" s="265" t="s">
        <v>118</v>
      </c>
      <c r="AE1" s="265" t="s">
        <v>119</v>
      </c>
      <c r="AF1" s="265" t="s">
        <v>242</v>
      </c>
      <c r="AG1" s="265" t="s">
        <v>243</v>
      </c>
      <c r="AH1" s="265" t="s">
        <v>244</v>
      </c>
      <c r="AI1" s="265" t="s">
        <v>245</v>
      </c>
      <c r="AJ1" s="265" t="s">
        <v>246</v>
      </c>
      <c r="AK1" s="265" t="s">
        <v>249</v>
      </c>
      <c r="AL1" s="265" t="s">
        <v>247</v>
      </c>
      <c r="AM1" s="265" t="s">
        <v>256</v>
      </c>
      <c r="AN1" s="265" t="s">
        <v>248</v>
      </c>
      <c r="AO1" s="265" t="s">
        <v>250</v>
      </c>
      <c r="AP1" s="265" t="s">
        <v>257</v>
      </c>
      <c r="AQ1" s="265" t="s">
        <v>251</v>
      </c>
      <c r="AR1" s="265" t="s">
        <v>252</v>
      </c>
      <c r="AS1" s="265" t="s">
        <v>253</v>
      </c>
      <c r="AT1" s="265" t="s">
        <v>254</v>
      </c>
      <c r="AU1" s="265" t="s">
        <v>299</v>
      </c>
      <c r="AV1" s="265" t="s">
        <v>255</v>
      </c>
      <c r="AW1" s="265" t="s">
        <v>338</v>
      </c>
      <c r="AX1" s="265" t="s">
        <v>339</v>
      </c>
      <c r="AY1" s="265" t="s">
        <v>341</v>
      </c>
      <c r="AZ1" s="265" t="s">
        <v>340</v>
      </c>
      <c r="BA1" s="266" t="s">
        <v>342</v>
      </c>
      <c r="BB1" s="264" t="s">
        <v>45</v>
      </c>
      <c r="BC1" s="265" t="s">
        <v>44</v>
      </c>
      <c r="BD1" s="265" t="s">
        <v>46</v>
      </c>
      <c r="BE1" s="265" t="s">
        <v>124</v>
      </c>
      <c r="BF1" s="265" t="s">
        <v>125</v>
      </c>
      <c r="BG1" s="266" t="s">
        <v>126</v>
      </c>
      <c r="BH1" s="265" t="s">
        <v>47</v>
      </c>
      <c r="BI1" s="265" t="s">
        <v>48</v>
      </c>
      <c r="BJ1" s="265" t="s">
        <v>49</v>
      </c>
      <c r="BK1" s="265" t="s">
        <v>124</v>
      </c>
      <c r="BL1" s="265" t="s">
        <v>125</v>
      </c>
      <c r="BM1" s="266" t="s">
        <v>126</v>
      </c>
      <c r="BN1" s="265" t="s">
        <v>50</v>
      </c>
      <c r="BO1" s="265" t="s">
        <v>51</v>
      </c>
      <c r="BP1" s="265" t="s">
        <v>52</v>
      </c>
      <c r="BQ1" s="265" t="s">
        <v>124</v>
      </c>
      <c r="BR1" s="265" t="s">
        <v>125</v>
      </c>
      <c r="BS1" s="265" t="s">
        <v>126</v>
      </c>
      <c r="BT1" s="265" t="s">
        <v>338</v>
      </c>
      <c r="BU1" s="265" t="s">
        <v>339</v>
      </c>
      <c r="BV1" s="265" t="s">
        <v>341</v>
      </c>
      <c r="BW1" s="265" t="s">
        <v>340</v>
      </c>
      <c r="BX1" s="266" t="s">
        <v>342</v>
      </c>
      <c r="BY1" s="265" t="s">
        <v>272</v>
      </c>
      <c r="BZ1" s="265" t="s">
        <v>273</v>
      </c>
      <c r="CA1" s="265" t="s">
        <v>124</v>
      </c>
      <c r="CB1" s="265" t="s">
        <v>222</v>
      </c>
      <c r="CC1" s="265" t="s">
        <v>223</v>
      </c>
      <c r="CD1" s="265" t="s">
        <v>338</v>
      </c>
      <c r="CE1" s="265" t="s">
        <v>339</v>
      </c>
      <c r="CF1" s="265" t="s">
        <v>341</v>
      </c>
      <c r="CG1" s="265" t="s">
        <v>340</v>
      </c>
      <c r="CH1" s="266" t="s">
        <v>342</v>
      </c>
      <c r="CI1" s="265" t="s">
        <v>53</v>
      </c>
      <c r="CJ1" s="265" t="s">
        <v>56</v>
      </c>
      <c r="CK1" s="265" t="s">
        <v>124</v>
      </c>
      <c r="CL1" s="265" t="s">
        <v>125</v>
      </c>
      <c r="CM1" s="265" t="s">
        <v>126</v>
      </c>
      <c r="CN1" s="265" t="s">
        <v>338</v>
      </c>
      <c r="CO1" s="265" t="s">
        <v>339</v>
      </c>
      <c r="CP1" s="265" t="s">
        <v>341</v>
      </c>
      <c r="CQ1" s="265" t="s">
        <v>340</v>
      </c>
      <c r="CR1" s="266" t="s">
        <v>342</v>
      </c>
      <c r="CS1" s="265" t="s">
        <v>54</v>
      </c>
      <c r="CT1" s="265" t="s">
        <v>55</v>
      </c>
      <c r="CU1" s="265" t="s">
        <v>124</v>
      </c>
      <c r="CV1" s="265" t="s">
        <v>125</v>
      </c>
      <c r="CW1" s="265" t="s">
        <v>126</v>
      </c>
      <c r="CX1" s="265" t="s">
        <v>338</v>
      </c>
      <c r="CY1" s="265" t="s">
        <v>339</v>
      </c>
      <c r="CZ1" s="265" t="s">
        <v>341</v>
      </c>
      <c r="DA1" s="265" t="s">
        <v>340</v>
      </c>
      <c r="DB1" s="266" t="s">
        <v>342</v>
      </c>
      <c r="DC1" s="265" t="s">
        <v>898</v>
      </c>
      <c r="DD1" s="265" t="s">
        <v>895</v>
      </c>
      <c r="DE1" s="265" t="s">
        <v>896</v>
      </c>
      <c r="DF1" s="265" t="s">
        <v>897</v>
      </c>
      <c r="DG1" s="265" t="s">
        <v>899</v>
      </c>
      <c r="DH1" s="265" t="s">
        <v>904</v>
      </c>
      <c r="DI1" s="265" t="s">
        <v>905</v>
      </c>
      <c r="DJ1" s="265" t="s">
        <v>906</v>
      </c>
      <c r="DK1" s="265" t="s">
        <v>900</v>
      </c>
      <c r="DL1" s="265" t="s">
        <v>907</v>
      </c>
      <c r="DM1" s="265" t="s">
        <v>908</v>
      </c>
      <c r="DN1" s="265" t="s">
        <v>909</v>
      </c>
      <c r="DO1" s="265" t="s">
        <v>901</v>
      </c>
      <c r="DP1" s="265" t="s">
        <v>910</v>
      </c>
      <c r="DQ1" s="265" t="s">
        <v>911</v>
      </c>
      <c r="DR1" s="265" t="s">
        <v>912</v>
      </c>
      <c r="DS1" s="265" t="s">
        <v>902</v>
      </c>
      <c r="DT1" s="265" t="s">
        <v>913</v>
      </c>
      <c r="DU1" s="265" t="s">
        <v>914</v>
      </c>
      <c r="DV1" s="265" t="s">
        <v>915</v>
      </c>
      <c r="DW1" s="265" t="s">
        <v>903</v>
      </c>
      <c r="DX1" s="265" t="s">
        <v>916</v>
      </c>
      <c r="DY1" s="265" t="s">
        <v>917</v>
      </c>
      <c r="DZ1" s="266" t="s">
        <v>918</v>
      </c>
      <c r="EA1" s="367" t="s">
        <v>485</v>
      </c>
      <c r="EB1" s="367" t="s">
        <v>486</v>
      </c>
      <c r="EC1" s="367" t="s">
        <v>487</v>
      </c>
      <c r="ED1" s="367" t="s">
        <v>488</v>
      </c>
      <c r="EE1" s="367" t="s">
        <v>489</v>
      </c>
      <c r="EF1" s="428" t="s">
        <v>490</v>
      </c>
      <c r="EG1" s="367" t="s">
        <v>491</v>
      </c>
      <c r="EH1" s="367" t="s">
        <v>492</v>
      </c>
      <c r="EI1" s="367" t="s">
        <v>493</v>
      </c>
      <c r="EJ1" s="367" t="s">
        <v>494</v>
      </c>
      <c r="EK1" s="367" t="s">
        <v>495</v>
      </c>
      <c r="EL1" s="428" t="s">
        <v>496</v>
      </c>
      <c r="EM1" s="367" t="s">
        <v>497</v>
      </c>
      <c r="EN1" s="367" t="s">
        <v>498</v>
      </c>
      <c r="EO1" s="367" t="s">
        <v>499</v>
      </c>
      <c r="EP1" s="367" t="s">
        <v>500</v>
      </c>
      <c r="EQ1" s="367" t="s">
        <v>501</v>
      </c>
      <c r="ER1" s="428" t="s">
        <v>502</v>
      </c>
      <c r="ES1" s="367" t="s">
        <v>503</v>
      </c>
      <c r="ET1" s="367" t="s">
        <v>504</v>
      </c>
      <c r="EU1" s="367" t="s">
        <v>505</v>
      </c>
      <c r="EV1" s="367" t="s">
        <v>506</v>
      </c>
      <c r="EW1" s="367" t="s">
        <v>507</v>
      </c>
      <c r="EX1" s="428" t="s">
        <v>508</v>
      </c>
      <c r="EY1" s="367" t="s">
        <v>509</v>
      </c>
      <c r="EZ1" s="367" t="s">
        <v>510</v>
      </c>
      <c r="FA1" s="367" t="s">
        <v>511</v>
      </c>
      <c r="FB1" s="367" t="s">
        <v>512</v>
      </c>
      <c r="FC1" s="367" t="s">
        <v>513</v>
      </c>
      <c r="FD1" s="428" t="s">
        <v>514</v>
      </c>
      <c r="FE1" s="367" t="s">
        <v>515</v>
      </c>
      <c r="FF1" s="367" t="s">
        <v>516</v>
      </c>
      <c r="FG1" s="367" t="s">
        <v>517</v>
      </c>
      <c r="FH1" s="367" t="s">
        <v>518</v>
      </c>
      <c r="FI1" s="367" t="s">
        <v>519</v>
      </c>
      <c r="FJ1" s="428" t="s">
        <v>520</v>
      </c>
      <c r="FK1" s="367" t="s">
        <v>521</v>
      </c>
      <c r="FL1" s="367" t="s">
        <v>522</v>
      </c>
      <c r="FM1" s="367" t="s">
        <v>523</v>
      </c>
      <c r="FN1" s="367" t="s">
        <v>524</v>
      </c>
      <c r="FO1" s="367" t="s">
        <v>525</v>
      </c>
      <c r="FP1" s="428" t="s">
        <v>526</v>
      </c>
      <c r="FQ1" s="367" t="s">
        <v>527</v>
      </c>
      <c r="FR1" s="367" t="s">
        <v>528</v>
      </c>
      <c r="FS1" s="367" t="s">
        <v>529</v>
      </c>
      <c r="FT1" s="367" t="s">
        <v>530</v>
      </c>
      <c r="FU1" s="367" t="s">
        <v>531</v>
      </c>
      <c r="FV1" s="428" t="s">
        <v>532</v>
      </c>
      <c r="FW1" s="367" t="s">
        <v>533</v>
      </c>
      <c r="FX1" s="367" t="s">
        <v>534</v>
      </c>
      <c r="FY1" s="367" t="s">
        <v>535</v>
      </c>
      <c r="FZ1" s="367" t="s">
        <v>536</v>
      </c>
      <c r="GA1" s="367" t="s">
        <v>537</v>
      </c>
      <c r="GB1" s="428" t="s">
        <v>538</v>
      </c>
      <c r="GC1" s="367" t="s">
        <v>539</v>
      </c>
      <c r="GD1" s="367" t="s">
        <v>540</v>
      </c>
      <c r="GE1" s="367" t="s">
        <v>541</v>
      </c>
      <c r="GF1" s="367" t="s">
        <v>542</v>
      </c>
      <c r="GG1" s="367" t="s">
        <v>543</v>
      </c>
      <c r="GH1" s="428" t="s">
        <v>544</v>
      </c>
      <c r="GI1" s="367" t="s">
        <v>545</v>
      </c>
      <c r="GJ1" s="367" t="s">
        <v>546</v>
      </c>
      <c r="GK1" s="367" t="s">
        <v>547</v>
      </c>
      <c r="GL1" s="367" t="s">
        <v>548</v>
      </c>
      <c r="GM1" s="367" t="s">
        <v>549</v>
      </c>
      <c r="GN1" s="428" t="s">
        <v>550</v>
      </c>
      <c r="GO1" s="367" t="s">
        <v>551</v>
      </c>
      <c r="GP1" s="367" t="s">
        <v>552</v>
      </c>
      <c r="GQ1" s="367" t="s">
        <v>553</v>
      </c>
      <c r="GR1" s="367" t="s">
        <v>554</v>
      </c>
      <c r="GS1" s="367" t="s">
        <v>555</v>
      </c>
      <c r="GT1" s="428" t="s">
        <v>556</v>
      </c>
      <c r="GU1" s="367" t="s">
        <v>557</v>
      </c>
      <c r="GV1" s="367" t="s">
        <v>558</v>
      </c>
      <c r="GW1" s="367" t="s">
        <v>559</v>
      </c>
      <c r="GX1" s="367" t="s">
        <v>560</v>
      </c>
      <c r="GY1" s="367" t="s">
        <v>561</v>
      </c>
      <c r="GZ1" s="428" t="s">
        <v>562</v>
      </c>
      <c r="HA1" s="367" t="s">
        <v>563</v>
      </c>
      <c r="HB1" s="367" t="s">
        <v>564</v>
      </c>
      <c r="HC1" s="367" t="s">
        <v>565</v>
      </c>
      <c r="HD1" s="367" t="s">
        <v>566</v>
      </c>
      <c r="HE1" s="367" t="s">
        <v>567</v>
      </c>
      <c r="HF1" s="428" t="s">
        <v>568</v>
      </c>
      <c r="HG1" s="367" t="s">
        <v>569</v>
      </c>
      <c r="HH1" s="367" t="s">
        <v>570</v>
      </c>
      <c r="HI1" s="367" t="s">
        <v>571</v>
      </c>
      <c r="HJ1" s="367" t="s">
        <v>572</v>
      </c>
      <c r="HK1" s="367" t="s">
        <v>573</v>
      </c>
      <c r="HL1" s="428" t="s">
        <v>574</v>
      </c>
      <c r="HM1" s="367" t="s">
        <v>959</v>
      </c>
      <c r="HN1" s="367" t="s">
        <v>960</v>
      </c>
      <c r="HO1" s="367" t="s">
        <v>961</v>
      </c>
      <c r="HP1" s="367" t="s">
        <v>962</v>
      </c>
      <c r="HQ1" s="367" t="s">
        <v>963</v>
      </c>
      <c r="HR1" s="428" t="s">
        <v>964</v>
      </c>
      <c r="HS1" s="367" t="s">
        <v>966</v>
      </c>
      <c r="HT1" s="367" t="s">
        <v>967</v>
      </c>
      <c r="HU1" s="367" t="s">
        <v>968</v>
      </c>
      <c r="HV1" s="367" t="s">
        <v>969</v>
      </c>
      <c r="HW1" s="367" t="s">
        <v>970</v>
      </c>
      <c r="HX1" s="428" t="s">
        <v>971</v>
      </c>
      <c r="HY1" s="367" t="s">
        <v>973</v>
      </c>
      <c r="HZ1" s="367" t="s">
        <v>974</v>
      </c>
      <c r="IA1" s="367" t="s">
        <v>975</v>
      </c>
      <c r="IB1" s="367" t="s">
        <v>976</v>
      </c>
      <c r="IC1" s="367" t="s">
        <v>977</v>
      </c>
      <c r="ID1" s="428" t="s">
        <v>978</v>
      </c>
      <c r="IE1" s="367" t="s">
        <v>980</v>
      </c>
      <c r="IF1" s="367" t="s">
        <v>981</v>
      </c>
      <c r="IG1" s="367" t="s">
        <v>982</v>
      </c>
      <c r="IH1" s="367" t="s">
        <v>983</v>
      </c>
      <c r="II1" s="367" t="s">
        <v>984</v>
      </c>
      <c r="IJ1" s="428" t="s">
        <v>985</v>
      </c>
      <c r="IK1" s="367" t="s">
        <v>987</v>
      </c>
      <c r="IL1" s="367" t="s">
        <v>988</v>
      </c>
      <c r="IM1" s="367" t="s">
        <v>989</v>
      </c>
      <c r="IN1" s="367" t="s">
        <v>990</v>
      </c>
      <c r="IO1" s="367" t="s">
        <v>991</v>
      </c>
      <c r="IP1" s="428" t="s">
        <v>992</v>
      </c>
      <c r="IQ1" s="367" t="s">
        <v>575</v>
      </c>
      <c r="IR1" s="367" t="s">
        <v>576</v>
      </c>
      <c r="IS1" s="367" t="s">
        <v>577</v>
      </c>
      <c r="IT1" s="367" t="s">
        <v>578</v>
      </c>
      <c r="IU1" s="367" t="s">
        <v>579</v>
      </c>
      <c r="IV1" s="428" t="s">
        <v>580</v>
      </c>
      <c r="IW1" s="367" t="s">
        <v>581</v>
      </c>
      <c r="IX1" s="367" t="s">
        <v>582</v>
      </c>
      <c r="IY1" s="367" t="s">
        <v>583</v>
      </c>
      <c r="IZ1" s="367" t="s">
        <v>584</v>
      </c>
      <c r="JA1" s="367" t="s">
        <v>585</v>
      </c>
      <c r="JB1" s="428" t="s">
        <v>586</v>
      </c>
      <c r="JC1" s="367" t="s">
        <v>587</v>
      </c>
      <c r="JD1" s="367" t="s">
        <v>588</v>
      </c>
      <c r="JE1" s="367" t="s">
        <v>589</v>
      </c>
      <c r="JF1" s="367" t="s">
        <v>590</v>
      </c>
      <c r="JG1" s="367" t="s">
        <v>591</v>
      </c>
      <c r="JH1" s="428" t="s">
        <v>592</v>
      </c>
      <c r="JI1" s="367" t="s">
        <v>593</v>
      </c>
      <c r="JJ1" s="367" t="s">
        <v>594</v>
      </c>
      <c r="JK1" s="367" t="s">
        <v>595</v>
      </c>
      <c r="JL1" s="367" t="s">
        <v>596</v>
      </c>
      <c r="JM1" s="367" t="s">
        <v>597</v>
      </c>
      <c r="JN1" s="428" t="s">
        <v>598</v>
      </c>
      <c r="JO1" s="367" t="s">
        <v>599</v>
      </c>
      <c r="JP1" s="367" t="s">
        <v>600</v>
      </c>
      <c r="JQ1" s="367" t="s">
        <v>601</v>
      </c>
      <c r="JR1" s="367" t="s">
        <v>602</v>
      </c>
      <c r="JS1" s="367" t="s">
        <v>603</v>
      </c>
      <c r="JT1" s="428" t="s">
        <v>604</v>
      </c>
      <c r="JU1" s="367" t="s">
        <v>605</v>
      </c>
      <c r="JV1" s="367" t="s">
        <v>606</v>
      </c>
      <c r="JW1" s="367" t="s">
        <v>607</v>
      </c>
      <c r="JX1" s="367" t="s">
        <v>608</v>
      </c>
      <c r="JY1" s="367" t="s">
        <v>609</v>
      </c>
      <c r="JZ1" s="428" t="s">
        <v>610</v>
      </c>
      <c r="KA1" s="367" t="s">
        <v>611</v>
      </c>
      <c r="KB1" s="367" t="s">
        <v>612</v>
      </c>
      <c r="KC1" s="367" t="s">
        <v>613</v>
      </c>
      <c r="KD1" s="367" t="s">
        <v>614</v>
      </c>
      <c r="KE1" s="367" t="s">
        <v>615</v>
      </c>
      <c r="KF1" s="428" t="s">
        <v>616</v>
      </c>
      <c r="KG1" s="367" t="s">
        <v>617</v>
      </c>
      <c r="KH1" s="367" t="s">
        <v>618</v>
      </c>
      <c r="KI1" s="367" t="s">
        <v>619</v>
      </c>
      <c r="KJ1" s="367" t="s">
        <v>620</v>
      </c>
      <c r="KK1" s="367" t="s">
        <v>621</v>
      </c>
      <c r="KL1" s="428" t="s">
        <v>622</v>
      </c>
      <c r="KM1" s="367" t="s">
        <v>623</v>
      </c>
      <c r="KN1" s="367" t="s">
        <v>624</v>
      </c>
      <c r="KO1" s="367" t="s">
        <v>625</v>
      </c>
      <c r="KP1" s="367" t="s">
        <v>626</v>
      </c>
      <c r="KQ1" s="367" t="s">
        <v>627</v>
      </c>
      <c r="KR1" s="428" t="s">
        <v>628</v>
      </c>
      <c r="KS1" s="367" t="s">
        <v>629</v>
      </c>
      <c r="KT1" s="367" t="s">
        <v>630</v>
      </c>
      <c r="KU1" s="367" t="s">
        <v>631</v>
      </c>
      <c r="KV1" s="367" t="s">
        <v>632</v>
      </c>
      <c r="KW1" s="367" t="s">
        <v>633</v>
      </c>
      <c r="KX1" s="428" t="s">
        <v>634</v>
      </c>
      <c r="KY1" s="367" t="s">
        <v>635</v>
      </c>
      <c r="KZ1" s="367" t="s">
        <v>636</v>
      </c>
      <c r="LA1" s="367" t="s">
        <v>637</v>
      </c>
      <c r="LB1" s="367" t="s">
        <v>638</v>
      </c>
      <c r="LC1" s="367" t="s">
        <v>639</v>
      </c>
      <c r="LD1" s="428" t="s">
        <v>640</v>
      </c>
      <c r="LE1" s="367" t="s">
        <v>641</v>
      </c>
      <c r="LF1" s="367" t="s">
        <v>642</v>
      </c>
      <c r="LG1" s="367" t="s">
        <v>643</v>
      </c>
      <c r="LH1" s="367" t="s">
        <v>644</v>
      </c>
      <c r="LI1" s="367" t="s">
        <v>645</v>
      </c>
      <c r="LJ1" s="428" t="s">
        <v>646</v>
      </c>
      <c r="LK1" s="367" t="s">
        <v>647</v>
      </c>
      <c r="LL1" s="367" t="s">
        <v>648</v>
      </c>
      <c r="LM1" s="367" t="s">
        <v>649</v>
      </c>
      <c r="LN1" s="367" t="s">
        <v>650</v>
      </c>
      <c r="LO1" s="367" t="s">
        <v>651</v>
      </c>
      <c r="LP1" s="428" t="s">
        <v>652</v>
      </c>
      <c r="LQ1" s="367" t="s">
        <v>665</v>
      </c>
      <c r="LR1" s="367" t="s">
        <v>666</v>
      </c>
      <c r="LS1" s="367" t="s">
        <v>667</v>
      </c>
      <c r="LT1" s="367" t="s">
        <v>668</v>
      </c>
      <c r="LU1" s="367" t="s">
        <v>669</v>
      </c>
      <c r="LV1" s="428" t="s">
        <v>670</v>
      </c>
      <c r="LW1" s="367" t="s">
        <v>653</v>
      </c>
      <c r="LX1" s="367" t="s">
        <v>654</v>
      </c>
      <c r="LY1" s="367" t="s">
        <v>655</v>
      </c>
      <c r="LZ1" s="367" t="s">
        <v>656</v>
      </c>
      <c r="MA1" s="367" t="s">
        <v>657</v>
      </c>
      <c r="MB1" s="428" t="s">
        <v>658</v>
      </c>
      <c r="MC1" s="367" t="s">
        <v>659</v>
      </c>
      <c r="MD1" s="367" t="s">
        <v>660</v>
      </c>
      <c r="ME1" s="367" t="s">
        <v>661</v>
      </c>
      <c r="MF1" s="367" t="s">
        <v>662</v>
      </c>
      <c r="MG1" s="367" t="s">
        <v>663</v>
      </c>
      <c r="MH1" s="367" t="s">
        <v>664</v>
      </c>
    </row>
    <row r="2" spans="1:346">
      <c r="A2" s="291" t="s">
        <v>397</v>
      </c>
      <c r="B2" s="292" t="s">
        <v>380</v>
      </c>
      <c r="C2" s="293" t="s">
        <v>99</v>
      </c>
      <c r="D2" s="294" t="s">
        <v>110</v>
      </c>
      <c r="E2" s="295" t="s">
        <v>111</v>
      </c>
      <c r="F2" s="294" t="s">
        <v>225</v>
      </c>
      <c r="G2" s="294" t="s">
        <v>226</v>
      </c>
      <c r="H2" s="294" t="s">
        <v>227</v>
      </c>
      <c r="I2" s="294" t="s">
        <v>228</v>
      </c>
      <c r="J2" s="269" t="s">
        <v>59</v>
      </c>
      <c r="K2" s="271" t="s">
        <v>60</v>
      </c>
      <c r="L2" s="271" t="s">
        <v>61</v>
      </c>
      <c r="M2" s="271" t="s">
        <v>109</v>
      </c>
      <c r="N2" s="271" t="s">
        <v>112</v>
      </c>
      <c r="O2" s="271" t="s">
        <v>113</v>
      </c>
      <c r="P2" s="271" t="s">
        <v>234</v>
      </c>
      <c r="Q2" s="271" t="s">
        <v>235</v>
      </c>
      <c r="R2" s="271" t="s">
        <v>236</v>
      </c>
      <c r="S2" s="271" t="s">
        <v>237</v>
      </c>
      <c r="T2" s="271" t="s">
        <v>238</v>
      </c>
      <c r="U2" s="368" t="s">
        <v>343</v>
      </c>
      <c r="V2" s="368" t="s">
        <v>344</v>
      </c>
      <c r="W2" s="368" t="s">
        <v>345</v>
      </c>
      <c r="X2" s="368" t="s">
        <v>346</v>
      </c>
      <c r="Y2" s="373" t="s">
        <v>347</v>
      </c>
      <c r="Z2" s="271" t="s">
        <v>62</v>
      </c>
      <c r="AA2" s="271" t="s">
        <v>63</v>
      </c>
      <c r="AB2" s="271" t="s">
        <v>64</v>
      </c>
      <c r="AC2" s="271" t="s">
        <v>108</v>
      </c>
      <c r="AD2" s="271" t="s">
        <v>120</v>
      </c>
      <c r="AE2" s="271" t="s">
        <v>121</v>
      </c>
      <c r="AF2" s="368" t="s">
        <v>283</v>
      </c>
      <c r="AG2" s="271" t="s">
        <v>284</v>
      </c>
      <c r="AH2" s="271" t="s">
        <v>285</v>
      </c>
      <c r="AI2" s="271" t="s">
        <v>286</v>
      </c>
      <c r="AJ2" s="271" t="s">
        <v>287</v>
      </c>
      <c r="AK2" s="271" t="s">
        <v>288</v>
      </c>
      <c r="AL2" s="271" t="s">
        <v>289</v>
      </c>
      <c r="AM2" s="271" t="s">
        <v>290</v>
      </c>
      <c r="AN2" s="271" t="s">
        <v>291</v>
      </c>
      <c r="AO2" s="271" t="s">
        <v>292</v>
      </c>
      <c r="AP2" s="271" t="s">
        <v>293</v>
      </c>
      <c r="AQ2" s="271" t="s">
        <v>294</v>
      </c>
      <c r="AR2" s="271" t="s">
        <v>295</v>
      </c>
      <c r="AS2" s="271" t="s">
        <v>296</v>
      </c>
      <c r="AT2" s="271" t="s">
        <v>297</v>
      </c>
      <c r="AU2" s="271" t="s">
        <v>298</v>
      </c>
      <c r="AV2" s="271" t="s">
        <v>300</v>
      </c>
      <c r="AW2" s="271" t="s">
        <v>348</v>
      </c>
      <c r="AX2" s="368" t="s">
        <v>349</v>
      </c>
      <c r="AY2" s="368" t="s">
        <v>350</v>
      </c>
      <c r="AZ2" s="368" t="s">
        <v>351</v>
      </c>
      <c r="BA2" s="368" t="s">
        <v>352</v>
      </c>
      <c r="BB2" s="269" t="s">
        <v>65</v>
      </c>
      <c r="BC2" s="271" t="s">
        <v>66</v>
      </c>
      <c r="BD2" s="271" t="s">
        <v>67</v>
      </c>
      <c r="BE2" s="271" t="s">
        <v>107</v>
      </c>
      <c r="BF2" s="271" t="s">
        <v>122</v>
      </c>
      <c r="BG2" s="270" t="s">
        <v>123</v>
      </c>
      <c r="BH2" s="271" t="s">
        <v>68</v>
      </c>
      <c r="BI2" s="271" t="s">
        <v>69</v>
      </c>
      <c r="BJ2" s="271" t="s">
        <v>70</v>
      </c>
      <c r="BK2" s="271" t="s">
        <v>106</v>
      </c>
      <c r="BL2" s="271" t="s">
        <v>127</v>
      </c>
      <c r="BM2" s="270" t="s">
        <v>128</v>
      </c>
      <c r="BN2" s="271" t="s">
        <v>71</v>
      </c>
      <c r="BO2" s="271" t="s">
        <v>72</v>
      </c>
      <c r="BP2" s="271" t="s">
        <v>73</v>
      </c>
      <c r="BQ2" s="271" t="s">
        <v>105</v>
      </c>
      <c r="BR2" s="271" t="s">
        <v>129</v>
      </c>
      <c r="BS2" s="271" t="s">
        <v>130</v>
      </c>
      <c r="BT2" s="368" t="s">
        <v>353</v>
      </c>
      <c r="BU2" s="368" t="s">
        <v>354</v>
      </c>
      <c r="BV2" s="368" t="s">
        <v>355</v>
      </c>
      <c r="BW2" s="368" t="s">
        <v>356</v>
      </c>
      <c r="BX2" s="373" t="s">
        <v>357</v>
      </c>
      <c r="BY2" s="271" t="s">
        <v>74</v>
      </c>
      <c r="BZ2" s="271" t="s">
        <v>75</v>
      </c>
      <c r="CA2" s="271" t="s">
        <v>104</v>
      </c>
      <c r="CB2" s="271" t="s">
        <v>131</v>
      </c>
      <c r="CC2" s="271" t="s">
        <v>132</v>
      </c>
      <c r="CD2" s="368" t="s">
        <v>358</v>
      </c>
      <c r="CE2" s="368" t="s">
        <v>359</v>
      </c>
      <c r="CF2" s="368" t="s">
        <v>360</v>
      </c>
      <c r="CG2" s="368" t="s">
        <v>361</v>
      </c>
      <c r="CH2" s="373" t="s">
        <v>362</v>
      </c>
      <c r="CI2" s="271" t="s">
        <v>76</v>
      </c>
      <c r="CJ2" s="271" t="s">
        <v>100</v>
      </c>
      <c r="CK2" s="271" t="s">
        <v>103</v>
      </c>
      <c r="CL2" s="271" t="s">
        <v>133</v>
      </c>
      <c r="CM2" s="271" t="s">
        <v>134</v>
      </c>
      <c r="CN2" s="271" t="s">
        <v>363</v>
      </c>
      <c r="CO2" s="271" t="s">
        <v>364</v>
      </c>
      <c r="CP2" s="271" t="s">
        <v>365</v>
      </c>
      <c r="CQ2" s="271" t="s">
        <v>366</v>
      </c>
      <c r="CR2" s="270" t="s">
        <v>367</v>
      </c>
      <c r="CS2" s="271" t="s">
        <v>101</v>
      </c>
      <c r="CT2" s="271" t="s">
        <v>102</v>
      </c>
      <c r="CU2" s="271" t="s">
        <v>81</v>
      </c>
      <c r="CV2" s="271" t="s">
        <v>82</v>
      </c>
      <c r="CW2" s="271" t="s">
        <v>135</v>
      </c>
      <c r="CX2" s="271" t="s">
        <v>368</v>
      </c>
      <c r="CY2" s="271" t="s">
        <v>369</v>
      </c>
      <c r="CZ2" s="271" t="s">
        <v>370</v>
      </c>
      <c r="DA2" s="271" t="s">
        <v>371</v>
      </c>
      <c r="DB2" s="270" t="s">
        <v>372</v>
      </c>
      <c r="DC2" s="368" t="s">
        <v>399</v>
      </c>
      <c r="DD2" s="368" t="s">
        <v>400</v>
      </c>
      <c r="DE2" s="368" t="s">
        <v>401</v>
      </c>
      <c r="DF2" s="368" t="s">
        <v>402</v>
      </c>
      <c r="DG2" s="368" t="s">
        <v>403</v>
      </c>
      <c r="DH2" s="368" t="s">
        <v>404</v>
      </c>
      <c r="DI2" s="368" t="s">
        <v>417</v>
      </c>
      <c r="DJ2" s="368" t="s">
        <v>418</v>
      </c>
      <c r="DK2" s="368" t="s">
        <v>419</v>
      </c>
      <c r="DL2" s="368" t="s">
        <v>420</v>
      </c>
      <c r="DM2" s="368" t="s">
        <v>421</v>
      </c>
      <c r="DN2" s="368" t="s">
        <v>422</v>
      </c>
      <c r="DO2" s="368" t="s">
        <v>423</v>
      </c>
      <c r="DP2" s="368" t="s">
        <v>424</v>
      </c>
      <c r="DQ2" s="368" t="s">
        <v>425</v>
      </c>
      <c r="DR2" s="368" t="s">
        <v>426</v>
      </c>
      <c r="DS2" s="368" t="s">
        <v>427</v>
      </c>
      <c r="DT2" s="368" t="s">
        <v>428</v>
      </c>
      <c r="DU2" s="368" t="s">
        <v>429</v>
      </c>
      <c r="DV2" s="368" t="s">
        <v>430</v>
      </c>
      <c r="DW2" s="368" t="s">
        <v>431</v>
      </c>
      <c r="DX2" s="368" t="s">
        <v>432</v>
      </c>
      <c r="DY2" s="368" t="s">
        <v>433</v>
      </c>
      <c r="DZ2" s="270" t="s">
        <v>434</v>
      </c>
      <c r="EA2" s="368" t="s">
        <v>435</v>
      </c>
      <c r="EB2" s="368" t="s">
        <v>436</v>
      </c>
      <c r="EC2" s="368" t="s">
        <v>437</v>
      </c>
      <c r="ED2" s="368" t="s">
        <v>438</v>
      </c>
      <c r="EE2" s="368" t="s">
        <v>439</v>
      </c>
      <c r="EF2" s="270" t="s">
        <v>440</v>
      </c>
      <c r="EG2" s="368" t="s">
        <v>441</v>
      </c>
      <c r="EH2" s="368" t="s">
        <v>442</v>
      </c>
      <c r="EI2" s="368" t="s">
        <v>443</v>
      </c>
      <c r="EJ2" s="368" t="s">
        <v>444</v>
      </c>
      <c r="EK2" s="368" t="s">
        <v>445</v>
      </c>
      <c r="EL2" s="270" t="s">
        <v>446</v>
      </c>
      <c r="EM2" s="368" t="s">
        <v>455</v>
      </c>
      <c r="EN2" s="368" t="s">
        <v>456</v>
      </c>
      <c r="EO2" s="368" t="s">
        <v>457</v>
      </c>
      <c r="EP2" s="368" t="s">
        <v>458</v>
      </c>
      <c r="EQ2" s="368" t="s">
        <v>459</v>
      </c>
      <c r="ER2" s="270" t="s">
        <v>460</v>
      </c>
      <c r="ES2" s="368" t="s">
        <v>461</v>
      </c>
      <c r="ET2" s="368" t="s">
        <v>462</v>
      </c>
      <c r="EU2" s="368" t="s">
        <v>463</v>
      </c>
      <c r="EV2" s="368" t="s">
        <v>464</v>
      </c>
      <c r="EW2" s="368" t="s">
        <v>465</v>
      </c>
      <c r="EX2" s="270" t="s">
        <v>466</v>
      </c>
      <c r="EY2" s="368" t="s">
        <v>467</v>
      </c>
      <c r="EZ2" s="368" t="s">
        <v>468</v>
      </c>
      <c r="FA2" s="368" t="s">
        <v>469</v>
      </c>
      <c r="FB2" s="368" t="s">
        <v>470</v>
      </c>
      <c r="FC2" s="368" t="s">
        <v>471</v>
      </c>
      <c r="FD2" s="270" t="s">
        <v>472</v>
      </c>
      <c r="FE2" s="368" t="s">
        <v>473</v>
      </c>
      <c r="FF2" s="368" t="s">
        <v>474</v>
      </c>
      <c r="FG2" s="368" t="s">
        <v>475</v>
      </c>
      <c r="FH2" s="368" t="s">
        <v>476</v>
      </c>
      <c r="FI2" s="368" t="s">
        <v>477</v>
      </c>
      <c r="FJ2" s="270" t="s">
        <v>478</v>
      </c>
      <c r="FK2" s="368" t="s">
        <v>479</v>
      </c>
      <c r="FL2" s="368" t="s">
        <v>480</v>
      </c>
      <c r="FM2" s="368" t="s">
        <v>481</v>
      </c>
      <c r="FN2" s="368" t="s">
        <v>482</v>
      </c>
      <c r="FO2" s="368" t="s">
        <v>483</v>
      </c>
      <c r="FP2" s="270" t="s">
        <v>484</v>
      </c>
      <c r="FQ2" s="368" t="s">
        <v>671</v>
      </c>
      <c r="FR2" s="368" t="s">
        <v>672</v>
      </c>
      <c r="FS2" s="368" t="s">
        <v>673</v>
      </c>
      <c r="FT2" s="368" t="s">
        <v>674</v>
      </c>
      <c r="FU2" s="368" t="s">
        <v>675</v>
      </c>
      <c r="FV2" s="270" t="s">
        <v>676</v>
      </c>
      <c r="FW2" s="368" t="s">
        <v>677</v>
      </c>
      <c r="FX2" s="368" t="s">
        <v>678</v>
      </c>
      <c r="FY2" s="368" t="s">
        <v>679</v>
      </c>
      <c r="FZ2" s="368" t="s">
        <v>680</v>
      </c>
      <c r="GA2" s="368" t="s">
        <v>681</v>
      </c>
      <c r="GB2" s="270" t="s">
        <v>682</v>
      </c>
      <c r="GC2" s="368" t="s">
        <v>683</v>
      </c>
      <c r="GD2" s="368" t="s">
        <v>684</v>
      </c>
      <c r="GE2" s="368" t="s">
        <v>685</v>
      </c>
      <c r="GF2" s="368" t="s">
        <v>686</v>
      </c>
      <c r="GG2" s="368" t="s">
        <v>687</v>
      </c>
      <c r="GH2" s="270" t="s">
        <v>688</v>
      </c>
      <c r="GI2" s="368" t="s">
        <v>689</v>
      </c>
      <c r="GJ2" s="368" t="s">
        <v>690</v>
      </c>
      <c r="GK2" s="368" t="s">
        <v>691</v>
      </c>
      <c r="GL2" s="368" t="s">
        <v>692</v>
      </c>
      <c r="GM2" s="368" t="s">
        <v>693</v>
      </c>
      <c r="GN2" s="270" t="s">
        <v>694</v>
      </c>
      <c r="GO2" s="368" t="s">
        <v>695</v>
      </c>
      <c r="GP2" s="368" t="s">
        <v>696</v>
      </c>
      <c r="GQ2" s="368" t="s">
        <v>697</v>
      </c>
      <c r="GR2" s="368" t="s">
        <v>698</v>
      </c>
      <c r="GS2" s="368" t="s">
        <v>699</v>
      </c>
      <c r="GT2" s="270" t="s">
        <v>700</v>
      </c>
      <c r="GU2" s="368" t="s">
        <v>701</v>
      </c>
      <c r="GV2" s="368" t="s">
        <v>702</v>
      </c>
      <c r="GW2" s="368" t="s">
        <v>703</v>
      </c>
      <c r="GX2" s="368" t="s">
        <v>704</v>
      </c>
      <c r="GY2" s="368" t="s">
        <v>705</v>
      </c>
      <c r="GZ2" s="270" t="s">
        <v>706</v>
      </c>
      <c r="HA2" s="368" t="s">
        <v>707</v>
      </c>
      <c r="HB2" s="368" t="s">
        <v>708</v>
      </c>
      <c r="HC2" s="368" t="s">
        <v>709</v>
      </c>
      <c r="HD2" s="368" t="s">
        <v>710</v>
      </c>
      <c r="HE2" s="368" t="s">
        <v>711</v>
      </c>
      <c r="HF2" s="270" t="s">
        <v>712</v>
      </c>
      <c r="HG2" s="368" t="s">
        <v>713</v>
      </c>
      <c r="HH2" s="368" t="s">
        <v>714</v>
      </c>
      <c r="HI2" s="368" t="s">
        <v>715</v>
      </c>
      <c r="HJ2" s="368" t="s">
        <v>716</v>
      </c>
      <c r="HK2" s="368" t="s">
        <v>717</v>
      </c>
      <c r="HL2" s="270" t="s">
        <v>718</v>
      </c>
      <c r="HM2" s="368" t="s">
        <v>719</v>
      </c>
      <c r="HN2" s="368" t="s">
        <v>720</v>
      </c>
      <c r="HO2" s="368" t="s">
        <v>721</v>
      </c>
      <c r="HP2" s="368" t="s">
        <v>722</v>
      </c>
      <c r="HQ2" s="368" t="s">
        <v>723</v>
      </c>
      <c r="HR2" s="270" t="s">
        <v>724</v>
      </c>
      <c r="HS2" s="368" t="s">
        <v>725</v>
      </c>
      <c r="HT2" s="368" t="s">
        <v>726</v>
      </c>
      <c r="HU2" s="368" t="s">
        <v>727</v>
      </c>
      <c r="HV2" s="368" t="s">
        <v>728</v>
      </c>
      <c r="HW2" s="368" t="s">
        <v>729</v>
      </c>
      <c r="HX2" s="270" t="s">
        <v>730</v>
      </c>
      <c r="HY2" s="368" t="s">
        <v>731</v>
      </c>
      <c r="HZ2" s="368" t="s">
        <v>732</v>
      </c>
      <c r="IA2" s="368" t="s">
        <v>733</v>
      </c>
      <c r="IB2" s="368" t="s">
        <v>734</v>
      </c>
      <c r="IC2" s="368" t="s">
        <v>735</v>
      </c>
      <c r="ID2" s="270" t="s">
        <v>736</v>
      </c>
      <c r="IE2" s="368" t="s">
        <v>737</v>
      </c>
      <c r="IF2" s="368" t="s">
        <v>738</v>
      </c>
      <c r="IG2" s="368" t="s">
        <v>739</v>
      </c>
      <c r="IH2" s="368" t="s">
        <v>740</v>
      </c>
      <c r="II2" s="368" t="s">
        <v>741</v>
      </c>
      <c r="IJ2" s="270" t="s">
        <v>742</v>
      </c>
      <c r="IK2" s="368" t="s">
        <v>743</v>
      </c>
      <c r="IL2" s="368" t="s">
        <v>744</v>
      </c>
      <c r="IM2" s="368" t="s">
        <v>745</v>
      </c>
      <c r="IN2" s="368" t="s">
        <v>746</v>
      </c>
      <c r="IO2" s="368" t="s">
        <v>747</v>
      </c>
      <c r="IP2" s="270" t="s">
        <v>748</v>
      </c>
      <c r="IQ2" s="368" t="s">
        <v>749</v>
      </c>
      <c r="IR2" s="368" t="s">
        <v>750</v>
      </c>
      <c r="IS2" s="368" t="s">
        <v>751</v>
      </c>
      <c r="IT2" s="368" t="s">
        <v>752</v>
      </c>
      <c r="IU2" s="368" t="s">
        <v>753</v>
      </c>
      <c r="IV2" s="270" t="s">
        <v>754</v>
      </c>
      <c r="IW2" s="368" t="s">
        <v>755</v>
      </c>
      <c r="IX2" s="368" t="s">
        <v>756</v>
      </c>
      <c r="IY2" s="368" t="s">
        <v>757</v>
      </c>
      <c r="IZ2" s="368" t="s">
        <v>758</v>
      </c>
      <c r="JA2" s="368" t="s">
        <v>759</v>
      </c>
      <c r="JB2" s="270" t="s">
        <v>760</v>
      </c>
      <c r="JC2" s="368" t="s">
        <v>761</v>
      </c>
      <c r="JD2" s="368" t="s">
        <v>762</v>
      </c>
      <c r="JE2" s="368" t="s">
        <v>763</v>
      </c>
      <c r="JF2" s="368" t="s">
        <v>764</v>
      </c>
      <c r="JG2" s="368" t="s">
        <v>765</v>
      </c>
      <c r="JH2" s="270" t="s">
        <v>766</v>
      </c>
      <c r="JI2" s="368" t="s">
        <v>767</v>
      </c>
      <c r="JJ2" s="368" t="s">
        <v>768</v>
      </c>
      <c r="JK2" s="368" t="s">
        <v>769</v>
      </c>
      <c r="JL2" s="368" t="s">
        <v>770</v>
      </c>
      <c r="JM2" s="368" t="s">
        <v>771</v>
      </c>
      <c r="JN2" s="270" t="s">
        <v>772</v>
      </c>
      <c r="JO2" s="368" t="s">
        <v>773</v>
      </c>
      <c r="JP2" s="368" t="s">
        <v>774</v>
      </c>
      <c r="JQ2" s="368" t="s">
        <v>775</v>
      </c>
      <c r="JR2" s="368" t="s">
        <v>776</v>
      </c>
      <c r="JS2" s="368" t="s">
        <v>777</v>
      </c>
      <c r="JT2" s="270" t="s">
        <v>778</v>
      </c>
      <c r="JU2" s="368" t="s">
        <v>779</v>
      </c>
      <c r="JV2" s="368" t="s">
        <v>780</v>
      </c>
      <c r="JW2" s="368" t="s">
        <v>781</v>
      </c>
      <c r="JX2" s="368" t="s">
        <v>782</v>
      </c>
      <c r="JY2" s="368" t="s">
        <v>783</v>
      </c>
      <c r="JZ2" s="270" t="s">
        <v>784</v>
      </c>
      <c r="KA2" s="368" t="s">
        <v>785</v>
      </c>
      <c r="KB2" s="368" t="s">
        <v>786</v>
      </c>
      <c r="KC2" s="368" t="s">
        <v>787</v>
      </c>
      <c r="KD2" s="368" t="s">
        <v>788</v>
      </c>
      <c r="KE2" s="368" t="s">
        <v>789</v>
      </c>
      <c r="KF2" s="270" t="s">
        <v>790</v>
      </c>
      <c r="KG2" s="368" t="s">
        <v>791</v>
      </c>
      <c r="KH2" s="368" t="s">
        <v>792</v>
      </c>
      <c r="KI2" s="368" t="s">
        <v>793</v>
      </c>
      <c r="KJ2" s="368" t="s">
        <v>794</v>
      </c>
      <c r="KK2" s="368" t="s">
        <v>795</v>
      </c>
      <c r="KL2" s="270" t="s">
        <v>796</v>
      </c>
      <c r="KM2" s="368" t="s">
        <v>797</v>
      </c>
      <c r="KN2" s="368" t="s">
        <v>798</v>
      </c>
      <c r="KO2" s="368" t="s">
        <v>799</v>
      </c>
      <c r="KP2" s="368" t="s">
        <v>800</v>
      </c>
      <c r="KQ2" s="368" t="s">
        <v>801</v>
      </c>
      <c r="KR2" s="270" t="s">
        <v>802</v>
      </c>
      <c r="KS2" s="368" t="s">
        <v>803</v>
      </c>
      <c r="KT2" s="368" t="s">
        <v>804</v>
      </c>
      <c r="KU2" s="368" t="s">
        <v>805</v>
      </c>
      <c r="KV2" s="368" t="s">
        <v>806</v>
      </c>
      <c r="KW2" s="368" t="s">
        <v>807</v>
      </c>
      <c r="KX2" s="270" t="s">
        <v>808</v>
      </c>
      <c r="KY2" s="368" t="s">
        <v>809</v>
      </c>
      <c r="KZ2" s="368" t="s">
        <v>810</v>
      </c>
      <c r="LA2" s="368" t="s">
        <v>811</v>
      </c>
      <c r="LB2" s="368" t="s">
        <v>812</v>
      </c>
      <c r="LC2" s="368" t="s">
        <v>813</v>
      </c>
      <c r="LD2" s="270" t="s">
        <v>814</v>
      </c>
      <c r="LE2" s="368" t="s">
        <v>815</v>
      </c>
      <c r="LF2" s="368" t="s">
        <v>816</v>
      </c>
      <c r="LG2" s="368" t="s">
        <v>817</v>
      </c>
      <c r="LH2" s="368" t="s">
        <v>818</v>
      </c>
      <c r="LI2" s="368" t="s">
        <v>819</v>
      </c>
      <c r="LJ2" s="270" t="s">
        <v>820</v>
      </c>
      <c r="LK2" s="368" t="s">
        <v>821</v>
      </c>
      <c r="LL2" s="368" t="s">
        <v>822</v>
      </c>
      <c r="LM2" s="368" t="s">
        <v>823</v>
      </c>
      <c r="LN2" s="368" t="s">
        <v>824</v>
      </c>
      <c r="LO2" s="368" t="s">
        <v>825</v>
      </c>
      <c r="LP2" s="270" t="s">
        <v>826</v>
      </c>
      <c r="LQ2" s="368" t="s">
        <v>827</v>
      </c>
      <c r="LR2" s="368" t="s">
        <v>828</v>
      </c>
      <c r="LS2" s="368" t="s">
        <v>829</v>
      </c>
      <c r="LT2" s="368" t="s">
        <v>830</v>
      </c>
      <c r="LU2" s="368" t="s">
        <v>831</v>
      </c>
      <c r="LV2" s="270" t="s">
        <v>832</v>
      </c>
      <c r="LW2" s="368" t="s">
        <v>833</v>
      </c>
      <c r="LX2" s="368" t="s">
        <v>834</v>
      </c>
      <c r="LY2" s="368" t="s">
        <v>835</v>
      </c>
      <c r="LZ2" s="368" t="s">
        <v>836</v>
      </c>
      <c r="MA2" s="368" t="s">
        <v>837</v>
      </c>
      <c r="MB2" s="270" t="s">
        <v>838</v>
      </c>
      <c r="MC2" s="368" t="s">
        <v>839</v>
      </c>
      <c r="MD2" s="368" t="s">
        <v>840</v>
      </c>
      <c r="ME2" s="368" t="s">
        <v>841</v>
      </c>
      <c r="MF2" s="368" t="s">
        <v>842</v>
      </c>
      <c r="MG2" s="368" t="s">
        <v>843</v>
      </c>
      <c r="MH2" s="368" t="s">
        <v>844</v>
      </c>
    </row>
    <row r="4" spans="1:346">
      <c r="A4" t="s">
        <v>1113</v>
      </c>
      <c r="B4">
        <v>0</v>
      </c>
      <c r="C4">
        <v>0.39999999999999997</v>
      </c>
      <c r="D4">
        <v>0.39999999999999997</v>
      </c>
      <c r="E4">
        <v>364.08695652173913</v>
      </c>
      <c r="F4">
        <v>-1.5</v>
      </c>
      <c r="G4">
        <v>-3.8</v>
      </c>
      <c r="H4">
        <v>-3.8</v>
      </c>
      <c r="I4">
        <v>2124.3106214374661</v>
      </c>
      <c r="J4">
        <v>18</v>
      </c>
      <c r="L4">
        <v>0.63000000000000012</v>
      </c>
      <c r="M4">
        <v>0.70000000000000007</v>
      </c>
      <c r="N4">
        <v>0.70000000000000007</v>
      </c>
      <c r="O4">
        <v>0.1</v>
      </c>
      <c r="P4">
        <v>0</v>
      </c>
      <c r="Q4">
        <v>99.9</v>
      </c>
      <c r="R4">
        <v>0</v>
      </c>
      <c r="S4">
        <v>0</v>
      </c>
      <c r="T4">
        <v>1</v>
      </c>
      <c r="U4">
        <v>1</v>
      </c>
      <c r="V4">
        <v>1</v>
      </c>
      <c r="W4">
        <v>1</v>
      </c>
      <c r="X4">
        <v>1</v>
      </c>
      <c r="AW4">
        <v>1</v>
      </c>
      <c r="AX4">
        <v>1</v>
      </c>
      <c r="AY4">
        <v>1</v>
      </c>
      <c r="AZ4">
        <v>1</v>
      </c>
      <c r="BS4">
        <v>1</v>
      </c>
      <c r="BT4">
        <v>1</v>
      </c>
      <c r="BU4">
        <v>1</v>
      </c>
      <c r="BV4">
        <v>1</v>
      </c>
      <c r="BW4">
        <v>1</v>
      </c>
      <c r="CC4">
        <v>1</v>
      </c>
      <c r="CD4">
        <v>1</v>
      </c>
      <c r="CE4">
        <v>1</v>
      </c>
      <c r="CF4">
        <v>1</v>
      </c>
      <c r="CG4">
        <v>1</v>
      </c>
      <c r="CM4">
        <v>1</v>
      </c>
      <c r="CN4">
        <v>1</v>
      </c>
      <c r="CO4">
        <v>1</v>
      </c>
      <c r="CP4">
        <v>1</v>
      </c>
      <c r="CQ4">
        <v>1</v>
      </c>
      <c r="CW4">
        <v>1</v>
      </c>
      <c r="CX4">
        <v>1</v>
      </c>
      <c r="CY4">
        <v>1</v>
      </c>
      <c r="CZ4">
        <v>1</v>
      </c>
      <c r="DA4">
        <v>1</v>
      </c>
      <c r="DB4">
        <v>-548379.96591493534</v>
      </c>
      <c r="DC4">
        <v>-5.6057976196632886E-2</v>
      </c>
      <c r="DD4">
        <v>2.3169596365813168</v>
      </c>
      <c r="DE4">
        <v>2.3169596365813168</v>
      </c>
      <c r="DF4">
        <v>163008.86814203212</v>
      </c>
      <c r="DG4">
        <v>1.1935164277488752</v>
      </c>
      <c r="DH4">
        <v>0.16969509809525718</v>
      </c>
      <c r="DI4">
        <v>0.16969509809525718</v>
      </c>
      <c r="DJ4">
        <v>16971.749140328644</v>
      </c>
      <c r="DK4">
        <v>-0.49105974754584114</v>
      </c>
      <c r="DL4">
        <v>4.5777144812553239E-2</v>
      </c>
      <c r="DM4">
        <v>4.5777144812553239E-2</v>
      </c>
      <c r="DN4">
        <v>24937.229909639544</v>
      </c>
      <c r="DO4">
        <v>-0.5728508462310099</v>
      </c>
      <c r="DP4">
        <v>-0.31928389463363738</v>
      </c>
      <c r="DQ4">
        <v>-0.31928389463363738</v>
      </c>
      <c r="DR4">
        <v>46903.788460051932</v>
      </c>
      <c r="DS4">
        <v>-0.10286391912811554</v>
      </c>
      <c r="DT4">
        <v>-1.2470099209330618</v>
      </c>
      <c r="DU4">
        <v>-1.2470099209330618</v>
      </c>
      <c r="DV4">
        <v>-111907.03951127999</v>
      </c>
      <c r="DW4">
        <v>-1.0698418934196872</v>
      </c>
      <c r="DX4">
        <v>-1.6571095904057032</v>
      </c>
      <c r="DY4">
        <v>-1.6571095904057032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2.3331596698950001</v>
      </c>
      <c r="EG4">
        <v>0</v>
      </c>
      <c r="EH4">
        <v>0</v>
      </c>
      <c r="EI4">
        <v>0.98609088910742004</v>
      </c>
      <c r="EJ4">
        <v>9.6999770847580005E-2</v>
      </c>
      <c r="EK4">
        <v>-0.74905005460903995</v>
      </c>
      <c r="EL4">
        <v>2.3331596698949899</v>
      </c>
      <c r="EM4">
        <v>0</v>
      </c>
      <c r="EN4">
        <v>0</v>
      </c>
      <c r="EO4">
        <v>0.98609088910742004</v>
      </c>
      <c r="EP4">
        <v>0</v>
      </c>
      <c r="EQ4">
        <v>-0.74905005460903995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-55.82</v>
      </c>
      <c r="GI4">
        <v>-11.99</v>
      </c>
      <c r="GJ4">
        <v>-19.61</v>
      </c>
      <c r="GK4">
        <v>-12.92</v>
      </c>
      <c r="GL4">
        <v>4.6060068064949999E-2</v>
      </c>
      <c r="GM4">
        <v>-3.91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-0.6</v>
      </c>
      <c r="HM4">
        <v>0</v>
      </c>
      <c r="HN4">
        <v>0</v>
      </c>
      <c r="HO4">
        <v>0</v>
      </c>
      <c r="HP4">
        <v>0</v>
      </c>
      <c r="HQ4">
        <v>-3.1108822695035498</v>
      </c>
      <c r="HR4">
        <v>0.1</v>
      </c>
      <c r="HS4">
        <v>0</v>
      </c>
      <c r="HT4">
        <v>0</v>
      </c>
      <c r="HU4">
        <v>0</v>
      </c>
      <c r="HV4">
        <v>0</v>
      </c>
      <c r="HW4">
        <v>0.23</v>
      </c>
      <c r="HX4">
        <v>-9.0767508396599993E-3</v>
      </c>
      <c r="HY4">
        <v>0</v>
      </c>
      <c r="HZ4">
        <v>0</v>
      </c>
      <c r="IA4">
        <v>-2.3954794799700002E-3</v>
      </c>
      <c r="IB4">
        <v>0</v>
      </c>
      <c r="IC4">
        <v>-0.47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-55.82</v>
      </c>
      <c r="IQ4">
        <v>-11.99</v>
      </c>
      <c r="IR4">
        <v>-19.61</v>
      </c>
      <c r="IS4">
        <v>-12.92</v>
      </c>
      <c r="IT4">
        <v>-1.07225369578546</v>
      </c>
      <c r="IU4">
        <v>-0.59</v>
      </c>
      <c r="IV4">
        <v>-0.12913436945737</v>
      </c>
      <c r="IW4">
        <v>0</v>
      </c>
      <c r="IX4">
        <v>0</v>
      </c>
      <c r="IY4">
        <v>0</v>
      </c>
      <c r="IZ4">
        <v>-0.75737307686747002</v>
      </c>
      <c r="JA4">
        <v>0</v>
      </c>
      <c r="JB4">
        <v>-0.15496124334884001</v>
      </c>
      <c r="JC4">
        <v>0</v>
      </c>
      <c r="JD4">
        <v>0</v>
      </c>
      <c r="JE4">
        <v>0</v>
      </c>
      <c r="JF4">
        <v>-1.39367584496439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-0.15496124334885</v>
      </c>
      <c r="JO4">
        <v>0</v>
      </c>
      <c r="JP4">
        <v>0</v>
      </c>
      <c r="JQ4">
        <v>0</v>
      </c>
      <c r="JR4">
        <v>-1.3435541332540599</v>
      </c>
      <c r="JS4">
        <v>0</v>
      </c>
      <c r="JT4">
        <v>-55.82</v>
      </c>
      <c r="JU4">
        <v>-11.99</v>
      </c>
      <c r="JV4">
        <v>-19.61</v>
      </c>
      <c r="JW4">
        <v>-12.92</v>
      </c>
      <c r="JX4">
        <v>-0.84497718120804999</v>
      </c>
      <c r="JY4">
        <v>-0.9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1.0046888903139199</v>
      </c>
      <c r="KY4">
        <v>0.16710577309979999</v>
      </c>
      <c r="KZ4">
        <v>-0.20275762945598999</v>
      </c>
      <c r="LA4">
        <v>1.2390474038300001E-2</v>
      </c>
      <c r="LB4">
        <v>-5.5329298001249999E-2</v>
      </c>
      <c r="LC4">
        <v>-0.44750344212965998</v>
      </c>
      <c r="LD4">
        <v>-2.6800558377699998E-3</v>
      </c>
      <c r="LE4">
        <v>0</v>
      </c>
      <c r="LF4">
        <v>0</v>
      </c>
      <c r="LG4">
        <v>0</v>
      </c>
      <c r="LH4">
        <v>4.3345790606010001E-2</v>
      </c>
      <c r="LI4">
        <v>0</v>
      </c>
      <c r="LJ4">
        <v>0</v>
      </c>
      <c r="LK4">
        <v>0</v>
      </c>
      <c r="LL4">
        <v>0</v>
      </c>
      <c r="LM4">
        <v>0</v>
      </c>
      <c r="LN4">
        <v>0.14138326334163001</v>
      </c>
      <c r="LO4">
        <v>-6.76163329988798</v>
      </c>
      <c r="LP4">
        <v>0.12020443037641</v>
      </c>
      <c r="LQ4">
        <v>0</v>
      </c>
      <c r="LR4">
        <v>0</v>
      </c>
      <c r="LS4">
        <v>0</v>
      </c>
      <c r="LT4">
        <v>0</v>
      </c>
      <c r="LU4">
        <v>-3.11</v>
      </c>
      <c r="LV4">
        <v>6.8506595710599999E-3</v>
      </c>
      <c r="LW4">
        <v>0</v>
      </c>
      <c r="LX4">
        <v>0</v>
      </c>
      <c r="LY4">
        <v>0</v>
      </c>
      <c r="LZ4">
        <v>0</v>
      </c>
      <c r="MA4">
        <v>-0.43889541996992998</v>
      </c>
      <c r="MB4">
        <v>0</v>
      </c>
      <c r="MC4">
        <v>0</v>
      </c>
      <c r="MD4">
        <v>0</v>
      </c>
      <c r="ME4">
        <v>0</v>
      </c>
      <c r="MF4">
        <v>0</v>
      </c>
      <c r="MG4">
        <v>0</v>
      </c>
    </row>
    <row r="11" spans="1:346">
      <c r="A11" s="1"/>
      <c r="B11" s="1"/>
      <c r="C11" s="1"/>
      <c r="D11" s="1"/>
    </row>
    <row r="12" spans="1:346">
      <c r="A12" s="1"/>
      <c r="B12" s="1"/>
      <c r="C12" s="1"/>
      <c r="D12" s="1"/>
    </row>
    <row r="13" spans="1:346">
      <c r="A13" s="1"/>
      <c r="B13" s="1"/>
      <c r="C13" s="1"/>
      <c r="D13" s="1"/>
    </row>
    <row r="14" spans="1:346">
      <c r="A14" s="1"/>
      <c r="B14" s="1"/>
      <c r="C14" s="1"/>
      <c r="D14" s="1"/>
    </row>
    <row r="15" spans="1:346">
      <c r="A15" s="1"/>
      <c r="B15" s="1"/>
      <c r="C15" s="1"/>
      <c r="D15" s="1"/>
    </row>
    <row r="16" spans="1:346">
      <c r="A16" s="1"/>
      <c r="B16" s="1"/>
      <c r="C16" s="1"/>
      <c r="D16" s="1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ul2">
    <tabColor theme="0" tint="-0.34998626667073579"/>
  </sheetPr>
  <dimension ref="A1:MM50"/>
  <sheetViews>
    <sheetView showGridLines="0" zoomScale="90" zoomScaleNormal="90" zoomScaleSheetLayoutView="50" workbookViewId="0">
      <pane xSplit="1" topLeftCell="B1" activePane="topRight" state="frozen"/>
      <selection pane="topRight" activeCell="A45" sqref="A45"/>
    </sheetView>
  </sheetViews>
  <sheetFormatPr defaultRowHeight="18" customHeight="1" outlineLevelRow="1"/>
  <cols>
    <col min="1" max="1" width="20.7109375" style="302" customWidth="1"/>
    <col min="2" max="129" width="15.7109375" style="301" customWidth="1"/>
    <col min="130" max="351" width="15.7109375" style="302" customWidth="1"/>
    <col min="352" max="16384" width="9.140625" style="302"/>
  </cols>
  <sheetData>
    <row r="1" spans="1:351" ht="18" customHeight="1" thickBot="1">
      <c r="B1" s="13">
        <v>1</v>
      </c>
      <c r="C1" s="301">
        <f>B1+1</f>
        <v>2</v>
      </c>
      <c r="D1" s="2">
        <f t="shared" ref="D1" si="0">C1+1</f>
        <v>3</v>
      </c>
      <c r="E1" s="2">
        <f t="shared" ref="E1" si="1">D1+1</f>
        <v>4</v>
      </c>
      <c r="F1" s="2">
        <f t="shared" ref="F1" si="2">E1+1</f>
        <v>5</v>
      </c>
      <c r="G1" s="2">
        <f t="shared" ref="G1" si="3">F1+1</f>
        <v>6</v>
      </c>
      <c r="H1" s="2">
        <f t="shared" ref="H1" si="4">G1+1</f>
        <v>7</v>
      </c>
      <c r="I1" s="2">
        <f t="shared" ref="I1" si="5">H1+1</f>
        <v>8</v>
      </c>
      <c r="J1" s="2">
        <f t="shared" ref="J1" si="6">I1+1</f>
        <v>9</v>
      </c>
      <c r="K1" s="2">
        <f t="shared" ref="K1" si="7">J1+1</f>
        <v>10</v>
      </c>
      <c r="L1" s="2">
        <f t="shared" ref="L1" si="8">K1+1</f>
        <v>11</v>
      </c>
      <c r="M1" s="2">
        <f t="shared" ref="M1" si="9">L1+1</f>
        <v>12</v>
      </c>
      <c r="N1" s="2">
        <f t="shared" ref="N1" si="10">M1+1</f>
        <v>13</v>
      </c>
      <c r="O1" s="2">
        <f t="shared" ref="O1" si="11">N1+1</f>
        <v>14</v>
      </c>
      <c r="P1" s="2">
        <f t="shared" ref="P1" si="12">O1+1</f>
        <v>15</v>
      </c>
      <c r="Q1" s="2">
        <f t="shared" ref="Q1" si="13">P1+1</f>
        <v>16</v>
      </c>
      <c r="R1" s="2">
        <f t="shared" ref="R1" si="14">Q1+1</f>
        <v>17</v>
      </c>
      <c r="S1" s="2">
        <f t="shared" ref="S1" si="15">R1+1</f>
        <v>18</v>
      </c>
      <c r="T1" s="2">
        <f t="shared" ref="T1" si="16">S1+1</f>
        <v>19</v>
      </c>
      <c r="U1" s="2">
        <f t="shared" ref="U1" si="17">T1+1</f>
        <v>20</v>
      </c>
      <c r="V1" s="2">
        <f t="shared" ref="V1" si="18">U1+1</f>
        <v>21</v>
      </c>
      <c r="W1" s="2">
        <f t="shared" ref="W1" si="19">V1+1</f>
        <v>22</v>
      </c>
      <c r="X1" s="2">
        <f t="shared" ref="X1" si="20">W1+1</f>
        <v>23</v>
      </c>
      <c r="Y1" s="2">
        <f t="shared" ref="Y1" si="21">X1+1</f>
        <v>24</v>
      </c>
      <c r="Z1" s="2">
        <f t="shared" ref="Z1" si="22">Y1+1</f>
        <v>25</v>
      </c>
      <c r="AA1" s="2">
        <f t="shared" ref="AA1" si="23">Z1+1</f>
        <v>26</v>
      </c>
      <c r="AB1" s="2">
        <f t="shared" ref="AB1" si="24">AA1+1</f>
        <v>27</v>
      </c>
      <c r="AC1" s="2">
        <f t="shared" ref="AC1" si="25">AB1+1</f>
        <v>28</v>
      </c>
      <c r="AD1" s="2">
        <f t="shared" ref="AD1" si="26">AC1+1</f>
        <v>29</v>
      </c>
      <c r="AE1" s="2">
        <f t="shared" ref="AE1" si="27">AD1+1</f>
        <v>30</v>
      </c>
      <c r="AF1" s="2">
        <f t="shared" ref="AF1" si="28">AE1+1</f>
        <v>31</v>
      </c>
      <c r="AG1" s="2">
        <f t="shared" ref="AG1" si="29">AF1+1</f>
        <v>32</v>
      </c>
      <c r="AH1" s="2">
        <f t="shared" ref="AH1" si="30">AG1+1</f>
        <v>33</v>
      </c>
      <c r="AI1" s="2">
        <f t="shared" ref="AI1" si="31">AH1+1</f>
        <v>34</v>
      </c>
      <c r="AJ1" s="2">
        <f t="shared" ref="AJ1" si="32">AI1+1</f>
        <v>35</v>
      </c>
      <c r="AK1" s="2">
        <f t="shared" ref="AK1" si="33">AJ1+1</f>
        <v>36</v>
      </c>
      <c r="AL1" s="2">
        <f t="shared" ref="AL1" si="34">AK1+1</f>
        <v>37</v>
      </c>
      <c r="AM1" s="2">
        <f t="shared" ref="AM1" si="35">AL1+1</f>
        <v>38</v>
      </c>
      <c r="AN1" s="2">
        <f t="shared" ref="AN1" si="36">AM1+1</f>
        <v>39</v>
      </c>
      <c r="AO1" s="2">
        <f t="shared" ref="AO1" si="37">AN1+1</f>
        <v>40</v>
      </c>
      <c r="AP1" s="2">
        <f t="shared" ref="AP1" si="38">AO1+1</f>
        <v>41</v>
      </c>
      <c r="AQ1" s="2">
        <f t="shared" ref="AQ1" si="39">AP1+1</f>
        <v>42</v>
      </c>
      <c r="AR1" s="2">
        <f t="shared" ref="AR1" si="40">AQ1+1</f>
        <v>43</v>
      </c>
      <c r="AS1" s="2">
        <f t="shared" ref="AS1" si="41">AR1+1</f>
        <v>44</v>
      </c>
      <c r="AT1" s="2">
        <f t="shared" ref="AT1" si="42">AS1+1</f>
        <v>45</v>
      </c>
      <c r="AU1" s="2">
        <f t="shared" ref="AU1" si="43">AT1+1</f>
        <v>46</v>
      </c>
      <c r="AV1" s="2">
        <f t="shared" ref="AV1" si="44">AU1+1</f>
        <v>47</v>
      </c>
      <c r="AW1" s="2">
        <f t="shared" ref="AW1" si="45">AV1+1</f>
        <v>48</v>
      </c>
      <c r="AX1" s="2">
        <f t="shared" ref="AX1" si="46">AW1+1</f>
        <v>49</v>
      </c>
      <c r="AY1" s="2">
        <f t="shared" ref="AY1" si="47">AX1+1</f>
        <v>50</v>
      </c>
      <c r="AZ1" s="2">
        <f t="shared" ref="AZ1" si="48">AY1+1</f>
        <v>51</v>
      </c>
      <c r="BA1" s="2">
        <f t="shared" ref="BA1" si="49">AZ1+1</f>
        <v>52</v>
      </c>
      <c r="BB1" s="2">
        <f t="shared" ref="BB1" si="50">BA1+1</f>
        <v>53</v>
      </c>
      <c r="BC1" s="2">
        <f t="shared" ref="BC1" si="51">BB1+1</f>
        <v>54</v>
      </c>
      <c r="BD1" s="2">
        <f t="shared" ref="BD1" si="52">BC1+1</f>
        <v>55</v>
      </c>
      <c r="BE1" s="2">
        <f t="shared" ref="BE1" si="53">BD1+1</f>
        <v>56</v>
      </c>
      <c r="BF1" s="2">
        <f t="shared" ref="BF1" si="54">BE1+1</f>
        <v>57</v>
      </c>
      <c r="BG1" s="2">
        <f t="shared" ref="BG1" si="55">BF1+1</f>
        <v>58</v>
      </c>
      <c r="BH1" s="2">
        <f t="shared" ref="BH1" si="56">BG1+1</f>
        <v>59</v>
      </c>
      <c r="BI1" s="2">
        <f t="shared" ref="BI1" si="57">BH1+1</f>
        <v>60</v>
      </c>
      <c r="BJ1" s="2">
        <f t="shared" ref="BJ1" si="58">BI1+1</f>
        <v>61</v>
      </c>
      <c r="BK1" s="2">
        <f t="shared" ref="BK1" si="59">BJ1+1</f>
        <v>62</v>
      </c>
      <c r="BL1" s="2">
        <f t="shared" ref="BL1" si="60">BK1+1</f>
        <v>63</v>
      </c>
      <c r="BM1" s="2">
        <f t="shared" ref="BM1" si="61">BL1+1</f>
        <v>64</v>
      </c>
      <c r="BN1" s="2">
        <f t="shared" ref="BN1" si="62">BM1+1</f>
        <v>65</v>
      </c>
      <c r="BO1" s="2">
        <f t="shared" ref="BO1" si="63">BN1+1</f>
        <v>66</v>
      </c>
      <c r="BP1" s="2">
        <f t="shared" ref="BP1" si="64">BO1+1</f>
        <v>67</v>
      </c>
      <c r="BQ1" s="2">
        <f t="shared" ref="BQ1" si="65">BP1+1</f>
        <v>68</v>
      </c>
      <c r="BR1" s="2">
        <f t="shared" ref="BR1" si="66">BQ1+1</f>
        <v>69</v>
      </c>
      <c r="BS1" s="2">
        <f t="shared" ref="BS1" si="67">BR1+1</f>
        <v>70</v>
      </c>
      <c r="BT1" s="2">
        <f t="shared" ref="BT1" si="68">BS1+1</f>
        <v>71</v>
      </c>
      <c r="BU1" s="2">
        <f t="shared" ref="BU1" si="69">BT1+1</f>
        <v>72</v>
      </c>
      <c r="BV1" s="2">
        <f t="shared" ref="BV1" si="70">BU1+1</f>
        <v>73</v>
      </c>
      <c r="BW1" s="2">
        <f t="shared" ref="BW1" si="71">BV1+1</f>
        <v>74</v>
      </c>
      <c r="BX1" s="2">
        <f t="shared" ref="BX1" si="72">BW1+1</f>
        <v>75</v>
      </c>
      <c r="BY1" s="2">
        <f t="shared" ref="BY1" si="73">BX1+1</f>
        <v>76</v>
      </c>
      <c r="BZ1" s="2">
        <f t="shared" ref="BZ1" si="74">BY1+1</f>
        <v>77</v>
      </c>
      <c r="CA1" s="2">
        <f t="shared" ref="CA1" si="75">BZ1+1</f>
        <v>78</v>
      </c>
      <c r="CB1" s="2">
        <f t="shared" ref="CB1" si="76">CA1+1</f>
        <v>79</v>
      </c>
      <c r="CC1" s="2">
        <f t="shared" ref="CC1" si="77">CB1+1</f>
        <v>80</v>
      </c>
      <c r="CD1" s="2">
        <f t="shared" ref="CD1" si="78">CC1+1</f>
        <v>81</v>
      </c>
      <c r="CE1" s="2">
        <f t="shared" ref="CE1" si="79">CD1+1</f>
        <v>82</v>
      </c>
      <c r="CF1" s="2">
        <f t="shared" ref="CF1" si="80">CE1+1</f>
        <v>83</v>
      </c>
      <c r="CG1" s="2">
        <f t="shared" ref="CG1" si="81">CF1+1</f>
        <v>84</v>
      </c>
      <c r="CH1" s="2">
        <f t="shared" ref="CH1" si="82">CG1+1</f>
        <v>85</v>
      </c>
      <c r="CI1" s="2">
        <f t="shared" ref="CI1" si="83">CH1+1</f>
        <v>86</v>
      </c>
      <c r="CJ1" s="2">
        <f t="shared" ref="CJ1" si="84">CI1+1</f>
        <v>87</v>
      </c>
      <c r="CK1" s="2">
        <f t="shared" ref="CK1" si="85">CJ1+1</f>
        <v>88</v>
      </c>
      <c r="CL1" s="2">
        <f t="shared" ref="CL1" si="86">CK1+1</f>
        <v>89</v>
      </c>
      <c r="CM1" s="2">
        <f t="shared" ref="CM1" si="87">CL1+1</f>
        <v>90</v>
      </c>
      <c r="CN1" s="2">
        <f t="shared" ref="CN1" si="88">CM1+1</f>
        <v>91</v>
      </c>
      <c r="CO1" s="2">
        <f t="shared" ref="CO1" si="89">CN1+1</f>
        <v>92</v>
      </c>
      <c r="CP1" s="2">
        <f t="shared" ref="CP1" si="90">CO1+1</f>
        <v>93</v>
      </c>
      <c r="CQ1" s="2">
        <f t="shared" ref="CQ1" si="91">CP1+1</f>
        <v>94</v>
      </c>
      <c r="CR1" s="2">
        <f t="shared" ref="CR1" si="92">CQ1+1</f>
        <v>95</v>
      </c>
      <c r="CS1" s="2">
        <f t="shared" ref="CS1" si="93">CR1+1</f>
        <v>96</v>
      </c>
      <c r="CT1" s="2">
        <f t="shared" ref="CT1" si="94">CS1+1</f>
        <v>97</v>
      </c>
      <c r="CU1" s="2">
        <f t="shared" ref="CU1" si="95">CT1+1</f>
        <v>98</v>
      </c>
      <c r="CV1" s="2">
        <f t="shared" ref="CV1" si="96">CU1+1</f>
        <v>99</v>
      </c>
      <c r="CW1" s="2">
        <f t="shared" ref="CW1" si="97">CV1+1</f>
        <v>100</v>
      </c>
      <c r="CX1" s="2">
        <f t="shared" ref="CX1" si="98">CW1+1</f>
        <v>101</v>
      </c>
      <c r="CY1" s="2">
        <f t="shared" ref="CY1" si="99">CX1+1</f>
        <v>102</v>
      </c>
      <c r="CZ1" s="2">
        <f t="shared" ref="CZ1" si="100">CY1+1</f>
        <v>103</v>
      </c>
      <c r="DA1" s="2">
        <f t="shared" ref="DA1" si="101">CZ1+1</f>
        <v>104</v>
      </c>
      <c r="DB1" s="2">
        <f t="shared" ref="DB1" si="102">DA1+1</f>
        <v>105</v>
      </c>
      <c r="DC1" s="2">
        <f t="shared" ref="DC1" si="103">DB1+1</f>
        <v>106</v>
      </c>
      <c r="DD1" s="2">
        <f t="shared" ref="DD1" si="104">DC1+1</f>
        <v>107</v>
      </c>
      <c r="DE1" s="2">
        <f t="shared" ref="DE1" si="105">DD1+1</f>
        <v>108</v>
      </c>
      <c r="DF1" s="2">
        <f t="shared" ref="DF1" si="106">DE1+1</f>
        <v>109</v>
      </c>
      <c r="DG1" s="2">
        <f t="shared" ref="DG1" si="107">DF1+1</f>
        <v>110</v>
      </c>
      <c r="DH1" s="2">
        <f t="shared" ref="DH1" si="108">DG1+1</f>
        <v>111</v>
      </c>
      <c r="DI1" s="2">
        <f t="shared" ref="DI1" si="109">DH1+1</f>
        <v>112</v>
      </c>
      <c r="DJ1" s="2">
        <f t="shared" ref="DJ1" si="110">DI1+1</f>
        <v>113</v>
      </c>
      <c r="DK1" s="2">
        <f t="shared" ref="DK1" si="111">DJ1+1</f>
        <v>114</v>
      </c>
      <c r="DL1" s="2">
        <f t="shared" ref="DL1" si="112">DK1+1</f>
        <v>115</v>
      </c>
      <c r="DM1" s="2">
        <f t="shared" ref="DM1" si="113">DL1+1</f>
        <v>116</v>
      </c>
      <c r="DN1" s="2">
        <f t="shared" ref="DN1" si="114">DM1+1</f>
        <v>117</v>
      </c>
      <c r="DO1" s="2">
        <f t="shared" ref="DO1" si="115">DN1+1</f>
        <v>118</v>
      </c>
      <c r="DP1" s="2">
        <f t="shared" ref="DP1" si="116">DO1+1</f>
        <v>119</v>
      </c>
      <c r="DQ1" s="2">
        <f t="shared" ref="DQ1" si="117">DP1+1</f>
        <v>120</v>
      </c>
      <c r="DR1" s="2">
        <f t="shared" ref="DR1" si="118">DQ1+1</f>
        <v>121</v>
      </c>
      <c r="DS1" s="2">
        <f t="shared" ref="DS1" si="119">DR1+1</f>
        <v>122</v>
      </c>
      <c r="DT1" s="2">
        <f t="shared" ref="DT1" si="120">DS1+1</f>
        <v>123</v>
      </c>
      <c r="DU1" s="2">
        <f t="shared" ref="DU1" si="121">DT1+1</f>
        <v>124</v>
      </c>
      <c r="DV1" s="2">
        <f t="shared" ref="DV1" si="122">DU1+1</f>
        <v>125</v>
      </c>
      <c r="DW1" s="2">
        <f t="shared" ref="DW1" si="123">DV1+1</f>
        <v>126</v>
      </c>
      <c r="DX1" s="2">
        <f t="shared" ref="DX1" si="124">DW1+1</f>
        <v>127</v>
      </c>
      <c r="DY1" s="2">
        <f t="shared" ref="DY1" si="125">DX1+1</f>
        <v>128</v>
      </c>
      <c r="DZ1" s="2">
        <f t="shared" ref="DZ1" si="126">DY1+1</f>
        <v>129</v>
      </c>
      <c r="EA1" s="2">
        <f t="shared" ref="EA1" si="127">DZ1+1</f>
        <v>130</v>
      </c>
      <c r="EB1" s="2">
        <f t="shared" ref="EB1" si="128">EA1+1</f>
        <v>131</v>
      </c>
      <c r="EC1" s="2">
        <f t="shared" ref="EC1" si="129">EB1+1</f>
        <v>132</v>
      </c>
      <c r="ED1" s="2">
        <f t="shared" ref="ED1" si="130">EC1+1</f>
        <v>133</v>
      </c>
      <c r="EE1" s="2">
        <f t="shared" ref="EE1" si="131">ED1+1</f>
        <v>134</v>
      </c>
      <c r="EF1" s="2">
        <f t="shared" ref="EF1" si="132">EE1+1</f>
        <v>135</v>
      </c>
      <c r="EG1" s="2">
        <f t="shared" ref="EG1" si="133">EF1+1</f>
        <v>136</v>
      </c>
      <c r="EH1" s="2">
        <f t="shared" ref="EH1" si="134">EG1+1</f>
        <v>137</v>
      </c>
      <c r="EI1" s="2">
        <f t="shared" ref="EI1" si="135">EH1+1</f>
        <v>138</v>
      </c>
      <c r="EJ1" s="2">
        <f t="shared" ref="EJ1" si="136">EI1+1</f>
        <v>139</v>
      </c>
      <c r="EK1" s="2">
        <f t="shared" ref="EK1" si="137">EJ1+1</f>
        <v>140</v>
      </c>
      <c r="EL1" s="2">
        <f t="shared" ref="EL1" si="138">EK1+1</f>
        <v>141</v>
      </c>
      <c r="EM1" s="2">
        <f t="shared" ref="EM1" si="139">EL1+1</f>
        <v>142</v>
      </c>
      <c r="EN1" s="2">
        <f t="shared" ref="EN1" si="140">EM1+1</f>
        <v>143</v>
      </c>
      <c r="EO1" s="2">
        <f t="shared" ref="EO1" si="141">EN1+1</f>
        <v>144</v>
      </c>
      <c r="EP1" s="2">
        <f t="shared" ref="EP1" si="142">EO1+1</f>
        <v>145</v>
      </c>
      <c r="EQ1" s="2">
        <f t="shared" ref="EQ1" si="143">EP1+1</f>
        <v>146</v>
      </c>
      <c r="ER1" s="2">
        <f t="shared" ref="ER1" si="144">EQ1+1</f>
        <v>147</v>
      </c>
      <c r="ES1" s="2">
        <f t="shared" ref="ES1" si="145">ER1+1</f>
        <v>148</v>
      </c>
      <c r="ET1" s="2">
        <f t="shared" ref="ET1" si="146">ES1+1</f>
        <v>149</v>
      </c>
      <c r="EU1" s="2">
        <f t="shared" ref="EU1" si="147">ET1+1</f>
        <v>150</v>
      </c>
      <c r="EV1" s="2">
        <f t="shared" ref="EV1" si="148">EU1+1</f>
        <v>151</v>
      </c>
      <c r="EW1" s="2">
        <f t="shared" ref="EW1" si="149">EV1+1</f>
        <v>152</v>
      </c>
      <c r="EX1" s="2">
        <f t="shared" ref="EX1" si="150">EW1+1</f>
        <v>153</v>
      </c>
      <c r="EY1" s="2">
        <f t="shared" ref="EY1" si="151">EX1+1</f>
        <v>154</v>
      </c>
      <c r="EZ1" s="2">
        <f t="shared" ref="EZ1" si="152">EY1+1</f>
        <v>155</v>
      </c>
      <c r="FA1" s="2">
        <f t="shared" ref="FA1" si="153">EZ1+1</f>
        <v>156</v>
      </c>
      <c r="FB1" s="2">
        <f t="shared" ref="FB1" si="154">FA1+1</f>
        <v>157</v>
      </c>
      <c r="FC1" s="2">
        <f t="shared" ref="FC1" si="155">FB1+1</f>
        <v>158</v>
      </c>
      <c r="FD1" s="2">
        <f t="shared" ref="FD1" si="156">FC1+1</f>
        <v>159</v>
      </c>
      <c r="FE1" s="2">
        <f t="shared" ref="FE1" si="157">FD1+1</f>
        <v>160</v>
      </c>
      <c r="FF1" s="2">
        <f t="shared" ref="FF1" si="158">FE1+1</f>
        <v>161</v>
      </c>
      <c r="FG1" s="2">
        <f t="shared" ref="FG1" si="159">FF1+1</f>
        <v>162</v>
      </c>
      <c r="FH1" s="2">
        <f t="shared" ref="FH1" si="160">FG1+1</f>
        <v>163</v>
      </c>
      <c r="FI1" s="2">
        <f t="shared" ref="FI1" si="161">FH1+1</f>
        <v>164</v>
      </c>
      <c r="FJ1" s="2">
        <f t="shared" ref="FJ1" si="162">FI1+1</f>
        <v>165</v>
      </c>
      <c r="FK1" s="2">
        <f t="shared" ref="FK1" si="163">FJ1+1</f>
        <v>166</v>
      </c>
      <c r="FL1" s="2">
        <f t="shared" ref="FL1" si="164">FK1+1</f>
        <v>167</v>
      </c>
      <c r="FM1" s="2">
        <f t="shared" ref="FM1" si="165">FL1+1</f>
        <v>168</v>
      </c>
      <c r="FN1" s="2">
        <f t="shared" ref="FN1" si="166">FM1+1</f>
        <v>169</v>
      </c>
      <c r="FO1" s="2">
        <f t="shared" ref="FO1" si="167">FN1+1</f>
        <v>170</v>
      </c>
      <c r="FP1" s="2">
        <f t="shared" ref="FP1" si="168">FO1+1</f>
        <v>171</v>
      </c>
      <c r="FQ1" s="2">
        <f t="shared" ref="FQ1" si="169">FP1+1</f>
        <v>172</v>
      </c>
      <c r="FR1" s="2">
        <f t="shared" ref="FR1" si="170">FQ1+1</f>
        <v>173</v>
      </c>
      <c r="FS1" s="2">
        <f t="shared" ref="FS1" si="171">FR1+1</f>
        <v>174</v>
      </c>
      <c r="FT1" s="2">
        <f t="shared" ref="FT1" si="172">FS1+1</f>
        <v>175</v>
      </c>
      <c r="FU1" s="2">
        <f t="shared" ref="FU1" si="173">FT1+1</f>
        <v>176</v>
      </c>
      <c r="FV1" s="2">
        <f t="shared" ref="FV1" si="174">FU1+1</f>
        <v>177</v>
      </c>
      <c r="FW1" s="2">
        <f t="shared" ref="FW1" si="175">FV1+1</f>
        <v>178</v>
      </c>
      <c r="FX1" s="2">
        <f t="shared" ref="FX1" si="176">FW1+1</f>
        <v>179</v>
      </c>
      <c r="FY1" s="2">
        <f t="shared" ref="FY1" si="177">FX1+1</f>
        <v>180</v>
      </c>
      <c r="FZ1" s="2">
        <f t="shared" ref="FZ1" si="178">FY1+1</f>
        <v>181</v>
      </c>
      <c r="GA1" s="2">
        <f t="shared" ref="GA1" si="179">FZ1+1</f>
        <v>182</v>
      </c>
      <c r="GB1" s="2">
        <f t="shared" ref="GB1" si="180">GA1+1</f>
        <v>183</v>
      </c>
      <c r="GC1" s="2">
        <f t="shared" ref="GC1" si="181">GB1+1</f>
        <v>184</v>
      </c>
      <c r="GD1" s="2">
        <f t="shared" ref="GD1" si="182">GC1+1</f>
        <v>185</v>
      </c>
      <c r="GE1" s="2">
        <f t="shared" ref="GE1" si="183">GD1+1</f>
        <v>186</v>
      </c>
      <c r="GF1" s="2">
        <f t="shared" ref="GF1" si="184">GE1+1</f>
        <v>187</v>
      </c>
      <c r="GG1" s="2">
        <f t="shared" ref="GG1" si="185">GF1+1</f>
        <v>188</v>
      </c>
      <c r="GH1" s="2">
        <f t="shared" ref="GH1" si="186">GG1+1</f>
        <v>189</v>
      </c>
      <c r="GI1" s="2">
        <f t="shared" ref="GI1" si="187">GH1+1</f>
        <v>190</v>
      </c>
      <c r="GJ1" s="2">
        <f t="shared" ref="GJ1" si="188">GI1+1</f>
        <v>191</v>
      </c>
      <c r="GK1" s="2">
        <f t="shared" ref="GK1" si="189">GJ1+1</f>
        <v>192</v>
      </c>
      <c r="GL1" s="2">
        <f t="shared" ref="GL1" si="190">GK1+1</f>
        <v>193</v>
      </c>
      <c r="GM1" s="2">
        <f t="shared" ref="GM1" si="191">GL1+1</f>
        <v>194</v>
      </c>
      <c r="GN1" s="2">
        <f t="shared" ref="GN1" si="192">GM1+1</f>
        <v>195</v>
      </c>
      <c r="GO1" s="2">
        <f t="shared" ref="GO1" si="193">GN1+1</f>
        <v>196</v>
      </c>
      <c r="GP1" s="2">
        <f t="shared" ref="GP1" si="194">GO1+1</f>
        <v>197</v>
      </c>
      <c r="GQ1" s="2">
        <f t="shared" ref="GQ1" si="195">GP1+1</f>
        <v>198</v>
      </c>
      <c r="GR1" s="2">
        <f t="shared" ref="GR1" si="196">GQ1+1</f>
        <v>199</v>
      </c>
      <c r="GS1" s="2">
        <f t="shared" ref="GS1" si="197">GR1+1</f>
        <v>200</v>
      </c>
      <c r="GT1" s="2">
        <f t="shared" ref="GT1" si="198">GS1+1</f>
        <v>201</v>
      </c>
      <c r="GU1" s="2">
        <f t="shared" ref="GU1" si="199">GT1+1</f>
        <v>202</v>
      </c>
      <c r="GV1" s="2">
        <f t="shared" ref="GV1" si="200">GU1+1</f>
        <v>203</v>
      </c>
      <c r="GW1" s="2">
        <f t="shared" ref="GW1" si="201">GV1+1</f>
        <v>204</v>
      </c>
      <c r="GX1" s="2">
        <f t="shared" ref="GX1" si="202">GW1+1</f>
        <v>205</v>
      </c>
      <c r="GY1" s="2">
        <f t="shared" ref="GY1" si="203">GX1+1</f>
        <v>206</v>
      </c>
      <c r="GZ1" s="2">
        <f t="shared" ref="GZ1" si="204">GY1+1</f>
        <v>207</v>
      </c>
      <c r="HA1" s="2">
        <f t="shared" ref="HA1" si="205">GZ1+1</f>
        <v>208</v>
      </c>
      <c r="HB1" s="2">
        <f t="shared" ref="HB1" si="206">HA1+1</f>
        <v>209</v>
      </c>
      <c r="HC1" s="2">
        <f t="shared" ref="HC1" si="207">HB1+1</f>
        <v>210</v>
      </c>
      <c r="HD1" s="2">
        <f t="shared" ref="HD1" si="208">HC1+1</f>
        <v>211</v>
      </c>
      <c r="HE1" s="2">
        <f t="shared" ref="HE1" si="209">HD1+1</f>
        <v>212</v>
      </c>
      <c r="HF1" s="2">
        <f t="shared" ref="HF1" si="210">HE1+1</f>
        <v>213</v>
      </c>
      <c r="HG1" s="2">
        <f t="shared" ref="HG1" si="211">HF1+1</f>
        <v>214</v>
      </c>
      <c r="HH1" s="2">
        <f t="shared" ref="HH1" si="212">HG1+1</f>
        <v>215</v>
      </c>
      <c r="HI1" s="2">
        <f t="shared" ref="HI1" si="213">HH1+1</f>
        <v>216</v>
      </c>
      <c r="HJ1" s="2">
        <f t="shared" ref="HJ1" si="214">HI1+1</f>
        <v>217</v>
      </c>
      <c r="HK1" s="2">
        <f t="shared" ref="HK1" si="215">HJ1+1</f>
        <v>218</v>
      </c>
      <c r="HL1" s="2">
        <f t="shared" ref="HL1" si="216">HK1+1</f>
        <v>219</v>
      </c>
      <c r="HM1" s="2">
        <f t="shared" ref="HM1" si="217">HL1+1</f>
        <v>220</v>
      </c>
      <c r="HN1" s="2">
        <f t="shared" ref="HN1" si="218">HM1+1</f>
        <v>221</v>
      </c>
      <c r="HO1" s="2">
        <f t="shared" ref="HO1" si="219">HN1+1</f>
        <v>222</v>
      </c>
      <c r="HP1" s="2">
        <f t="shared" ref="HP1" si="220">HO1+1</f>
        <v>223</v>
      </c>
      <c r="HQ1" s="2">
        <f t="shared" ref="HQ1" si="221">HP1+1</f>
        <v>224</v>
      </c>
      <c r="HR1" s="2">
        <f t="shared" ref="HR1" si="222">HQ1+1</f>
        <v>225</v>
      </c>
      <c r="HS1" s="2">
        <f t="shared" ref="HS1" si="223">HR1+1</f>
        <v>226</v>
      </c>
      <c r="HT1" s="2">
        <f t="shared" ref="HT1" si="224">HS1+1</f>
        <v>227</v>
      </c>
      <c r="HU1" s="2">
        <f t="shared" ref="HU1" si="225">HT1+1</f>
        <v>228</v>
      </c>
      <c r="HV1" s="2">
        <f t="shared" ref="HV1" si="226">HU1+1</f>
        <v>229</v>
      </c>
      <c r="HW1" s="2">
        <f t="shared" ref="HW1" si="227">HV1+1</f>
        <v>230</v>
      </c>
      <c r="HX1" s="2">
        <f t="shared" ref="HX1" si="228">HW1+1</f>
        <v>231</v>
      </c>
      <c r="HY1" s="2">
        <f t="shared" ref="HY1" si="229">HX1+1</f>
        <v>232</v>
      </c>
      <c r="HZ1" s="2">
        <f t="shared" ref="HZ1" si="230">HY1+1</f>
        <v>233</v>
      </c>
      <c r="IA1" s="2">
        <f t="shared" ref="IA1" si="231">HZ1+1</f>
        <v>234</v>
      </c>
      <c r="IB1" s="2">
        <f t="shared" ref="IB1" si="232">IA1+1</f>
        <v>235</v>
      </c>
      <c r="IC1" s="2">
        <f t="shared" ref="IC1" si="233">IB1+1</f>
        <v>236</v>
      </c>
      <c r="ID1" s="2">
        <f t="shared" ref="ID1" si="234">IC1+1</f>
        <v>237</v>
      </c>
      <c r="IE1" s="2">
        <f t="shared" ref="IE1" si="235">ID1+1</f>
        <v>238</v>
      </c>
      <c r="IF1" s="2">
        <f t="shared" ref="IF1" si="236">IE1+1</f>
        <v>239</v>
      </c>
      <c r="IG1" s="2">
        <f t="shared" ref="IG1" si="237">IF1+1</f>
        <v>240</v>
      </c>
      <c r="IH1" s="2">
        <f t="shared" ref="IH1" si="238">IG1+1</f>
        <v>241</v>
      </c>
      <c r="II1" s="2">
        <f t="shared" ref="II1" si="239">IH1+1</f>
        <v>242</v>
      </c>
      <c r="IJ1" s="2">
        <f t="shared" ref="IJ1" si="240">II1+1</f>
        <v>243</v>
      </c>
      <c r="IK1" s="2">
        <f t="shared" ref="IK1" si="241">IJ1+1</f>
        <v>244</v>
      </c>
      <c r="IL1" s="2">
        <f t="shared" ref="IL1" si="242">IK1+1</f>
        <v>245</v>
      </c>
      <c r="IM1" s="2">
        <f t="shared" ref="IM1" si="243">IL1+1</f>
        <v>246</v>
      </c>
      <c r="IN1" s="2">
        <f t="shared" ref="IN1" si="244">IM1+1</f>
        <v>247</v>
      </c>
      <c r="IO1" s="2">
        <f t="shared" ref="IO1" si="245">IN1+1</f>
        <v>248</v>
      </c>
      <c r="IP1" s="2">
        <f t="shared" ref="IP1" si="246">IO1+1</f>
        <v>249</v>
      </c>
      <c r="IQ1" s="2">
        <f t="shared" ref="IQ1" si="247">IP1+1</f>
        <v>250</v>
      </c>
      <c r="IR1" s="2">
        <f t="shared" ref="IR1" si="248">IQ1+1</f>
        <v>251</v>
      </c>
      <c r="IS1" s="2">
        <f t="shared" ref="IS1" si="249">IR1+1</f>
        <v>252</v>
      </c>
      <c r="IT1" s="2">
        <f t="shared" ref="IT1" si="250">IS1+1</f>
        <v>253</v>
      </c>
      <c r="IU1" s="2">
        <f t="shared" ref="IU1" si="251">IT1+1</f>
        <v>254</v>
      </c>
      <c r="IV1" s="2">
        <f t="shared" ref="IV1" si="252">IU1+1</f>
        <v>255</v>
      </c>
      <c r="IW1" s="2">
        <f t="shared" ref="IW1" si="253">IV1+1</f>
        <v>256</v>
      </c>
      <c r="IX1" s="2">
        <f t="shared" ref="IX1" si="254">IW1+1</f>
        <v>257</v>
      </c>
      <c r="IY1" s="2">
        <f t="shared" ref="IY1" si="255">IX1+1</f>
        <v>258</v>
      </c>
      <c r="IZ1" s="2">
        <f t="shared" ref="IZ1" si="256">IY1+1</f>
        <v>259</v>
      </c>
      <c r="JA1" s="2">
        <f t="shared" ref="JA1" si="257">IZ1+1</f>
        <v>260</v>
      </c>
      <c r="JB1" s="2">
        <f t="shared" ref="JB1" si="258">JA1+1</f>
        <v>261</v>
      </c>
      <c r="JC1" s="2">
        <f t="shared" ref="JC1" si="259">JB1+1</f>
        <v>262</v>
      </c>
      <c r="JD1" s="2">
        <f t="shared" ref="JD1" si="260">JC1+1</f>
        <v>263</v>
      </c>
      <c r="JE1" s="2">
        <f t="shared" ref="JE1" si="261">JD1+1</f>
        <v>264</v>
      </c>
      <c r="JF1" s="2">
        <f t="shared" ref="JF1" si="262">JE1+1</f>
        <v>265</v>
      </c>
      <c r="JG1" s="2">
        <f t="shared" ref="JG1" si="263">JF1+1</f>
        <v>266</v>
      </c>
      <c r="JH1" s="2">
        <f t="shared" ref="JH1" si="264">JG1+1</f>
        <v>267</v>
      </c>
      <c r="JI1" s="2">
        <f t="shared" ref="JI1" si="265">JH1+1</f>
        <v>268</v>
      </c>
      <c r="JJ1" s="2">
        <f t="shared" ref="JJ1" si="266">JI1+1</f>
        <v>269</v>
      </c>
      <c r="JK1" s="2">
        <f t="shared" ref="JK1" si="267">JJ1+1</f>
        <v>270</v>
      </c>
      <c r="JL1" s="2">
        <f t="shared" ref="JL1" si="268">JK1+1</f>
        <v>271</v>
      </c>
      <c r="JM1" s="2">
        <f t="shared" ref="JM1" si="269">JL1+1</f>
        <v>272</v>
      </c>
      <c r="JN1" s="2">
        <f t="shared" ref="JN1" si="270">JM1+1</f>
        <v>273</v>
      </c>
      <c r="JO1" s="2">
        <f t="shared" ref="JO1" si="271">JN1+1</f>
        <v>274</v>
      </c>
      <c r="JP1" s="2">
        <f t="shared" ref="JP1" si="272">JO1+1</f>
        <v>275</v>
      </c>
      <c r="JQ1" s="2">
        <f t="shared" ref="JQ1" si="273">JP1+1</f>
        <v>276</v>
      </c>
      <c r="JR1" s="2">
        <f t="shared" ref="JR1" si="274">JQ1+1</f>
        <v>277</v>
      </c>
      <c r="JS1" s="2">
        <f t="shared" ref="JS1" si="275">JR1+1</f>
        <v>278</v>
      </c>
      <c r="JT1" s="2">
        <f t="shared" ref="JT1" si="276">JS1+1</f>
        <v>279</v>
      </c>
      <c r="JU1" s="2">
        <f t="shared" ref="JU1" si="277">JT1+1</f>
        <v>280</v>
      </c>
      <c r="JV1" s="2">
        <f t="shared" ref="JV1" si="278">JU1+1</f>
        <v>281</v>
      </c>
      <c r="JW1" s="2">
        <f t="shared" ref="JW1" si="279">JV1+1</f>
        <v>282</v>
      </c>
      <c r="JX1" s="2">
        <f t="shared" ref="JX1" si="280">JW1+1</f>
        <v>283</v>
      </c>
      <c r="JY1" s="2">
        <f t="shared" ref="JY1" si="281">JX1+1</f>
        <v>284</v>
      </c>
      <c r="JZ1" s="2">
        <f t="shared" ref="JZ1" si="282">JY1+1</f>
        <v>285</v>
      </c>
      <c r="KA1" s="2">
        <f t="shared" ref="KA1" si="283">JZ1+1</f>
        <v>286</v>
      </c>
      <c r="KB1" s="2">
        <f t="shared" ref="KB1" si="284">KA1+1</f>
        <v>287</v>
      </c>
      <c r="KC1" s="2">
        <f t="shared" ref="KC1" si="285">KB1+1</f>
        <v>288</v>
      </c>
      <c r="KD1" s="2">
        <f t="shared" ref="KD1" si="286">KC1+1</f>
        <v>289</v>
      </c>
      <c r="KE1" s="2">
        <f t="shared" ref="KE1" si="287">KD1+1</f>
        <v>290</v>
      </c>
      <c r="KF1" s="2">
        <f t="shared" ref="KF1" si="288">KE1+1</f>
        <v>291</v>
      </c>
      <c r="KG1" s="2">
        <f t="shared" ref="KG1" si="289">KF1+1</f>
        <v>292</v>
      </c>
      <c r="KH1" s="2">
        <f t="shared" ref="KH1" si="290">KG1+1</f>
        <v>293</v>
      </c>
      <c r="KI1" s="2">
        <f t="shared" ref="KI1" si="291">KH1+1</f>
        <v>294</v>
      </c>
      <c r="KJ1" s="2">
        <f t="shared" ref="KJ1" si="292">KI1+1</f>
        <v>295</v>
      </c>
      <c r="KK1" s="2">
        <f t="shared" ref="KK1" si="293">KJ1+1</f>
        <v>296</v>
      </c>
      <c r="KL1" s="2">
        <f t="shared" ref="KL1" si="294">KK1+1</f>
        <v>297</v>
      </c>
      <c r="KM1" s="2">
        <f t="shared" ref="KM1" si="295">KL1+1</f>
        <v>298</v>
      </c>
      <c r="KN1" s="2">
        <f t="shared" ref="KN1" si="296">KM1+1</f>
        <v>299</v>
      </c>
      <c r="KO1" s="2">
        <f t="shared" ref="KO1" si="297">KN1+1</f>
        <v>300</v>
      </c>
      <c r="KP1" s="2">
        <f t="shared" ref="KP1" si="298">KO1+1</f>
        <v>301</v>
      </c>
      <c r="KQ1" s="2">
        <f t="shared" ref="KQ1" si="299">KP1+1</f>
        <v>302</v>
      </c>
      <c r="KR1" s="2">
        <f t="shared" ref="KR1" si="300">KQ1+1</f>
        <v>303</v>
      </c>
      <c r="KS1" s="2">
        <f t="shared" ref="KS1" si="301">KR1+1</f>
        <v>304</v>
      </c>
      <c r="KT1" s="2">
        <f t="shared" ref="KT1" si="302">KS1+1</f>
        <v>305</v>
      </c>
      <c r="KU1" s="2">
        <f t="shared" ref="KU1" si="303">KT1+1</f>
        <v>306</v>
      </c>
      <c r="KV1" s="2">
        <f t="shared" ref="KV1" si="304">KU1+1</f>
        <v>307</v>
      </c>
      <c r="KW1" s="2">
        <f t="shared" ref="KW1" si="305">KV1+1</f>
        <v>308</v>
      </c>
      <c r="KX1" s="2">
        <f t="shared" ref="KX1" si="306">KW1+1</f>
        <v>309</v>
      </c>
      <c r="KY1" s="2">
        <f t="shared" ref="KY1" si="307">KX1+1</f>
        <v>310</v>
      </c>
      <c r="KZ1" s="2">
        <f t="shared" ref="KZ1" si="308">KY1+1</f>
        <v>311</v>
      </c>
      <c r="LA1" s="2">
        <f t="shared" ref="LA1" si="309">KZ1+1</f>
        <v>312</v>
      </c>
      <c r="LB1" s="2">
        <f t="shared" ref="LB1" si="310">LA1+1</f>
        <v>313</v>
      </c>
      <c r="LC1" s="2">
        <f t="shared" ref="LC1" si="311">LB1+1</f>
        <v>314</v>
      </c>
      <c r="LD1" s="2">
        <f t="shared" ref="LD1" si="312">LC1+1</f>
        <v>315</v>
      </c>
      <c r="LE1" s="2">
        <f t="shared" ref="LE1" si="313">LD1+1</f>
        <v>316</v>
      </c>
      <c r="LF1" s="2">
        <f t="shared" ref="LF1" si="314">LE1+1</f>
        <v>317</v>
      </c>
      <c r="LG1" s="2">
        <f t="shared" ref="LG1" si="315">LF1+1</f>
        <v>318</v>
      </c>
      <c r="LH1" s="2">
        <f t="shared" ref="LH1" si="316">LG1+1</f>
        <v>319</v>
      </c>
      <c r="LI1" s="2">
        <f t="shared" ref="LI1" si="317">LH1+1</f>
        <v>320</v>
      </c>
      <c r="LJ1" s="2">
        <f t="shared" ref="LJ1" si="318">LI1+1</f>
        <v>321</v>
      </c>
      <c r="LK1" s="2">
        <f t="shared" ref="LK1" si="319">LJ1+1</f>
        <v>322</v>
      </c>
      <c r="LL1" s="2">
        <f t="shared" ref="LL1" si="320">LK1+1</f>
        <v>323</v>
      </c>
      <c r="LM1" s="2">
        <f t="shared" ref="LM1" si="321">LL1+1</f>
        <v>324</v>
      </c>
      <c r="LN1" s="2">
        <f t="shared" ref="LN1" si="322">LM1+1</f>
        <v>325</v>
      </c>
      <c r="LO1" s="2">
        <f t="shared" ref="LO1" si="323">LN1+1</f>
        <v>326</v>
      </c>
      <c r="LP1" s="2">
        <f t="shared" ref="LP1" si="324">LO1+1</f>
        <v>327</v>
      </c>
      <c r="LQ1" s="2">
        <f t="shared" ref="LQ1" si="325">LP1+1</f>
        <v>328</v>
      </c>
      <c r="LR1" s="2">
        <f t="shared" ref="LR1" si="326">LQ1+1</f>
        <v>329</v>
      </c>
      <c r="LS1" s="2">
        <f t="shared" ref="LS1" si="327">LR1+1</f>
        <v>330</v>
      </c>
      <c r="LT1" s="2">
        <f t="shared" ref="LT1" si="328">LS1+1</f>
        <v>331</v>
      </c>
      <c r="LU1" s="2">
        <f t="shared" ref="LU1" si="329">LT1+1</f>
        <v>332</v>
      </c>
      <c r="LV1" s="2">
        <f t="shared" ref="LV1" si="330">LU1+1</f>
        <v>333</v>
      </c>
      <c r="LW1" s="2">
        <f t="shared" ref="LW1" si="331">LV1+1</f>
        <v>334</v>
      </c>
      <c r="LX1" s="2">
        <f t="shared" ref="LX1" si="332">LW1+1</f>
        <v>335</v>
      </c>
      <c r="LY1" s="2">
        <f t="shared" ref="LY1" si="333">LX1+1</f>
        <v>336</v>
      </c>
      <c r="LZ1" s="2">
        <f t="shared" ref="LZ1" si="334">LY1+1</f>
        <v>337</v>
      </c>
      <c r="MA1" s="2">
        <f t="shared" ref="MA1" si="335">LZ1+1</f>
        <v>338</v>
      </c>
      <c r="MB1" s="2">
        <f t="shared" ref="MB1" si="336">MA1+1</f>
        <v>339</v>
      </c>
      <c r="MC1" s="2">
        <f t="shared" ref="MC1" si="337">MB1+1</f>
        <v>340</v>
      </c>
      <c r="MD1" s="2">
        <f t="shared" ref="MD1" si="338">MC1+1</f>
        <v>341</v>
      </c>
      <c r="ME1" s="2">
        <f t="shared" ref="ME1" si="339">MD1+1</f>
        <v>342</v>
      </c>
      <c r="MF1" s="2">
        <f t="shared" ref="MF1" si="340">ME1+1</f>
        <v>343</v>
      </c>
      <c r="MG1" s="2">
        <f t="shared" ref="MG1" si="341">MF1+1</f>
        <v>344</v>
      </c>
      <c r="MH1" s="2">
        <f t="shared" ref="MH1" si="342">MG1+1</f>
        <v>345</v>
      </c>
      <c r="MI1" s="2">
        <f t="shared" ref="MI1" si="343">MH1+1</f>
        <v>346</v>
      </c>
      <c r="MJ1" s="2">
        <f t="shared" ref="MJ1" si="344">MI1+1</f>
        <v>347</v>
      </c>
      <c r="MK1" s="2">
        <f t="shared" ref="MK1" si="345">MJ1+1</f>
        <v>348</v>
      </c>
      <c r="ML1" s="2">
        <f t="shared" ref="ML1" si="346">MK1+1</f>
        <v>349</v>
      </c>
      <c r="MM1" s="2">
        <f t="shared" ref="MM1" si="347">ML1+1</f>
        <v>350</v>
      </c>
    </row>
    <row r="2" spans="1:351" ht="18" customHeight="1" outlineLevel="1" thickBot="1">
      <c r="B2" s="643" t="s">
        <v>379</v>
      </c>
      <c r="C2" s="644"/>
      <c r="D2" s="645"/>
      <c r="E2" s="643" t="s">
        <v>1102</v>
      </c>
      <c r="F2" s="644"/>
      <c r="G2" s="644"/>
      <c r="H2" s="645"/>
      <c r="I2" s="646" t="s">
        <v>36</v>
      </c>
      <c r="J2" s="647"/>
      <c r="K2" s="647"/>
      <c r="L2" s="647"/>
      <c r="M2" s="647"/>
      <c r="N2" s="647"/>
      <c r="O2" s="647"/>
      <c r="P2" s="647"/>
      <c r="Q2" s="647"/>
      <c r="R2" s="647"/>
      <c r="S2" s="647"/>
      <c r="T2" s="647"/>
      <c r="U2" s="647"/>
      <c r="V2" s="647"/>
      <c r="W2" s="647"/>
      <c r="X2" s="648"/>
      <c r="Y2" s="643" t="s">
        <v>1103</v>
      </c>
      <c r="Z2" s="644"/>
      <c r="AA2" s="644"/>
      <c r="AB2" s="644"/>
      <c r="AC2" s="644"/>
      <c r="AD2" s="644"/>
      <c r="AE2" s="644"/>
      <c r="AF2" s="644"/>
      <c r="AG2" s="644"/>
      <c r="AH2" s="644"/>
      <c r="AI2" s="644"/>
      <c r="AJ2" s="644"/>
      <c r="AK2" s="644"/>
      <c r="AL2" s="644"/>
      <c r="AM2" s="644"/>
      <c r="AN2" s="644"/>
      <c r="AO2" s="644"/>
      <c r="AP2" s="644"/>
      <c r="AQ2" s="644"/>
      <c r="AR2" s="644"/>
      <c r="AS2" s="644"/>
      <c r="AT2" s="644"/>
      <c r="AU2" s="644"/>
      <c r="AV2" s="644"/>
      <c r="AW2" s="644"/>
      <c r="AX2" s="644"/>
      <c r="AY2" s="644"/>
      <c r="AZ2" s="645"/>
      <c r="BA2" s="643" t="s">
        <v>38</v>
      </c>
      <c r="BB2" s="644"/>
      <c r="BC2" s="644"/>
      <c r="BD2" s="644"/>
      <c r="BE2" s="644"/>
      <c r="BF2" s="645"/>
      <c r="BG2" s="643" t="s">
        <v>39</v>
      </c>
      <c r="BH2" s="644"/>
      <c r="BI2" s="644"/>
      <c r="BJ2" s="644"/>
      <c r="BK2" s="644"/>
      <c r="BL2" s="645"/>
      <c r="BM2" s="643" t="s">
        <v>77</v>
      </c>
      <c r="BN2" s="644"/>
      <c r="BO2" s="644"/>
      <c r="BP2" s="644"/>
      <c r="BQ2" s="644"/>
      <c r="BR2" s="644"/>
      <c r="BS2" s="644"/>
      <c r="BT2" s="644"/>
      <c r="BU2" s="644"/>
      <c r="BV2" s="644"/>
      <c r="BW2" s="645"/>
      <c r="BX2" s="643" t="s">
        <v>78</v>
      </c>
      <c r="BY2" s="644"/>
      <c r="BZ2" s="644"/>
      <c r="CA2" s="644"/>
      <c r="CB2" s="644"/>
      <c r="CC2" s="644"/>
      <c r="CD2" s="644"/>
      <c r="CE2" s="644"/>
      <c r="CF2" s="644"/>
      <c r="CG2" s="645"/>
      <c r="CH2" s="643" t="s">
        <v>79</v>
      </c>
      <c r="CI2" s="644"/>
      <c r="CJ2" s="644"/>
      <c r="CK2" s="644"/>
      <c r="CL2" s="644"/>
      <c r="CM2" s="644"/>
      <c r="CN2" s="644"/>
      <c r="CO2" s="644"/>
      <c r="CP2" s="644"/>
      <c r="CQ2" s="645"/>
      <c r="CR2" s="643" t="s">
        <v>1104</v>
      </c>
      <c r="CS2" s="644"/>
      <c r="CT2" s="644"/>
      <c r="CU2" s="644"/>
      <c r="CV2" s="644"/>
      <c r="CW2" s="644"/>
      <c r="CX2" s="644"/>
      <c r="CY2" s="644"/>
      <c r="CZ2" s="644"/>
      <c r="DA2" s="645"/>
      <c r="DB2" s="643" t="s">
        <v>1105</v>
      </c>
      <c r="DC2" s="644"/>
      <c r="DD2" s="644"/>
      <c r="DE2" s="645"/>
      <c r="DF2" s="643" t="s">
        <v>1106</v>
      </c>
      <c r="DG2" s="644"/>
      <c r="DH2" s="644"/>
      <c r="DI2" s="645"/>
      <c r="DJ2" s="643" t="s">
        <v>1107</v>
      </c>
      <c r="DK2" s="644"/>
      <c r="DL2" s="644"/>
      <c r="DM2" s="645"/>
      <c r="DN2" s="643" t="s">
        <v>1108</v>
      </c>
      <c r="DO2" s="644"/>
      <c r="DP2" s="644"/>
      <c r="DQ2" s="645"/>
      <c r="DR2" s="643" t="s">
        <v>1109</v>
      </c>
      <c r="DS2" s="644"/>
      <c r="DT2" s="644"/>
      <c r="DU2" s="645"/>
      <c r="DV2" s="643" t="s">
        <v>1110</v>
      </c>
      <c r="DW2" s="644"/>
      <c r="DX2" s="644"/>
      <c r="DY2" s="645"/>
      <c r="DZ2" s="355"/>
      <c r="EA2" s="355"/>
      <c r="EB2" s="355"/>
      <c r="EC2" s="355"/>
      <c r="ED2" s="355"/>
      <c r="EE2" s="356"/>
      <c r="EF2" s="354"/>
      <c r="EG2" s="355"/>
      <c r="EH2" s="355"/>
      <c r="EI2" s="355"/>
      <c r="EJ2" s="355"/>
      <c r="EK2" s="356"/>
      <c r="EL2" s="354"/>
      <c r="EM2" s="355"/>
      <c r="EN2" s="355"/>
      <c r="EO2" s="355"/>
      <c r="EP2" s="355"/>
      <c r="EQ2" s="356"/>
      <c r="ER2" s="354"/>
      <c r="ES2" s="355"/>
      <c r="ET2" s="355"/>
      <c r="EU2" s="355"/>
      <c r="EV2" s="355"/>
      <c r="EW2" s="356"/>
      <c r="EX2" s="354"/>
      <c r="EY2" s="355"/>
      <c r="EZ2" s="355"/>
      <c r="FA2" s="355"/>
      <c r="FB2" s="355"/>
      <c r="FC2" s="356"/>
      <c r="FD2" s="354"/>
      <c r="FE2" s="355"/>
      <c r="FF2" s="355"/>
      <c r="FG2" s="355"/>
      <c r="FH2" s="355"/>
      <c r="FI2" s="356"/>
      <c r="FJ2" s="354"/>
      <c r="FK2" s="355"/>
      <c r="FL2" s="355"/>
      <c r="FM2" s="355"/>
      <c r="FN2" s="355"/>
      <c r="FO2" s="356"/>
      <c r="FP2" s="354"/>
      <c r="FQ2" s="355"/>
      <c r="FR2" s="355"/>
      <c r="FS2" s="355"/>
      <c r="FT2" s="355"/>
      <c r="FU2" s="356"/>
      <c r="FV2" s="354"/>
      <c r="FW2" s="355"/>
      <c r="FX2" s="355"/>
      <c r="FY2" s="355"/>
      <c r="FZ2" s="355"/>
      <c r="GA2" s="356"/>
      <c r="GB2" s="354"/>
      <c r="GC2" s="355"/>
      <c r="GD2" s="355"/>
      <c r="GE2" s="355"/>
      <c r="GF2" s="355"/>
      <c r="GG2" s="356"/>
      <c r="GH2" s="354"/>
      <c r="GI2" s="355"/>
      <c r="GJ2" s="355"/>
      <c r="GK2" s="355"/>
      <c r="GL2" s="355"/>
      <c r="GM2" s="356"/>
      <c r="GN2" s="354"/>
      <c r="GO2" s="355"/>
      <c r="GP2" s="355"/>
      <c r="GQ2" s="355"/>
      <c r="GR2" s="355"/>
      <c r="GS2" s="356"/>
      <c r="GT2" s="354"/>
      <c r="GU2" s="355"/>
      <c r="GV2" s="355"/>
      <c r="GW2" s="355"/>
      <c r="GX2" s="355"/>
      <c r="GY2" s="356"/>
      <c r="GZ2" s="354"/>
      <c r="HA2" s="355"/>
      <c r="HB2" s="355"/>
      <c r="HC2" s="355"/>
      <c r="HD2" s="355"/>
      <c r="HE2" s="356"/>
      <c r="HF2" s="354"/>
      <c r="HG2" s="355"/>
      <c r="HH2" s="355"/>
      <c r="HI2" s="355"/>
      <c r="HJ2" s="355"/>
      <c r="HK2" s="355"/>
      <c r="HL2" s="354"/>
      <c r="HM2" s="355"/>
      <c r="HN2" s="355"/>
      <c r="HO2" s="355"/>
      <c r="HP2" s="355"/>
      <c r="HQ2" s="356"/>
      <c r="HR2" s="355"/>
      <c r="HS2" s="355"/>
      <c r="HT2" s="355"/>
      <c r="HU2" s="355"/>
      <c r="HV2" s="355"/>
      <c r="HW2" s="356"/>
      <c r="HX2" s="354"/>
      <c r="HY2" s="355"/>
      <c r="HZ2" s="355"/>
      <c r="IA2" s="355"/>
      <c r="IB2" s="355"/>
      <c r="IC2" s="355"/>
      <c r="ID2" s="354"/>
      <c r="IE2" s="355"/>
      <c r="IF2" s="355"/>
      <c r="IG2" s="355"/>
      <c r="IH2" s="355"/>
      <c r="II2" s="356"/>
      <c r="IJ2" s="355"/>
      <c r="IK2" s="355"/>
      <c r="IL2" s="355"/>
      <c r="IM2" s="355"/>
      <c r="IN2" s="355"/>
      <c r="IO2" s="356"/>
      <c r="IP2" s="354"/>
      <c r="IQ2" s="355"/>
      <c r="IR2" s="355"/>
      <c r="IS2" s="355"/>
      <c r="IT2" s="355"/>
      <c r="IU2" s="356"/>
      <c r="IV2" s="354"/>
      <c r="IW2" s="355"/>
      <c r="IX2" s="355"/>
      <c r="IY2" s="355"/>
      <c r="IZ2" s="355"/>
      <c r="JA2" s="356"/>
      <c r="JB2" s="354"/>
      <c r="JC2" s="355"/>
      <c r="JD2" s="355"/>
      <c r="JE2" s="355"/>
      <c r="JF2" s="355"/>
      <c r="JG2" s="356"/>
      <c r="JH2" s="354"/>
      <c r="JI2" s="355"/>
      <c r="JJ2" s="355"/>
      <c r="JK2" s="355"/>
      <c r="JL2" s="355"/>
      <c r="JM2" s="356"/>
      <c r="JN2" s="354"/>
      <c r="JO2" s="355"/>
      <c r="JP2" s="355"/>
      <c r="JQ2" s="355"/>
      <c r="JR2" s="355"/>
      <c r="JS2" s="356"/>
      <c r="JT2" s="354"/>
      <c r="JU2" s="355"/>
      <c r="JV2" s="355"/>
      <c r="JW2" s="355"/>
      <c r="JX2" s="355"/>
      <c r="JY2" s="356"/>
      <c r="JZ2" s="354"/>
      <c r="KA2" s="355"/>
      <c r="KB2" s="355"/>
      <c r="KC2" s="355"/>
      <c r="KD2" s="355"/>
      <c r="KE2" s="356"/>
      <c r="KF2" s="354"/>
      <c r="KG2" s="355"/>
      <c r="KH2" s="355"/>
      <c r="KI2" s="355"/>
      <c r="KJ2" s="355"/>
      <c r="KK2" s="356"/>
      <c r="KL2" s="354"/>
      <c r="KM2" s="355"/>
      <c r="KN2" s="355"/>
      <c r="KO2" s="355"/>
      <c r="KP2" s="355"/>
      <c r="KQ2" s="356"/>
      <c r="KR2" s="354"/>
      <c r="KS2" s="355"/>
      <c r="KT2" s="355"/>
      <c r="KU2" s="355"/>
      <c r="KV2" s="355"/>
      <c r="KW2" s="356"/>
      <c r="KX2" s="354"/>
      <c r="KY2" s="355"/>
      <c r="KZ2" s="355"/>
      <c r="LA2" s="355"/>
      <c r="LB2" s="355"/>
      <c r="LC2" s="356"/>
      <c r="LD2" s="354"/>
      <c r="LE2" s="355"/>
      <c r="LF2" s="355"/>
      <c r="LG2" s="355"/>
      <c r="LH2" s="355"/>
      <c r="LI2" s="356"/>
      <c r="LJ2" s="354"/>
      <c r="LK2" s="355"/>
      <c r="LL2" s="355"/>
      <c r="LM2" s="355"/>
      <c r="LN2" s="355"/>
      <c r="LO2" s="356"/>
      <c r="LP2" s="354"/>
      <c r="LQ2" s="355"/>
      <c r="LR2" s="355"/>
      <c r="LS2" s="355"/>
      <c r="LT2" s="355"/>
      <c r="LU2" s="357"/>
      <c r="LV2" s="354"/>
      <c r="LW2" s="355"/>
      <c r="LX2" s="355"/>
      <c r="LY2" s="355"/>
      <c r="LZ2" s="355"/>
      <c r="MA2" s="356"/>
      <c r="MB2" s="354"/>
      <c r="MC2" s="355"/>
      <c r="MD2" s="355"/>
      <c r="ME2" s="355"/>
      <c r="MF2" s="355"/>
      <c r="MG2" s="357"/>
    </row>
    <row r="3" spans="1:351" ht="64.5" outlineLevel="1">
      <c r="A3" s="3"/>
      <c r="B3" s="335" t="s">
        <v>922</v>
      </c>
      <c r="C3" s="4" t="s">
        <v>923</v>
      </c>
      <c r="D3" s="336" t="s">
        <v>924</v>
      </c>
      <c r="E3" s="335" t="s">
        <v>925</v>
      </c>
      <c r="F3" s="4" t="s">
        <v>926</v>
      </c>
      <c r="G3" s="4" t="s">
        <v>927</v>
      </c>
      <c r="H3" s="336" t="s">
        <v>928</v>
      </c>
      <c r="I3" s="346" t="s">
        <v>40</v>
      </c>
      <c r="J3" s="4" t="s">
        <v>41</v>
      </c>
      <c r="K3" s="4" t="s">
        <v>57</v>
      </c>
      <c r="L3" s="4" t="s">
        <v>408</v>
      </c>
      <c r="M3" s="4" t="s">
        <v>408</v>
      </c>
      <c r="N3" s="4" t="s">
        <v>408</v>
      </c>
      <c r="O3" s="4" t="s">
        <v>229</v>
      </c>
      <c r="P3" s="4" t="s">
        <v>230</v>
      </c>
      <c r="Q3" s="4" t="s">
        <v>231</v>
      </c>
      <c r="R3" s="4" t="s">
        <v>232</v>
      </c>
      <c r="S3" s="4" t="s">
        <v>233</v>
      </c>
      <c r="T3" s="4" t="s">
        <v>414</v>
      </c>
      <c r="U3" s="4" t="s">
        <v>414</v>
      </c>
      <c r="V3" s="4" t="s">
        <v>414</v>
      </c>
      <c r="W3" s="4" t="s">
        <v>414</v>
      </c>
      <c r="X3" s="336" t="s">
        <v>414</v>
      </c>
      <c r="Y3" s="346" t="s">
        <v>43</v>
      </c>
      <c r="Z3" s="4" t="s">
        <v>42</v>
      </c>
      <c r="AA3" s="4" t="s">
        <v>58</v>
      </c>
      <c r="AB3" s="4" t="s">
        <v>408</v>
      </c>
      <c r="AC3" s="4" t="s">
        <v>408</v>
      </c>
      <c r="AD3" s="4" t="s">
        <v>408</v>
      </c>
      <c r="AE3" s="4" t="s">
        <v>242</v>
      </c>
      <c r="AF3" s="4" t="s">
        <v>243</v>
      </c>
      <c r="AG3" s="4" t="s">
        <v>244</v>
      </c>
      <c r="AH3" s="4" t="s">
        <v>245</v>
      </c>
      <c r="AI3" s="4" t="s">
        <v>246</v>
      </c>
      <c r="AJ3" s="4" t="s">
        <v>249</v>
      </c>
      <c r="AK3" s="4" t="s">
        <v>247</v>
      </c>
      <c r="AL3" s="4" t="s">
        <v>256</v>
      </c>
      <c r="AM3" s="4" t="s">
        <v>248</v>
      </c>
      <c r="AN3" s="4" t="s">
        <v>250</v>
      </c>
      <c r="AO3" s="4" t="s">
        <v>257</v>
      </c>
      <c r="AP3" s="4" t="s">
        <v>251</v>
      </c>
      <c r="AQ3" s="4" t="s">
        <v>252</v>
      </c>
      <c r="AR3" s="4" t="s">
        <v>253</v>
      </c>
      <c r="AS3" s="4" t="s">
        <v>254</v>
      </c>
      <c r="AT3" s="4" t="s">
        <v>299</v>
      </c>
      <c r="AU3" s="4" t="s">
        <v>255</v>
      </c>
      <c r="AV3" s="4" t="s">
        <v>414</v>
      </c>
      <c r="AW3" s="4" t="s">
        <v>414</v>
      </c>
      <c r="AX3" s="4" t="s">
        <v>414</v>
      </c>
      <c r="AY3" s="4" t="s">
        <v>414</v>
      </c>
      <c r="AZ3" s="336" t="s">
        <v>414</v>
      </c>
      <c r="BA3" s="335" t="s">
        <v>45</v>
      </c>
      <c r="BB3" s="4" t="s">
        <v>44</v>
      </c>
      <c r="BC3" s="4" t="s">
        <v>46</v>
      </c>
      <c r="BD3" s="4" t="s">
        <v>415</v>
      </c>
      <c r="BE3" s="4" t="s">
        <v>415</v>
      </c>
      <c r="BF3" s="336" t="s">
        <v>415</v>
      </c>
      <c r="BG3" s="335" t="s">
        <v>47</v>
      </c>
      <c r="BH3" s="4" t="s">
        <v>48</v>
      </c>
      <c r="BI3" s="4" t="s">
        <v>49</v>
      </c>
      <c r="BJ3" s="4" t="s">
        <v>415</v>
      </c>
      <c r="BK3" s="4" t="s">
        <v>415</v>
      </c>
      <c r="BL3" s="336" t="s">
        <v>415</v>
      </c>
      <c r="BM3" s="335" t="s">
        <v>50</v>
      </c>
      <c r="BN3" s="4" t="s">
        <v>51</v>
      </c>
      <c r="BO3" s="4" t="s">
        <v>52</v>
      </c>
      <c r="BP3" s="4" t="s">
        <v>415</v>
      </c>
      <c r="BQ3" s="4" t="s">
        <v>415</v>
      </c>
      <c r="BR3" s="4" t="s">
        <v>415</v>
      </c>
      <c r="BS3" s="4" t="s">
        <v>414</v>
      </c>
      <c r="BT3" s="4" t="s">
        <v>414</v>
      </c>
      <c r="BU3" s="4" t="s">
        <v>414</v>
      </c>
      <c r="BV3" s="4" t="s">
        <v>414</v>
      </c>
      <c r="BW3" s="336" t="s">
        <v>414</v>
      </c>
      <c r="BX3" s="335" t="s">
        <v>272</v>
      </c>
      <c r="BY3" s="4" t="s">
        <v>273</v>
      </c>
      <c r="BZ3" s="4" t="s">
        <v>124</v>
      </c>
      <c r="CA3" s="4" t="s">
        <v>222</v>
      </c>
      <c r="CB3" s="4" t="s">
        <v>223</v>
      </c>
      <c r="CC3" s="4" t="s">
        <v>414</v>
      </c>
      <c r="CD3" s="4" t="s">
        <v>414</v>
      </c>
      <c r="CE3" s="4" t="s">
        <v>414</v>
      </c>
      <c r="CF3" s="4" t="s">
        <v>414</v>
      </c>
      <c r="CG3" s="336" t="s">
        <v>414</v>
      </c>
      <c r="CH3" s="335" t="s">
        <v>53</v>
      </c>
      <c r="CI3" s="4" t="s">
        <v>56</v>
      </c>
      <c r="CJ3" s="4" t="s">
        <v>124</v>
      </c>
      <c r="CK3" s="4" t="s">
        <v>125</v>
      </c>
      <c r="CL3" s="4" t="s">
        <v>126</v>
      </c>
      <c r="CM3" s="4" t="s">
        <v>414</v>
      </c>
      <c r="CN3" s="4" t="s">
        <v>414</v>
      </c>
      <c r="CO3" s="4" t="s">
        <v>414</v>
      </c>
      <c r="CP3" s="4" t="s">
        <v>414</v>
      </c>
      <c r="CQ3" s="336" t="s">
        <v>414</v>
      </c>
      <c r="CR3" s="335" t="s">
        <v>54</v>
      </c>
      <c r="CS3" s="4" t="s">
        <v>55</v>
      </c>
      <c r="CT3" s="4" t="s">
        <v>919</v>
      </c>
      <c r="CU3" s="4" t="s">
        <v>920</v>
      </c>
      <c r="CV3" s="4" t="s">
        <v>921</v>
      </c>
      <c r="CW3" s="4" t="s">
        <v>414</v>
      </c>
      <c r="CX3" s="4" t="s">
        <v>414</v>
      </c>
      <c r="CY3" s="4" t="s">
        <v>414</v>
      </c>
      <c r="CZ3" s="4" t="s">
        <v>414</v>
      </c>
      <c r="DA3" s="336" t="s">
        <v>414</v>
      </c>
      <c r="DB3" s="335" t="s">
        <v>865</v>
      </c>
      <c r="DC3" s="4" t="s">
        <v>895</v>
      </c>
      <c r="DD3" s="4" t="s">
        <v>896</v>
      </c>
      <c r="DE3" s="336" t="s">
        <v>897</v>
      </c>
      <c r="DF3" s="335" t="s">
        <v>862</v>
      </c>
      <c r="DG3" s="4" t="s">
        <v>904</v>
      </c>
      <c r="DH3" s="4" t="s">
        <v>905</v>
      </c>
      <c r="DI3" s="336" t="s">
        <v>906</v>
      </c>
      <c r="DJ3" s="335" t="s">
        <v>863</v>
      </c>
      <c r="DK3" s="4" t="s">
        <v>907</v>
      </c>
      <c r="DL3" s="4" t="s">
        <v>908</v>
      </c>
      <c r="DM3" s="336" t="s">
        <v>909</v>
      </c>
      <c r="DN3" s="335" t="s">
        <v>864</v>
      </c>
      <c r="DO3" s="4" t="s">
        <v>910</v>
      </c>
      <c r="DP3" s="4" t="s">
        <v>911</v>
      </c>
      <c r="DQ3" s="336" t="s">
        <v>912</v>
      </c>
      <c r="DR3" s="335" t="s">
        <v>866</v>
      </c>
      <c r="DS3" s="4" t="s">
        <v>913</v>
      </c>
      <c r="DT3" s="4" t="s">
        <v>914</v>
      </c>
      <c r="DU3" s="336" t="s">
        <v>915</v>
      </c>
      <c r="DV3" s="335" t="s">
        <v>867</v>
      </c>
      <c r="DW3" s="4" t="s">
        <v>916</v>
      </c>
      <c r="DX3" s="4" t="s">
        <v>917</v>
      </c>
      <c r="DY3" s="336" t="s">
        <v>918</v>
      </c>
      <c r="DZ3" s="321" t="s">
        <v>485</v>
      </c>
      <c r="EA3" s="321" t="s">
        <v>486</v>
      </c>
      <c r="EB3" s="321" t="s">
        <v>487</v>
      </c>
      <c r="EC3" s="321" t="s">
        <v>488</v>
      </c>
      <c r="ED3" s="321" t="s">
        <v>489</v>
      </c>
      <c r="EE3" s="326" t="s">
        <v>490</v>
      </c>
      <c r="EF3" s="325" t="s">
        <v>491</v>
      </c>
      <c r="EG3" s="321" t="s">
        <v>492</v>
      </c>
      <c r="EH3" s="321" t="s">
        <v>493</v>
      </c>
      <c r="EI3" s="321" t="s">
        <v>494</v>
      </c>
      <c r="EJ3" s="321" t="s">
        <v>495</v>
      </c>
      <c r="EK3" s="326" t="s">
        <v>496</v>
      </c>
      <c r="EL3" s="325" t="s">
        <v>497</v>
      </c>
      <c r="EM3" s="321" t="s">
        <v>498</v>
      </c>
      <c r="EN3" s="321" t="s">
        <v>499</v>
      </c>
      <c r="EO3" s="321" t="s">
        <v>500</v>
      </c>
      <c r="EP3" s="321" t="s">
        <v>501</v>
      </c>
      <c r="EQ3" s="326" t="s">
        <v>502</v>
      </c>
      <c r="ER3" s="325" t="s">
        <v>503</v>
      </c>
      <c r="ES3" s="321" t="s">
        <v>504</v>
      </c>
      <c r="ET3" s="321" t="s">
        <v>505</v>
      </c>
      <c r="EU3" s="321" t="s">
        <v>506</v>
      </c>
      <c r="EV3" s="321" t="s">
        <v>507</v>
      </c>
      <c r="EW3" s="326" t="s">
        <v>508</v>
      </c>
      <c r="EX3" s="325" t="s">
        <v>509</v>
      </c>
      <c r="EY3" s="321" t="s">
        <v>510</v>
      </c>
      <c r="EZ3" s="321" t="s">
        <v>511</v>
      </c>
      <c r="FA3" s="321" t="s">
        <v>512</v>
      </c>
      <c r="FB3" s="321" t="s">
        <v>513</v>
      </c>
      <c r="FC3" s="326" t="s">
        <v>514</v>
      </c>
      <c r="FD3" s="325" t="s">
        <v>515</v>
      </c>
      <c r="FE3" s="321" t="s">
        <v>516</v>
      </c>
      <c r="FF3" s="321" t="s">
        <v>517</v>
      </c>
      <c r="FG3" s="321" t="s">
        <v>518</v>
      </c>
      <c r="FH3" s="321" t="s">
        <v>519</v>
      </c>
      <c r="FI3" s="326" t="s">
        <v>520</v>
      </c>
      <c r="FJ3" s="325" t="s">
        <v>521</v>
      </c>
      <c r="FK3" s="321" t="s">
        <v>522</v>
      </c>
      <c r="FL3" s="321" t="s">
        <v>523</v>
      </c>
      <c r="FM3" s="321" t="s">
        <v>524</v>
      </c>
      <c r="FN3" s="321" t="s">
        <v>525</v>
      </c>
      <c r="FO3" s="326" t="s">
        <v>526</v>
      </c>
      <c r="FP3" s="325" t="s">
        <v>527</v>
      </c>
      <c r="FQ3" s="321" t="s">
        <v>528</v>
      </c>
      <c r="FR3" s="321" t="s">
        <v>529</v>
      </c>
      <c r="FS3" s="321" t="s">
        <v>530</v>
      </c>
      <c r="FT3" s="321" t="s">
        <v>531</v>
      </c>
      <c r="FU3" s="326" t="s">
        <v>532</v>
      </c>
      <c r="FV3" s="325" t="s">
        <v>533</v>
      </c>
      <c r="FW3" s="321" t="s">
        <v>534</v>
      </c>
      <c r="FX3" s="321" t="s">
        <v>535</v>
      </c>
      <c r="FY3" s="321" t="s">
        <v>536</v>
      </c>
      <c r="FZ3" s="321" t="s">
        <v>537</v>
      </c>
      <c r="GA3" s="326" t="s">
        <v>538</v>
      </c>
      <c r="GB3" s="325" t="s">
        <v>539</v>
      </c>
      <c r="GC3" s="321" t="s">
        <v>540</v>
      </c>
      <c r="GD3" s="321" t="s">
        <v>541</v>
      </c>
      <c r="GE3" s="321" t="s">
        <v>542</v>
      </c>
      <c r="GF3" s="321" t="s">
        <v>543</v>
      </c>
      <c r="GG3" s="326" t="s">
        <v>544</v>
      </c>
      <c r="GH3" s="325" t="s">
        <v>545</v>
      </c>
      <c r="GI3" s="321" t="s">
        <v>546</v>
      </c>
      <c r="GJ3" s="321" t="s">
        <v>547</v>
      </c>
      <c r="GK3" s="321" t="s">
        <v>548</v>
      </c>
      <c r="GL3" s="321" t="s">
        <v>549</v>
      </c>
      <c r="GM3" s="326" t="s">
        <v>550</v>
      </c>
      <c r="GN3" s="325" t="s">
        <v>551</v>
      </c>
      <c r="GO3" s="321" t="s">
        <v>552</v>
      </c>
      <c r="GP3" s="321" t="s">
        <v>553</v>
      </c>
      <c r="GQ3" s="321" t="s">
        <v>554</v>
      </c>
      <c r="GR3" s="321" t="s">
        <v>555</v>
      </c>
      <c r="GS3" s="326" t="s">
        <v>556</v>
      </c>
      <c r="GT3" s="325" t="s">
        <v>557</v>
      </c>
      <c r="GU3" s="321" t="s">
        <v>558</v>
      </c>
      <c r="GV3" s="321" t="s">
        <v>559</v>
      </c>
      <c r="GW3" s="321" t="s">
        <v>560</v>
      </c>
      <c r="GX3" s="321" t="s">
        <v>561</v>
      </c>
      <c r="GY3" s="326" t="s">
        <v>562</v>
      </c>
      <c r="GZ3" s="325" t="s">
        <v>563</v>
      </c>
      <c r="HA3" s="321" t="s">
        <v>564</v>
      </c>
      <c r="HB3" s="321" t="s">
        <v>565</v>
      </c>
      <c r="HC3" s="321" t="s">
        <v>566</v>
      </c>
      <c r="HD3" s="321" t="s">
        <v>567</v>
      </c>
      <c r="HE3" s="326" t="s">
        <v>568</v>
      </c>
      <c r="HF3" s="325" t="s">
        <v>569</v>
      </c>
      <c r="HG3" s="321" t="s">
        <v>570</v>
      </c>
      <c r="HH3" s="321" t="s">
        <v>571</v>
      </c>
      <c r="HI3" s="321" t="s">
        <v>572</v>
      </c>
      <c r="HJ3" s="321" t="s">
        <v>573</v>
      </c>
      <c r="HK3" s="321" t="s">
        <v>574</v>
      </c>
      <c r="HL3" s="325" t="s">
        <v>959</v>
      </c>
      <c r="HM3" s="321" t="s">
        <v>960</v>
      </c>
      <c r="HN3" s="321" t="s">
        <v>961</v>
      </c>
      <c r="HO3" s="321" t="s">
        <v>962</v>
      </c>
      <c r="HP3" s="321" t="s">
        <v>963</v>
      </c>
      <c r="HQ3" s="326" t="s">
        <v>964</v>
      </c>
      <c r="HR3" s="321" t="s">
        <v>966</v>
      </c>
      <c r="HS3" s="321" t="s">
        <v>967</v>
      </c>
      <c r="HT3" s="321" t="s">
        <v>968</v>
      </c>
      <c r="HU3" s="321" t="s">
        <v>969</v>
      </c>
      <c r="HV3" s="321" t="s">
        <v>970</v>
      </c>
      <c r="HW3" s="321" t="s">
        <v>971</v>
      </c>
      <c r="HX3" s="325" t="s">
        <v>973</v>
      </c>
      <c r="HY3" s="321" t="s">
        <v>974</v>
      </c>
      <c r="HZ3" s="321" t="s">
        <v>975</v>
      </c>
      <c r="IA3" s="321" t="s">
        <v>976</v>
      </c>
      <c r="IB3" s="321" t="s">
        <v>977</v>
      </c>
      <c r="IC3" s="321" t="s">
        <v>978</v>
      </c>
      <c r="ID3" s="325" t="s">
        <v>980</v>
      </c>
      <c r="IE3" s="321" t="s">
        <v>981</v>
      </c>
      <c r="IF3" s="321" t="s">
        <v>982</v>
      </c>
      <c r="IG3" s="321" t="s">
        <v>983</v>
      </c>
      <c r="IH3" s="321" t="s">
        <v>984</v>
      </c>
      <c r="II3" s="326" t="s">
        <v>985</v>
      </c>
      <c r="IJ3" s="321" t="s">
        <v>987</v>
      </c>
      <c r="IK3" s="321" t="s">
        <v>988</v>
      </c>
      <c r="IL3" s="321" t="s">
        <v>989</v>
      </c>
      <c r="IM3" s="321" t="s">
        <v>990</v>
      </c>
      <c r="IN3" s="321" t="s">
        <v>991</v>
      </c>
      <c r="IO3" s="321" t="s">
        <v>992</v>
      </c>
      <c r="IP3" s="325" t="s">
        <v>575</v>
      </c>
      <c r="IQ3" s="321" t="s">
        <v>576</v>
      </c>
      <c r="IR3" s="321" t="s">
        <v>577</v>
      </c>
      <c r="IS3" s="321" t="s">
        <v>578</v>
      </c>
      <c r="IT3" s="321" t="s">
        <v>579</v>
      </c>
      <c r="IU3" s="326" t="s">
        <v>580</v>
      </c>
      <c r="IV3" s="325" t="s">
        <v>581</v>
      </c>
      <c r="IW3" s="321" t="s">
        <v>582</v>
      </c>
      <c r="IX3" s="321" t="s">
        <v>583</v>
      </c>
      <c r="IY3" s="321" t="s">
        <v>584</v>
      </c>
      <c r="IZ3" s="321" t="s">
        <v>585</v>
      </c>
      <c r="JA3" s="326" t="s">
        <v>586</v>
      </c>
      <c r="JB3" s="325" t="s">
        <v>587</v>
      </c>
      <c r="JC3" s="321" t="s">
        <v>588</v>
      </c>
      <c r="JD3" s="321" t="s">
        <v>589</v>
      </c>
      <c r="JE3" s="321" t="s">
        <v>590</v>
      </c>
      <c r="JF3" s="321" t="s">
        <v>591</v>
      </c>
      <c r="JG3" s="326" t="s">
        <v>592</v>
      </c>
      <c r="JH3" s="325" t="s">
        <v>593</v>
      </c>
      <c r="JI3" s="321" t="s">
        <v>594</v>
      </c>
      <c r="JJ3" s="321" t="s">
        <v>595</v>
      </c>
      <c r="JK3" s="321" t="s">
        <v>596</v>
      </c>
      <c r="JL3" s="321" t="s">
        <v>597</v>
      </c>
      <c r="JM3" s="326" t="s">
        <v>598</v>
      </c>
      <c r="JN3" s="325" t="s">
        <v>599</v>
      </c>
      <c r="JO3" s="321" t="s">
        <v>600</v>
      </c>
      <c r="JP3" s="321" t="s">
        <v>601</v>
      </c>
      <c r="JQ3" s="321" t="s">
        <v>602</v>
      </c>
      <c r="JR3" s="321" t="s">
        <v>603</v>
      </c>
      <c r="JS3" s="326" t="s">
        <v>604</v>
      </c>
      <c r="JT3" s="325" t="s">
        <v>605</v>
      </c>
      <c r="JU3" s="321" t="s">
        <v>606</v>
      </c>
      <c r="JV3" s="321" t="s">
        <v>607</v>
      </c>
      <c r="JW3" s="321" t="s">
        <v>608</v>
      </c>
      <c r="JX3" s="321" t="s">
        <v>609</v>
      </c>
      <c r="JY3" s="326" t="s">
        <v>610</v>
      </c>
      <c r="JZ3" s="325" t="s">
        <v>611</v>
      </c>
      <c r="KA3" s="321" t="s">
        <v>612</v>
      </c>
      <c r="KB3" s="321" t="s">
        <v>613</v>
      </c>
      <c r="KC3" s="321" t="s">
        <v>614</v>
      </c>
      <c r="KD3" s="321" t="s">
        <v>615</v>
      </c>
      <c r="KE3" s="326" t="s">
        <v>616</v>
      </c>
      <c r="KF3" s="325" t="s">
        <v>617</v>
      </c>
      <c r="KG3" s="321" t="s">
        <v>618</v>
      </c>
      <c r="KH3" s="321" t="s">
        <v>619</v>
      </c>
      <c r="KI3" s="321" t="s">
        <v>620</v>
      </c>
      <c r="KJ3" s="321" t="s">
        <v>621</v>
      </c>
      <c r="KK3" s="326" t="s">
        <v>622</v>
      </c>
      <c r="KL3" s="325" t="s">
        <v>623</v>
      </c>
      <c r="KM3" s="321" t="s">
        <v>624</v>
      </c>
      <c r="KN3" s="321" t="s">
        <v>625</v>
      </c>
      <c r="KO3" s="321" t="s">
        <v>626</v>
      </c>
      <c r="KP3" s="321" t="s">
        <v>627</v>
      </c>
      <c r="KQ3" s="326" t="s">
        <v>628</v>
      </c>
      <c r="KR3" s="325" t="s">
        <v>629</v>
      </c>
      <c r="KS3" s="321" t="s">
        <v>630</v>
      </c>
      <c r="KT3" s="321" t="s">
        <v>631</v>
      </c>
      <c r="KU3" s="321" t="s">
        <v>632</v>
      </c>
      <c r="KV3" s="321" t="s">
        <v>633</v>
      </c>
      <c r="KW3" s="326" t="s">
        <v>634</v>
      </c>
      <c r="KX3" s="325" t="s">
        <v>635</v>
      </c>
      <c r="KY3" s="321" t="s">
        <v>636</v>
      </c>
      <c r="KZ3" s="321" t="s">
        <v>637</v>
      </c>
      <c r="LA3" s="321" t="s">
        <v>638</v>
      </c>
      <c r="LB3" s="321" t="s">
        <v>639</v>
      </c>
      <c r="LC3" s="326" t="s">
        <v>640</v>
      </c>
      <c r="LD3" s="325" t="s">
        <v>641</v>
      </c>
      <c r="LE3" s="321" t="s">
        <v>642</v>
      </c>
      <c r="LF3" s="321" t="s">
        <v>643</v>
      </c>
      <c r="LG3" s="321" t="s">
        <v>644</v>
      </c>
      <c r="LH3" s="321" t="s">
        <v>645</v>
      </c>
      <c r="LI3" s="326" t="s">
        <v>646</v>
      </c>
      <c r="LJ3" s="325" t="s">
        <v>647</v>
      </c>
      <c r="LK3" s="321" t="s">
        <v>648</v>
      </c>
      <c r="LL3" s="321" t="s">
        <v>649</v>
      </c>
      <c r="LM3" s="321" t="s">
        <v>650</v>
      </c>
      <c r="LN3" s="321" t="s">
        <v>651</v>
      </c>
      <c r="LO3" s="326" t="s">
        <v>652</v>
      </c>
      <c r="LP3" s="325" t="s">
        <v>665</v>
      </c>
      <c r="LQ3" s="321" t="s">
        <v>666</v>
      </c>
      <c r="LR3" s="321" t="s">
        <v>667</v>
      </c>
      <c r="LS3" s="321" t="s">
        <v>668</v>
      </c>
      <c r="LT3" s="321" t="s">
        <v>669</v>
      </c>
      <c r="LU3" s="358" t="s">
        <v>670</v>
      </c>
      <c r="LV3" s="325" t="s">
        <v>653</v>
      </c>
      <c r="LW3" s="321" t="s">
        <v>654</v>
      </c>
      <c r="LX3" s="321" t="s">
        <v>655</v>
      </c>
      <c r="LY3" s="321" t="s">
        <v>656</v>
      </c>
      <c r="LZ3" s="321" t="s">
        <v>657</v>
      </c>
      <c r="MA3" s="326" t="s">
        <v>658</v>
      </c>
      <c r="MB3" s="325" t="s">
        <v>659</v>
      </c>
      <c r="MC3" s="321" t="s">
        <v>660</v>
      </c>
      <c r="MD3" s="321" t="s">
        <v>661</v>
      </c>
      <c r="ME3" s="321" t="s">
        <v>662</v>
      </c>
      <c r="MF3" s="321" t="s">
        <v>663</v>
      </c>
      <c r="MG3" s="358" t="s">
        <v>664</v>
      </c>
    </row>
    <row r="4" spans="1:351" ht="15" outlineLevel="1">
      <c r="A4" s="3"/>
      <c r="B4" s="335"/>
      <c r="C4" s="4"/>
      <c r="D4" s="336"/>
      <c r="E4" s="335"/>
      <c r="F4" s="4"/>
      <c r="G4" s="4"/>
      <c r="H4" s="336"/>
      <c r="I4" s="346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336"/>
      <c r="Y4" s="346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336"/>
      <c r="BA4" s="335"/>
      <c r="BB4" s="4"/>
      <c r="BC4" s="4"/>
      <c r="BD4" s="4"/>
      <c r="BE4" s="4"/>
      <c r="BF4" s="336"/>
      <c r="BG4" s="335"/>
      <c r="BH4" s="4"/>
      <c r="BI4" s="4"/>
      <c r="BJ4" s="4"/>
      <c r="BK4" s="4"/>
      <c r="BL4" s="336"/>
      <c r="BM4" s="335"/>
      <c r="BN4" s="4"/>
      <c r="BO4" s="4"/>
      <c r="BP4" s="4"/>
      <c r="BQ4" s="4"/>
      <c r="BR4" s="4"/>
      <c r="BS4" s="4"/>
      <c r="BT4" s="4"/>
      <c r="BU4" s="4"/>
      <c r="BV4" s="4"/>
      <c r="BW4" s="336"/>
      <c r="BX4" s="335"/>
      <c r="BY4" s="4"/>
      <c r="BZ4" s="4"/>
      <c r="CA4" s="4"/>
      <c r="CB4" s="4"/>
      <c r="CC4" s="4"/>
      <c r="CD4" s="4"/>
      <c r="CE4" s="4"/>
      <c r="CF4" s="4"/>
      <c r="CG4" s="336"/>
      <c r="CH4" s="335"/>
      <c r="CI4" s="4"/>
      <c r="CJ4" s="4"/>
      <c r="CK4" s="4"/>
      <c r="CL4" s="4"/>
      <c r="CM4" s="4"/>
      <c r="CN4" s="4"/>
      <c r="CO4" s="4"/>
      <c r="CP4" s="4"/>
      <c r="CQ4" s="336"/>
      <c r="CR4" s="335"/>
      <c r="CS4" s="4"/>
      <c r="CT4" s="4"/>
      <c r="CU4" s="4"/>
      <c r="CV4" s="4"/>
      <c r="CW4" s="4"/>
      <c r="CX4" s="4"/>
      <c r="CY4" s="4"/>
      <c r="CZ4" s="4"/>
      <c r="DA4" s="336"/>
      <c r="DB4" s="335"/>
      <c r="DC4" s="4"/>
      <c r="DD4" s="4"/>
      <c r="DE4" s="336"/>
      <c r="DF4" s="335"/>
      <c r="DG4" s="4"/>
      <c r="DH4" s="4"/>
      <c r="DI4" s="336"/>
      <c r="DJ4" s="335"/>
      <c r="DK4" s="4"/>
      <c r="DL4" s="4"/>
      <c r="DM4" s="336"/>
      <c r="DN4" s="335"/>
      <c r="DO4" s="4"/>
      <c r="DP4" s="4"/>
      <c r="DQ4" s="336"/>
      <c r="DR4" s="335"/>
      <c r="DS4" s="4"/>
      <c r="DT4" s="4"/>
      <c r="DU4" s="336"/>
      <c r="DV4" s="335"/>
      <c r="DW4" s="4"/>
      <c r="DX4" s="4"/>
      <c r="DY4" s="336"/>
      <c r="DZ4" s="323"/>
      <c r="EA4" s="323"/>
      <c r="EB4" s="323"/>
      <c r="EC4" s="323"/>
      <c r="ED4" s="323"/>
      <c r="EE4" s="324"/>
      <c r="EF4" s="322"/>
      <c r="EG4" s="323"/>
      <c r="EH4" s="323"/>
      <c r="EI4" s="323"/>
      <c r="EJ4" s="323"/>
      <c r="EK4" s="324"/>
      <c r="EL4" s="322"/>
      <c r="EM4" s="323"/>
      <c r="EN4" s="323"/>
      <c r="EO4" s="323"/>
      <c r="EP4" s="323"/>
      <c r="EQ4" s="324"/>
      <c r="ER4" s="322"/>
      <c r="ES4" s="323"/>
      <c r="ET4" s="323"/>
      <c r="EU4" s="323"/>
      <c r="EV4" s="323"/>
      <c r="EW4" s="324"/>
      <c r="EX4" s="322"/>
      <c r="EY4" s="323"/>
      <c r="EZ4" s="323"/>
      <c r="FA4" s="323"/>
      <c r="FB4" s="323"/>
      <c r="FC4" s="324"/>
      <c r="FD4" s="322"/>
      <c r="FE4" s="323"/>
      <c r="FF4" s="323"/>
      <c r="FG4" s="323"/>
      <c r="FH4" s="323"/>
      <c r="FI4" s="324"/>
      <c r="FJ4" s="322"/>
      <c r="FK4" s="323"/>
      <c r="FL4" s="323"/>
      <c r="FM4" s="323"/>
      <c r="FN4" s="323"/>
      <c r="FO4" s="324"/>
      <c r="FP4" s="322"/>
      <c r="FQ4" s="323"/>
      <c r="FR4" s="323"/>
      <c r="FS4" s="323"/>
      <c r="FT4" s="323"/>
      <c r="FU4" s="324"/>
      <c r="FV4" s="322"/>
      <c r="FW4" s="323"/>
      <c r="FX4" s="323"/>
      <c r="FY4" s="323"/>
      <c r="FZ4" s="323"/>
      <c r="GA4" s="324"/>
      <c r="GB4" s="322"/>
      <c r="GC4" s="323"/>
      <c r="GD4" s="323"/>
      <c r="GE4" s="323"/>
      <c r="GF4" s="323"/>
      <c r="GG4" s="324"/>
      <c r="GH4" s="322"/>
      <c r="GI4" s="323"/>
      <c r="GJ4" s="323"/>
      <c r="GK4" s="323"/>
      <c r="GL4" s="323"/>
      <c r="GM4" s="324"/>
      <c r="GN4" s="322"/>
      <c r="GO4" s="323"/>
      <c r="GP4" s="323"/>
      <c r="GQ4" s="323"/>
      <c r="GR4" s="323"/>
      <c r="GS4" s="324"/>
      <c r="GT4" s="322"/>
      <c r="GU4" s="323"/>
      <c r="GV4" s="323"/>
      <c r="GW4" s="323"/>
      <c r="GX4" s="323"/>
      <c r="GY4" s="324"/>
      <c r="GZ4" s="322"/>
      <c r="HA4" s="323"/>
      <c r="HB4" s="323"/>
      <c r="HC4" s="323"/>
      <c r="HD4" s="323"/>
      <c r="HE4" s="324"/>
      <c r="HF4" s="322"/>
      <c r="HG4" s="323"/>
      <c r="HH4" s="323"/>
      <c r="HI4" s="323"/>
      <c r="HJ4" s="323"/>
      <c r="HK4" s="323"/>
      <c r="HL4" s="398"/>
      <c r="HM4" s="399"/>
      <c r="HN4" s="399"/>
      <c r="HO4" s="399"/>
      <c r="HP4" s="399"/>
      <c r="HQ4" s="400"/>
      <c r="HR4" s="399"/>
      <c r="HS4" s="399"/>
      <c r="HT4" s="399"/>
      <c r="HU4" s="399"/>
      <c r="HV4" s="399"/>
      <c r="HW4" s="399"/>
      <c r="HX4" s="398"/>
      <c r="HY4" s="399"/>
      <c r="HZ4" s="399"/>
      <c r="IA4" s="399"/>
      <c r="IB4" s="399"/>
      <c r="IC4" s="399"/>
      <c r="ID4" s="398"/>
      <c r="IE4" s="399"/>
      <c r="IF4" s="399"/>
      <c r="IG4" s="399"/>
      <c r="IH4" s="399"/>
      <c r="II4" s="400"/>
      <c r="IJ4" s="399"/>
      <c r="IK4" s="399"/>
      <c r="IL4" s="399"/>
      <c r="IM4" s="399"/>
      <c r="IN4" s="399"/>
      <c r="IO4" s="399"/>
      <c r="IP4" s="322"/>
      <c r="IQ4" s="323"/>
      <c r="IR4" s="323"/>
      <c r="IS4" s="323"/>
      <c r="IT4" s="323"/>
      <c r="IU4" s="324"/>
      <c r="IV4" s="322"/>
      <c r="IW4" s="323"/>
      <c r="IX4" s="323"/>
      <c r="IY4" s="323"/>
      <c r="IZ4" s="323"/>
      <c r="JA4" s="324"/>
      <c r="JB4" s="322"/>
      <c r="JC4" s="323"/>
      <c r="JD4" s="323"/>
      <c r="JE4" s="323"/>
      <c r="JF4" s="323"/>
      <c r="JG4" s="324"/>
      <c r="JH4" s="322"/>
      <c r="JI4" s="323"/>
      <c r="JJ4" s="323"/>
      <c r="JK4" s="323"/>
      <c r="JL4" s="323"/>
      <c r="JM4" s="324"/>
      <c r="JN4" s="322"/>
      <c r="JO4" s="323"/>
      <c r="JP4" s="323"/>
      <c r="JQ4" s="323"/>
      <c r="JR4" s="323"/>
      <c r="JS4" s="324"/>
      <c r="JT4" s="322"/>
      <c r="JU4" s="323"/>
      <c r="JV4" s="323"/>
      <c r="JW4" s="323"/>
      <c r="JX4" s="323"/>
      <c r="JY4" s="324"/>
      <c r="JZ4" s="322"/>
      <c r="KA4" s="323"/>
      <c r="KB4" s="323"/>
      <c r="KC4" s="323"/>
      <c r="KD4" s="323"/>
      <c r="KE4" s="324"/>
      <c r="KF4" s="322"/>
      <c r="KG4" s="323"/>
      <c r="KH4" s="323"/>
      <c r="KI4" s="323"/>
      <c r="KJ4" s="323"/>
      <c r="KK4" s="324"/>
      <c r="KL4" s="322"/>
      <c r="KM4" s="323"/>
      <c r="KN4" s="323"/>
      <c r="KO4" s="323"/>
      <c r="KP4" s="323"/>
      <c r="KQ4" s="324"/>
      <c r="KR4" s="322"/>
      <c r="KS4" s="323"/>
      <c r="KT4" s="323"/>
      <c r="KU4" s="323"/>
      <c r="KV4" s="323"/>
      <c r="KW4" s="324"/>
      <c r="KX4" s="322"/>
      <c r="KY4" s="323"/>
      <c r="KZ4" s="323"/>
      <c r="LA4" s="323"/>
      <c r="LB4" s="323"/>
      <c r="LC4" s="324"/>
      <c r="LD4" s="322"/>
      <c r="LE4" s="323"/>
      <c r="LF4" s="323"/>
      <c r="LG4" s="323"/>
      <c r="LH4" s="323"/>
      <c r="LI4" s="324"/>
      <c r="LJ4" s="322"/>
      <c r="LK4" s="323"/>
      <c r="LL4" s="323"/>
      <c r="LM4" s="323"/>
      <c r="LN4" s="323"/>
      <c r="LO4" s="324"/>
      <c r="LP4" s="322"/>
      <c r="LQ4" s="323"/>
      <c r="LR4" s="323"/>
      <c r="LS4" s="323"/>
      <c r="LT4" s="323"/>
      <c r="LU4" s="359"/>
      <c r="LV4" s="322"/>
      <c r="LW4" s="323"/>
      <c r="LX4" s="323"/>
      <c r="LY4" s="323"/>
      <c r="LZ4" s="323"/>
      <c r="MA4" s="324"/>
      <c r="MB4" s="322"/>
      <c r="MC4" s="323"/>
      <c r="MD4" s="323"/>
      <c r="ME4" s="323"/>
      <c r="MF4" s="323"/>
      <c r="MG4" s="359"/>
    </row>
    <row r="5" spans="1:351" ht="15" outlineLevel="1">
      <c r="A5" s="3"/>
      <c r="B5" s="337" t="s">
        <v>89</v>
      </c>
      <c r="C5" s="299" t="s">
        <v>89</v>
      </c>
      <c r="D5" s="338" t="s">
        <v>89</v>
      </c>
      <c r="E5" s="360"/>
      <c r="F5" s="299" t="s">
        <v>405</v>
      </c>
      <c r="G5" s="299" t="s">
        <v>406</v>
      </c>
      <c r="H5" s="338" t="s">
        <v>407</v>
      </c>
      <c r="I5" s="337"/>
      <c r="J5" s="300"/>
      <c r="K5" s="300"/>
      <c r="L5" s="299" t="s">
        <v>405</v>
      </c>
      <c r="M5" s="299" t="s">
        <v>406</v>
      </c>
      <c r="N5" s="299" t="s">
        <v>407</v>
      </c>
      <c r="O5" s="300"/>
      <c r="P5" s="300"/>
      <c r="Q5" s="300"/>
      <c r="R5" s="300"/>
      <c r="S5" s="300"/>
      <c r="T5" s="300" t="s">
        <v>409</v>
      </c>
      <c r="U5" s="300" t="s">
        <v>410</v>
      </c>
      <c r="V5" s="300" t="s">
        <v>411</v>
      </c>
      <c r="W5" s="300" t="s">
        <v>412</v>
      </c>
      <c r="X5" s="347" t="s">
        <v>413</v>
      </c>
      <c r="Y5" s="337"/>
      <c r="Z5" s="300"/>
      <c r="AA5" s="300"/>
      <c r="AB5" s="299" t="s">
        <v>405</v>
      </c>
      <c r="AC5" s="299" t="s">
        <v>406</v>
      </c>
      <c r="AD5" s="299" t="s">
        <v>407</v>
      </c>
      <c r="AE5" s="300"/>
      <c r="AF5" s="300"/>
      <c r="AG5" s="300"/>
      <c r="AH5" s="300"/>
      <c r="AI5" s="300"/>
      <c r="AJ5" s="300"/>
      <c r="AK5" s="300"/>
      <c r="AL5" s="300"/>
      <c r="AM5" s="300"/>
      <c r="AN5" s="300"/>
      <c r="AO5" s="300"/>
      <c r="AP5" s="300"/>
      <c r="AQ5" s="300"/>
      <c r="AR5" s="300"/>
      <c r="AS5" s="300"/>
      <c r="AT5" s="300"/>
      <c r="AU5" s="300"/>
      <c r="AV5" s="300" t="s">
        <v>409</v>
      </c>
      <c r="AW5" s="300" t="s">
        <v>410</v>
      </c>
      <c r="AX5" s="300" t="s">
        <v>411</v>
      </c>
      <c r="AY5" s="300" t="s">
        <v>412</v>
      </c>
      <c r="AZ5" s="347" t="s">
        <v>413</v>
      </c>
      <c r="BA5" s="360"/>
      <c r="BB5" s="300"/>
      <c r="BC5" s="300"/>
      <c r="BD5" s="299" t="s">
        <v>405</v>
      </c>
      <c r="BE5" s="299" t="s">
        <v>406</v>
      </c>
      <c r="BF5" s="338" t="s">
        <v>407</v>
      </c>
      <c r="BG5" s="360"/>
      <c r="BH5" s="300"/>
      <c r="BI5" s="300"/>
      <c r="BJ5" s="299" t="s">
        <v>405</v>
      </c>
      <c r="BK5" s="299" t="s">
        <v>406</v>
      </c>
      <c r="BL5" s="338" t="s">
        <v>407</v>
      </c>
      <c r="BM5" s="360"/>
      <c r="BN5" s="300"/>
      <c r="BO5" s="300"/>
      <c r="BP5" s="299" t="s">
        <v>405</v>
      </c>
      <c r="BQ5" s="299" t="s">
        <v>406</v>
      </c>
      <c r="BR5" s="299" t="s">
        <v>407</v>
      </c>
      <c r="BS5" s="300" t="s">
        <v>409</v>
      </c>
      <c r="BT5" s="300" t="s">
        <v>410</v>
      </c>
      <c r="BU5" s="300" t="s">
        <v>411</v>
      </c>
      <c r="BV5" s="300" t="s">
        <v>412</v>
      </c>
      <c r="BW5" s="347" t="s">
        <v>413</v>
      </c>
      <c r="BX5" s="360"/>
      <c r="BY5" s="300"/>
      <c r="BZ5" s="300"/>
      <c r="CA5" s="300"/>
      <c r="CB5" s="300"/>
      <c r="CC5" s="300" t="s">
        <v>409</v>
      </c>
      <c r="CD5" s="300" t="s">
        <v>410</v>
      </c>
      <c r="CE5" s="300" t="s">
        <v>411</v>
      </c>
      <c r="CF5" s="300" t="s">
        <v>412</v>
      </c>
      <c r="CG5" s="347" t="s">
        <v>413</v>
      </c>
      <c r="CH5" s="360"/>
      <c r="CI5" s="300"/>
      <c r="CJ5" s="300"/>
      <c r="CK5" s="300"/>
      <c r="CL5" s="300"/>
      <c r="CM5" s="300" t="s">
        <v>409</v>
      </c>
      <c r="CN5" s="300" t="s">
        <v>410</v>
      </c>
      <c r="CO5" s="300" t="s">
        <v>411</v>
      </c>
      <c r="CP5" s="300" t="s">
        <v>412</v>
      </c>
      <c r="CQ5" s="347" t="s">
        <v>413</v>
      </c>
      <c r="CR5" s="360"/>
      <c r="CS5" s="300"/>
      <c r="CT5" s="300"/>
      <c r="CU5" s="300"/>
      <c r="CV5" s="300"/>
      <c r="CW5" s="300" t="s">
        <v>409</v>
      </c>
      <c r="CX5" s="300" t="s">
        <v>410</v>
      </c>
      <c r="CY5" s="300" t="s">
        <v>411</v>
      </c>
      <c r="CZ5" s="300" t="s">
        <v>412</v>
      </c>
      <c r="DA5" s="347" t="s">
        <v>413</v>
      </c>
      <c r="DB5" s="360"/>
      <c r="DC5" s="300"/>
      <c r="DD5" s="300"/>
      <c r="DE5" s="347"/>
      <c r="DF5" s="360"/>
      <c r="DG5" s="300"/>
      <c r="DH5" s="300"/>
      <c r="DI5" s="347"/>
      <c r="DJ5" s="360"/>
      <c r="DK5" s="300"/>
      <c r="DL5" s="300"/>
      <c r="DM5" s="347"/>
      <c r="DN5" s="360"/>
      <c r="DO5" s="300"/>
      <c r="DP5" s="300"/>
      <c r="DQ5" s="347"/>
      <c r="DR5" s="360"/>
      <c r="DS5" s="300"/>
      <c r="DT5" s="300"/>
      <c r="DU5" s="347"/>
      <c r="DV5" s="360"/>
      <c r="DW5" s="300"/>
      <c r="DX5" s="300"/>
      <c r="DY5" s="347"/>
      <c r="DZ5" s="323"/>
      <c r="EA5" s="323"/>
      <c r="EB5" s="323"/>
      <c r="EC5" s="323"/>
      <c r="ED5" s="323"/>
      <c r="EE5" s="324"/>
      <c r="EF5" s="322"/>
      <c r="EG5" s="323"/>
      <c r="EH5" s="323"/>
      <c r="EI5" s="323"/>
      <c r="EJ5" s="323"/>
      <c r="EK5" s="324"/>
      <c r="EL5" s="322"/>
      <c r="EM5" s="323"/>
      <c r="EN5" s="323"/>
      <c r="EO5" s="323"/>
      <c r="EP5" s="323"/>
      <c r="EQ5" s="324"/>
      <c r="ER5" s="322"/>
      <c r="ES5" s="323"/>
      <c r="ET5" s="323"/>
      <c r="EU5" s="323"/>
      <c r="EV5" s="323"/>
      <c r="EW5" s="324"/>
      <c r="EX5" s="322"/>
      <c r="EY5" s="323"/>
      <c r="EZ5" s="323"/>
      <c r="FA5" s="323"/>
      <c r="FB5" s="323"/>
      <c r="FC5" s="324"/>
      <c r="FD5" s="322"/>
      <c r="FE5" s="323"/>
      <c r="FF5" s="323"/>
      <c r="FG5" s="323"/>
      <c r="FH5" s="323"/>
      <c r="FI5" s="324"/>
      <c r="FJ5" s="322"/>
      <c r="FK5" s="323"/>
      <c r="FL5" s="323"/>
      <c r="FM5" s="323"/>
      <c r="FN5" s="323"/>
      <c r="FO5" s="324"/>
      <c r="FP5" s="322"/>
      <c r="FQ5" s="323"/>
      <c r="FR5" s="323"/>
      <c r="FS5" s="323"/>
      <c r="FT5" s="323"/>
      <c r="FU5" s="324"/>
      <c r="FV5" s="322"/>
      <c r="FW5" s="323"/>
      <c r="FX5" s="323"/>
      <c r="FY5" s="323"/>
      <c r="FZ5" s="323"/>
      <c r="GA5" s="324"/>
      <c r="GB5" s="322"/>
      <c r="GC5" s="323"/>
      <c r="GD5" s="323"/>
      <c r="GE5" s="323"/>
      <c r="GF5" s="323"/>
      <c r="GG5" s="324"/>
      <c r="GH5" s="322"/>
      <c r="GI5" s="323"/>
      <c r="GJ5" s="323"/>
      <c r="GK5" s="323"/>
      <c r="GL5" s="323"/>
      <c r="GM5" s="324"/>
      <c r="GN5" s="322"/>
      <c r="GO5" s="323"/>
      <c r="GP5" s="323"/>
      <c r="GQ5" s="323"/>
      <c r="GR5" s="323"/>
      <c r="GS5" s="324"/>
      <c r="GT5" s="322"/>
      <c r="GU5" s="323"/>
      <c r="GV5" s="323"/>
      <c r="GW5" s="323"/>
      <c r="GX5" s="323"/>
      <c r="GY5" s="324"/>
      <c r="GZ5" s="322"/>
      <c r="HA5" s="323"/>
      <c r="HB5" s="323"/>
      <c r="HC5" s="323"/>
      <c r="HD5" s="323"/>
      <c r="HE5" s="324"/>
      <c r="HF5" s="322"/>
      <c r="HG5" s="323"/>
      <c r="HH5" s="323"/>
      <c r="HI5" s="323"/>
      <c r="HJ5" s="323"/>
      <c r="HK5" s="323"/>
      <c r="HL5" s="398"/>
      <c r="HM5" s="399"/>
      <c r="HN5" s="399"/>
      <c r="HO5" s="399"/>
      <c r="HP5" s="399"/>
      <c r="HQ5" s="400"/>
      <c r="HR5" s="399"/>
      <c r="HS5" s="399"/>
      <c r="HT5" s="399"/>
      <c r="HU5" s="399"/>
      <c r="HV5" s="399"/>
      <c r="HW5" s="399"/>
      <c r="HX5" s="398"/>
      <c r="HY5" s="399"/>
      <c r="HZ5" s="399"/>
      <c r="IA5" s="399"/>
      <c r="IB5" s="399"/>
      <c r="IC5" s="399"/>
      <c r="ID5" s="398"/>
      <c r="IE5" s="399"/>
      <c r="IF5" s="399"/>
      <c r="IG5" s="399"/>
      <c r="IH5" s="399"/>
      <c r="II5" s="400"/>
      <c r="IJ5" s="399"/>
      <c r="IK5" s="399"/>
      <c r="IL5" s="399"/>
      <c r="IM5" s="399"/>
      <c r="IN5" s="399"/>
      <c r="IO5" s="399"/>
      <c r="IP5" s="322"/>
      <c r="IQ5" s="323"/>
      <c r="IR5" s="323"/>
      <c r="IS5" s="323"/>
      <c r="IT5" s="323"/>
      <c r="IU5" s="324"/>
      <c r="IV5" s="322"/>
      <c r="IW5" s="323"/>
      <c r="IX5" s="323"/>
      <c r="IY5" s="323"/>
      <c r="IZ5" s="323"/>
      <c r="JA5" s="324"/>
      <c r="JB5" s="322"/>
      <c r="JC5" s="323"/>
      <c r="JD5" s="323"/>
      <c r="JE5" s="323"/>
      <c r="JF5" s="323"/>
      <c r="JG5" s="324"/>
      <c r="JH5" s="322"/>
      <c r="JI5" s="323"/>
      <c r="JJ5" s="323"/>
      <c r="JK5" s="323"/>
      <c r="JL5" s="323"/>
      <c r="JM5" s="324"/>
      <c r="JN5" s="322"/>
      <c r="JO5" s="323"/>
      <c r="JP5" s="323"/>
      <c r="JQ5" s="323"/>
      <c r="JR5" s="323"/>
      <c r="JS5" s="324"/>
      <c r="JT5" s="322"/>
      <c r="JU5" s="323"/>
      <c r="JV5" s="323"/>
      <c r="JW5" s="323"/>
      <c r="JX5" s="323"/>
      <c r="JY5" s="324"/>
      <c r="JZ5" s="322"/>
      <c r="KA5" s="323"/>
      <c r="KB5" s="323"/>
      <c r="KC5" s="323"/>
      <c r="KD5" s="323"/>
      <c r="KE5" s="324"/>
      <c r="KF5" s="322"/>
      <c r="KG5" s="323"/>
      <c r="KH5" s="323"/>
      <c r="KI5" s="323"/>
      <c r="KJ5" s="323"/>
      <c r="KK5" s="324"/>
      <c r="KL5" s="322"/>
      <c r="KM5" s="323"/>
      <c r="KN5" s="323"/>
      <c r="KO5" s="323"/>
      <c r="KP5" s="323"/>
      <c r="KQ5" s="324"/>
      <c r="KR5" s="322"/>
      <c r="KS5" s="323"/>
      <c r="KT5" s="323"/>
      <c r="KU5" s="323"/>
      <c r="KV5" s="323"/>
      <c r="KW5" s="324"/>
      <c r="KX5" s="322"/>
      <c r="KY5" s="323"/>
      <c r="KZ5" s="323"/>
      <c r="LA5" s="323"/>
      <c r="LB5" s="323"/>
      <c r="LC5" s="324"/>
      <c r="LD5" s="322"/>
      <c r="LE5" s="323"/>
      <c r="LF5" s="323"/>
      <c r="LG5" s="323"/>
      <c r="LH5" s="323"/>
      <c r="LI5" s="324"/>
      <c r="LJ5" s="322"/>
      <c r="LK5" s="323"/>
      <c r="LL5" s="323"/>
      <c r="LM5" s="323"/>
      <c r="LN5" s="323"/>
      <c r="LO5" s="324"/>
      <c r="LP5" s="322"/>
      <c r="LQ5" s="323"/>
      <c r="LR5" s="323"/>
      <c r="LS5" s="323"/>
      <c r="LT5" s="323"/>
      <c r="LU5" s="359"/>
      <c r="LV5" s="322"/>
      <c r="LW5" s="323"/>
      <c r="LX5" s="323"/>
      <c r="LY5" s="323"/>
      <c r="LZ5" s="323"/>
      <c r="MA5" s="324"/>
      <c r="MB5" s="322"/>
      <c r="MC5" s="323"/>
      <c r="MD5" s="323"/>
      <c r="ME5" s="323"/>
      <c r="MF5" s="323"/>
      <c r="MG5" s="359"/>
    </row>
    <row r="6" spans="1:351" ht="15" outlineLevel="1">
      <c r="A6" s="3" t="s">
        <v>147</v>
      </c>
      <c r="B6" s="335">
        <v>2016</v>
      </c>
      <c r="C6" s="4">
        <v>2016</v>
      </c>
      <c r="D6" s="336">
        <v>2016</v>
      </c>
      <c r="E6" s="335">
        <v>2013</v>
      </c>
      <c r="F6" s="4">
        <v>2016</v>
      </c>
      <c r="G6" s="4">
        <v>2016</v>
      </c>
      <c r="H6" s="336">
        <v>2016</v>
      </c>
      <c r="I6" s="346"/>
      <c r="J6" s="4"/>
      <c r="K6" s="4"/>
      <c r="L6" s="4">
        <v>2016</v>
      </c>
      <c r="M6" s="4">
        <v>2016</v>
      </c>
      <c r="N6" s="4">
        <v>2016</v>
      </c>
      <c r="O6" s="4"/>
      <c r="P6" s="4"/>
      <c r="Q6" s="4"/>
      <c r="R6" s="4"/>
      <c r="S6" s="4"/>
      <c r="T6" s="4"/>
      <c r="U6" s="4"/>
      <c r="V6" s="4"/>
      <c r="W6" s="4"/>
      <c r="X6" s="336"/>
      <c r="Y6" s="346"/>
      <c r="Z6" s="4"/>
      <c r="AA6" s="4"/>
      <c r="AB6" s="4">
        <v>2016</v>
      </c>
      <c r="AC6" s="4">
        <v>2016</v>
      </c>
      <c r="AD6" s="4">
        <v>2016</v>
      </c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336"/>
      <c r="BA6" s="335"/>
      <c r="BB6" s="4"/>
      <c r="BC6" s="4"/>
      <c r="BD6" s="4">
        <v>2016</v>
      </c>
      <c r="BE6" s="4">
        <v>2016</v>
      </c>
      <c r="BF6" s="336">
        <v>2016</v>
      </c>
      <c r="BG6" s="335"/>
      <c r="BH6" s="4"/>
      <c r="BI6" s="4"/>
      <c r="BJ6" s="4">
        <v>2016</v>
      </c>
      <c r="BK6" s="4">
        <v>2016</v>
      </c>
      <c r="BL6" s="336">
        <v>2016</v>
      </c>
      <c r="BM6" s="335"/>
      <c r="BN6" s="4"/>
      <c r="BO6" s="4"/>
      <c r="BP6" s="4">
        <v>2016</v>
      </c>
      <c r="BQ6" s="4">
        <v>2016</v>
      </c>
      <c r="BR6" s="306">
        <v>2016</v>
      </c>
      <c r="BS6" s="4"/>
      <c r="BT6" s="4"/>
      <c r="BU6" s="4"/>
      <c r="BV6" s="4"/>
      <c r="BW6" s="336"/>
      <c r="BX6" s="335"/>
      <c r="BY6" s="4"/>
      <c r="BZ6" s="4">
        <v>2016</v>
      </c>
      <c r="CA6" s="4">
        <v>2016</v>
      </c>
      <c r="CB6" s="4">
        <v>2016</v>
      </c>
      <c r="CC6" s="4"/>
      <c r="CD6" s="4"/>
      <c r="CE6" s="4"/>
      <c r="CF6" s="4"/>
      <c r="CG6" s="336"/>
      <c r="CH6" s="335"/>
      <c r="CI6" s="4"/>
      <c r="CJ6" s="4">
        <v>2016</v>
      </c>
      <c r="CK6" s="4">
        <v>2016</v>
      </c>
      <c r="CL6" s="4">
        <v>2016</v>
      </c>
      <c r="CM6" s="332"/>
      <c r="CN6" s="332"/>
      <c r="CO6" s="332"/>
      <c r="CP6" s="332"/>
      <c r="CQ6" s="348"/>
      <c r="CR6" s="335"/>
      <c r="CS6" s="4"/>
      <c r="CT6" s="4">
        <v>2016</v>
      </c>
      <c r="CU6" s="4">
        <v>2016</v>
      </c>
      <c r="CV6" s="4">
        <v>2016</v>
      </c>
      <c r="CW6" s="332"/>
      <c r="CX6" s="332"/>
      <c r="CY6" s="332"/>
      <c r="CZ6" s="332"/>
      <c r="DA6" s="348"/>
      <c r="DB6" s="361"/>
      <c r="DC6" s="332"/>
      <c r="DD6" s="332"/>
      <c r="DE6" s="348"/>
      <c r="DF6" s="361"/>
      <c r="DG6" s="332"/>
      <c r="DH6" s="332"/>
      <c r="DI6" s="348"/>
      <c r="DJ6" s="361"/>
      <c r="DK6" s="332"/>
      <c r="DL6" s="332"/>
      <c r="DM6" s="348"/>
      <c r="DN6" s="361"/>
      <c r="DO6" s="332"/>
      <c r="DP6" s="332"/>
      <c r="DQ6" s="348"/>
      <c r="DR6" s="361"/>
      <c r="DS6" s="332"/>
      <c r="DT6" s="332"/>
      <c r="DU6" s="348"/>
      <c r="DV6" s="361"/>
      <c r="DW6" s="332"/>
      <c r="DX6" s="332"/>
      <c r="DY6" s="348"/>
      <c r="DZ6" s="323"/>
      <c r="EA6" s="323"/>
      <c r="EB6" s="323"/>
      <c r="EC6" s="323"/>
      <c r="ED6" s="323"/>
      <c r="EE6" s="324"/>
      <c r="EF6" s="322"/>
      <c r="EG6" s="323"/>
      <c r="EH6" s="323"/>
      <c r="EI6" s="323"/>
      <c r="EJ6" s="323"/>
      <c r="EK6" s="324"/>
      <c r="EL6" s="322"/>
      <c r="EM6" s="323"/>
      <c r="EN6" s="323"/>
      <c r="EO6" s="323"/>
      <c r="EP6" s="323"/>
      <c r="EQ6" s="324"/>
      <c r="ER6" s="322"/>
      <c r="ES6" s="323"/>
      <c r="ET6" s="323"/>
      <c r="EU6" s="323"/>
      <c r="EV6" s="323"/>
      <c r="EW6" s="324"/>
      <c r="EX6" s="322"/>
      <c r="EY6" s="323"/>
      <c r="EZ6" s="323"/>
      <c r="FA6" s="323"/>
      <c r="FB6" s="323"/>
      <c r="FC6" s="324"/>
      <c r="FD6" s="322"/>
      <c r="FE6" s="323"/>
      <c r="FF6" s="323"/>
      <c r="FG6" s="323"/>
      <c r="FH6" s="323"/>
      <c r="FI6" s="324"/>
      <c r="FJ6" s="322"/>
      <c r="FK6" s="323"/>
      <c r="FL6" s="323"/>
      <c r="FM6" s="323"/>
      <c r="FN6" s="323"/>
      <c r="FO6" s="324"/>
      <c r="FP6" s="322"/>
      <c r="FQ6" s="323"/>
      <c r="FR6" s="323"/>
      <c r="FS6" s="323"/>
      <c r="FT6" s="323"/>
      <c r="FU6" s="324"/>
      <c r="FV6" s="322"/>
      <c r="FW6" s="323"/>
      <c r="FX6" s="323"/>
      <c r="FY6" s="323"/>
      <c r="FZ6" s="323"/>
      <c r="GA6" s="324"/>
      <c r="GB6" s="322"/>
      <c r="GC6" s="323"/>
      <c r="GD6" s="323"/>
      <c r="GE6" s="323"/>
      <c r="GF6" s="323"/>
      <c r="GG6" s="324"/>
      <c r="GH6" s="322"/>
      <c r="GI6" s="323"/>
      <c r="GJ6" s="323"/>
      <c r="GK6" s="323"/>
      <c r="GL6" s="323"/>
      <c r="GM6" s="324"/>
      <c r="GN6" s="322"/>
      <c r="GO6" s="323"/>
      <c r="GP6" s="323"/>
      <c r="GQ6" s="323"/>
      <c r="GR6" s="323"/>
      <c r="GS6" s="324"/>
      <c r="GT6" s="322"/>
      <c r="GU6" s="323"/>
      <c r="GV6" s="323"/>
      <c r="GW6" s="323"/>
      <c r="GX6" s="323"/>
      <c r="GY6" s="324"/>
      <c r="GZ6" s="322"/>
      <c r="HA6" s="323"/>
      <c r="HB6" s="323"/>
      <c r="HC6" s="323"/>
      <c r="HD6" s="323"/>
      <c r="HE6" s="324"/>
      <c r="HF6" s="322"/>
      <c r="HG6" s="323"/>
      <c r="HH6" s="323"/>
      <c r="HI6" s="323"/>
      <c r="HJ6" s="323"/>
      <c r="HK6" s="323"/>
      <c r="HL6" s="398"/>
      <c r="HM6" s="399"/>
      <c r="HN6" s="399"/>
      <c r="HO6" s="399"/>
      <c r="HP6" s="399"/>
      <c r="HQ6" s="400"/>
      <c r="HR6" s="399"/>
      <c r="HS6" s="399"/>
      <c r="HT6" s="399"/>
      <c r="HU6" s="399"/>
      <c r="HV6" s="399"/>
      <c r="HW6" s="399"/>
      <c r="HX6" s="398"/>
      <c r="HY6" s="399"/>
      <c r="HZ6" s="399"/>
      <c r="IA6" s="399"/>
      <c r="IB6" s="399"/>
      <c r="IC6" s="399"/>
      <c r="ID6" s="398"/>
      <c r="IE6" s="399"/>
      <c r="IF6" s="399"/>
      <c r="IG6" s="399"/>
      <c r="IH6" s="399"/>
      <c r="II6" s="400"/>
      <c r="IJ6" s="399"/>
      <c r="IK6" s="399"/>
      <c r="IL6" s="399"/>
      <c r="IM6" s="399"/>
      <c r="IN6" s="399"/>
      <c r="IO6" s="399"/>
      <c r="IP6" s="322"/>
      <c r="IQ6" s="323"/>
      <c r="IR6" s="323"/>
      <c r="IS6" s="323"/>
      <c r="IT6" s="323"/>
      <c r="IU6" s="324"/>
      <c r="IV6" s="322"/>
      <c r="IW6" s="323"/>
      <c r="IX6" s="323"/>
      <c r="IY6" s="323"/>
      <c r="IZ6" s="323"/>
      <c r="JA6" s="324"/>
      <c r="JB6" s="322"/>
      <c r="JC6" s="323"/>
      <c r="JD6" s="323"/>
      <c r="JE6" s="323"/>
      <c r="JF6" s="323"/>
      <c r="JG6" s="324"/>
      <c r="JH6" s="322"/>
      <c r="JI6" s="323"/>
      <c r="JJ6" s="323"/>
      <c r="JK6" s="323"/>
      <c r="JL6" s="323"/>
      <c r="JM6" s="324"/>
      <c r="JN6" s="322"/>
      <c r="JO6" s="323"/>
      <c r="JP6" s="323"/>
      <c r="JQ6" s="323"/>
      <c r="JR6" s="323"/>
      <c r="JS6" s="324"/>
      <c r="JT6" s="322"/>
      <c r="JU6" s="323"/>
      <c r="JV6" s="323"/>
      <c r="JW6" s="323"/>
      <c r="JX6" s="323"/>
      <c r="JY6" s="324"/>
      <c r="JZ6" s="322"/>
      <c r="KA6" s="323"/>
      <c r="KB6" s="323"/>
      <c r="KC6" s="323"/>
      <c r="KD6" s="323"/>
      <c r="KE6" s="324"/>
      <c r="KF6" s="322"/>
      <c r="KG6" s="323"/>
      <c r="KH6" s="323"/>
      <c r="KI6" s="323"/>
      <c r="KJ6" s="323"/>
      <c r="KK6" s="324"/>
      <c r="KL6" s="322"/>
      <c r="KM6" s="323"/>
      <c r="KN6" s="323"/>
      <c r="KO6" s="323"/>
      <c r="KP6" s="323"/>
      <c r="KQ6" s="324"/>
      <c r="KR6" s="322"/>
      <c r="KS6" s="323"/>
      <c r="KT6" s="323"/>
      <c r="KU6" s="323"/>
      <c r="KV6" s="323"/>
      <c r="KW6" s="324"/>
      <c r="KX6" s="322"/>
      <c r="KY6" s="323"/>
      <c r="KZ6" s="323"/>
      <c r="LA6" s="323"/>
      <c r="LB6" s="323"/>
      <c r="LC6" s="324"/>
      <c r="LD6" s="322"/>
      <c r="LE6" s="323"/>
      <c r="LF6" s="323"/>
      <c r="LG6" s="323"/>
      <c r="LH6" s="323"/>
      <c r="LI6" s="324"/>
      <c r="LJ6" s="322"/>
      <c r="LK6" s="323"/>
      <c r="LL6" s="323"/>
      <c r="LM6" s="323"/>
      <c r="LN6" s="323"/>
      <c r="LO6" s="324"/>
      <c r="LP6" s="322"/>
      <c r="LQ6" s="323"/>
      <c r="LR6" s="323"/>
      <c r="LS6" s="323"/>
      <c r="LT6" s="323"/>
      <c r="LU6" s="359"/>
      <c r="LV6" s="322"/>
      <c r="LW6" s="323"/>
      <c r="LX6" s="323"/>
      <c r="LY6" s="323"/>
      <c r="LZ6" s="323"/>
      <c r="MA6" s="324"/>
      <c r="MB6" s="322"/>
      <c r="MC6" s="323"/>
      <c r="MD6" s="323"/>
      <c r="ME6" s="323"/>
      <c r="MF6" s="323"/>
      <c r="MG6" s="359"/>
    </row>
    <row r="7" spans="1:351" ht="25.5" outlineLevel="1">
      <c r="A7" s="3" t="s">
        <v>148</v>
      </c>
      <c r="B7" s="335" t="s">
        <v>149</v>
      </c>
      <c r="C7" s="4" t="s">
        <v>149</v>
      </c>
      <c r="D7" s="336" t="s">
        <v>149</v>
      </c>
      <c r="E7" s="335"/>
      <c r="F7" s="4" t="s">
        <v>149</v>
      </c>
      <c r="G7" s="4" t="s">
        <v>149</v>
      </c>
      <c r="H7" s="336" t="s">
        <v>149</v>
      </c>
      <c r="I7" s="346"/>
      <c r="J7" s="4"/>
      <c r="K7" s="4"/>
      <c r="L7" s="4" t="s">
        <v>149</v>
      </c>
      <c r="M7" s="4" t="s">
        <v>149</v>
      </c>
      <c r="N7" s="4" t="s">
        <v>149</v>
      </c>
      <c r="O7" s="4"/>
      <c r="P7" s="4"/>
      <c r="Q7" s="4"/>
      <c r="R7" s="4"/>
      <c r="S7" s="4"/>
      <c r="T7" s="4"/>
      <c r="U7" s="4"/>
      <c r="V7" s="4"/>
      <c r="W7" s="4"/>
      <c r="X7" s="336"/>
      <c r="Y7" s="346"/>
      <c r="Z7" s="4"/>
      <c r="AA7" s="4"/>
      <c r="AB7" s="4" t="s">
        <v>149</v>
      </c>
      <c r="AC7" s="4" t="s">
        <v>149</v>
      </c>
      <c r="AD7" s="4" t="s">
        <v>149</v>
      </c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336"/>
      <c r="BA7" s="335"/>
      <c r="BB7" s="4"/>
      <c r="BC7" s="4"/>
      <c r="BD7" s="4" t="s">
        <v>149</v>
      </c>
      <c r="BE7" s="4" t="s">
        <v>149</v>
      </c>
      <c r="BF7" s="336" t="s">
        <v>149</v>
      </c>
      <c r="BG7" s="335"/>
      <c r="BH7" s="4"/>
      <c r="BI7" s="4"/>
      <c r="BJ7" s="4" t="s">
        <v>149</v>
      </c>
      <c r="BK7" s="4" t="s">
        <v>149</v>
      </c>
      <c r="BL7" s="336" t="s">
        <v>149</v>
      </c>
      <c r="BM7" s="335"/>
      <c r="BN7" s="4"/>
      <c r="BO7" s="4"/>
      <c r="BP7" s="4" t="s">
        <v>149</v>
      </c>
      <c r="BQ7" s="4" t="s">
        <v>149</v>
      </c>
      <c r="BR7" s="4" t="s">
        <v>149</v>
      </c>
      <c r="BS7" s="4"/>
      <c r="BT7" s="4"/>
      <c r="BU7" s="4"/>
      <c r="BV7" s="4"/>
      <c r="BW7" s="336"/>
      <c r="BX7" s="335"/>
      <c r="BY7" s="4"/>
      <c r="BZ7" s="4" t="s">
        <v>149</v>
      </c>
      <c r="CA7" s="4" t="s">
        <v>149</v>
      </c>
      <c r="CB7" s="4" t="s">
        <v>149</v>
      </c>
      <c r="CC7" s="4"/>
      <c r="CD7" s="4"/>
      <c r="CE7" s="4"/>
      <c r="CF7" s="4"/>
      <c r="CG7" s="336"/>
      <c r="CH7" s="335"/>
      <c r="CI7" s="4"/>
      <c r="CJ7" s="4" t="s">
        <v>149</v>
      </c>
      <c r="CK7" s="4" t="s">
        <v>149</v>
      </c>
      <c r="CL7" s="4" t="s">
        <v>149</v>
      </c>
      <c r="CM7" s="4"/>
      <c r="CN7" s="4"/>
      <c r="CO7" s="4"/>
      <c r="CP7" s="4"/>
      <c r="CQ7" s="336"/>
      <c r="CR7" s="335"/>
      <c r="CS7" s="4"/>
      <c r="CT7" s="4" t="s">
        <v>149</v>
      </c>
      <c r="CU7" s="4" t="s">
        <v>149</v>
      </c>
      <c r="CV7" s="4" t="s">
        <v>149</v>
      </c>
      <c r="CW7" s="4"/>
      <c r="CX7" s="4"/>
      <c r="CY7" s="4"/>
      <c r="CZ7" s="4"/>
      <c r="DA7" s="336"/>
      <c r="DB7" s="335" t="s">
        <v>857</v>
      </c>
      <c r="DC7" s="4" t="s">
        <v>857</v>
      </c>
      <c r="DD7" s="4" t="s">
        <v>857</v>
      </c>
      <c r="DE7" s="336" t="s">
        <v>857</v>
      </c>
      <c r="DF7" s="335" t="s">
        <v>857</v>
      </c>
      <c r="DG7" s="4" t="s">
        <v>857</v>
      </c>
      <c r="DH7" s="4" t="s">
        <v>857</v>
      </c>
      <c r="DI7" s="336" t="s">
        <v>857</v>
      </c>
      <c r="DJ7" s="335" t="s">
        <v>857</v>
      </c>
      <c r="DK7" s="4" t="s">
        <v>857</v>
      </c>
      <c r="DL7" s="4" t="s">
        <v>857</v>
      </c>
      <c r="DM7" s="336" t="s">
        <v>857</v>
      </c>
      <c r="DN7" s="335" t="s">
        <v>857</v>
      </c>
      <c r="DO7" s="4" t="s">
        <v>857</v>
      </c>
      <c r="DP7" s="4" t="s">
        <v>857</v>
      </c>
      <c r="DQ7" s="336" t="s">
        <v>857</v>
      </c>
      <c r="DR7" s="335" t="s">
        <v>857</v>
      </c>
      <c r="DS7" s="4" t="s">
        <v>857</v>
      </c>
      <c r="DT7" s="4" t="s">
        <v>857</v>
      </c>
      <c r="DU7" s="336" t="s">
        <v>857</v>
      </c>
      <c r="DV7" s="335" t="s">
        <v>857</v>
      </c>
      <c r="DW7" s="4" t="s">
        <v>857</v>
      </c>
      <c r="DX7" s="4" t="s">
        <v>857</v>
      </c>
      <c r="DY7" s="336" t="s">
        <v>857</v>
      </c>
      <c r="DZ7" s="4" t="s">
        <v>416</v>
      </c>
      <c r="EA7" s="4" t="s">
        <v>416</v>
      </c>
      <c r="EB7" s="4" t="s">
        <v>416</v>
      </c>
      <c r="EC7" s="4" t="s">
        <v>416</v>
      </c>
      <c r="ED7" s="4" t="s">
        <v>416</v>
      </c>
      <c r="EE7" s="11" t="s">
        <v>416</v>
      </c>
      <c r="EF7" s="12" t="s">
        <v>416</v>
      </c>
      <c r="EG7" s="4" t="s">
        <v>416</v>
      </c>
      <c r="EH7" s="4" t="s">
        <v>416</v>
      </c>
      <c r="EI7" s="4" t="s">
        <v>416</v>
      </c>
      <c r="EJ7" s="4" t="s">
        <v>416</v>
      </c>
      <c r="EK7" s="11" t="s">
        <v>416</v>
      </c>
      <c r="EL7" s="12" t="s">
        <v>416</v>
      </c>
      <c r="EM7" s="4" t="s">
        <v>416</v>
      </c>
      <c r="EN7" s="4" t="s">
        <v>416</v>
      </c>
      <c r="EO7" s="4" t="s">
        <v>416</v>
      </c>
      <c r="EP7" s="4" t="s">
        <v>416</v>
      </c>
      <c r="EQ7" s="11" t="s">
        <v>416</v>
      </c>
      <c r="ER7" s="12" t="s">
        <v>416</v>
      </c>
      <c r="ES7" s="4" t="s">
        <v>416</v>
      </c>
      <c r="ET7" s="4" t="s">
        <v>416</v>
      </c>
      <c r="EU7" s="4" t="s">
        <v>416</v>
      </c>
      <c r="EV7" s="4" t="s">
        <v>416</v>
      </c>
      <c r="EW7" s="11" t="s">
        <v>416</v>
      </c>
      <c r="EX7" s="12" t="s">
        <v>416</v>
      </c>
      <c r="EY7" s="4" t="s">
        <v>416</v>
      </c>
      <c r="EZ7" s="4" t="s">
        <v>416</v>
      </c>
      <c r="FA7" s="4" t="s">
        <v>416</v>
      </c>
      <c r="FB7" s="4" t="s">
        <v>416</v>
      </c>
      <c r="FC7" s="11" t="s">
        <v>416</v>
      </c>
      <c r="FD7" s="12" t="s">
        <v>416</v>
      </c>
      <c r="FE7" s="4" t="s">
        <v>416</v>
      </c>
      <c r="FF7" s="4" t="s">
        <v>416</v>
      </c>
      <c r="FG7" s="4" t="s">
        <v>416</v>
      </c>
      <c r="FH7" s="4" t="s">
        <v>416</v>
      </c>
      <c r="FI7" s="11" t="s">
        <v>416</v>
      </c>
      <c r="FJ7" s="12" t="s">
        <v>416</v>
      </c>
      <c r="FK7" s="4" t="s">
        <v>416</v>
      </c>
      <c r="FL7" s="4" t="s">
        <v>416</v>
      </c>
      <c r="FM7" s="4" t="s">
        <v>416</v>
      </c>
      <c r="FN7" s="4" t="s">
        <v>416</v>
      </c>
      <c r="FO7" s="11" t="s">
        <v>416</v>
      </c>
      <c r="FP7" s="12" t="s">
        <v>416</v>
      </c>
      <c r="FQ7" s="4" t="s">
        <v>416</v>
      </c>
      <c r="FR7" s="4" t="s">
        <v>416</v>
      </c>
      <c r="FS7" s="4" t="s">
        <v>416</v>
      </c>
      <c r="FT7" s="4" t="s">
        <v>416</v>
      </c>
      <c r="FU7" s="11" t="s">
        <v>416</v>
      </c>
      <c r="FV7" s="12" t="s">
        <v>416</v>
      </c>
      <c r="FW7" s="4" t="s">
        <v>416</v>
      </c>
      <c r="FX7" s="4" t="s">
        <v>416</v>
      </c>
      <c r="FY7" s="4" t="s">
        <v>416</v>
      </c>
      <c r="FZ7" s="4" t="s">
        <v>416</v>
      </c>
      <c r="GA7" s="11" t="s">
        <v>416</v>
      </c>
      <c r="GB7" s="12" t="s">
        <v>416</v>
      </c>
      <c r="GC7" s="4" t="s">
        <v>416</v>
      </c>
      <c r="GD7" s="4" t="s">
        <v>416</v>
      </c>
      <c r="GE7" s="4" t="s">
        <v>416</v>
      </c>
      <c r="GF7" s="4" t="s">
        <v>416</v>
      </c>
      <c r="GG7" s="11" t="s">
        <v>416</v>
      </c>
      <c r="GH7" s="12" t="s">
        <v>416</v>
      </c>
      <c r="GI7" s="4" t="s">
        <v>416</v>
      </c>
      <c r="GJ7" s="4" t="s">
        <v>416</v>
      </c>
      <c r="GK7" s="4" t="s">
        <v>416</v>
      </c>
      <c r="GL7" s="4" t="s">
        <v>416</v>
      </c>
      <c r="GM7" s="11" t="s">
        <v>416</v>
      </c>
      <c r="GN7" s="12" t="s">
        <v>416</v>
      </c>
      <c r="GO7" s="4" t="s">
        <v>416</v>
      </c>
      <c r="GP7" s="4" t="s">
        <v>416</v>
      </c>
      <c r="GQ7" s="4" t="s">
        <v>416</v>
      </c>
      <c r="GR7" s="4" t="s">
        <v>416</v>
      </c>
      <c r="GS7" s="11" t="s">
        <v>416</v>
      </c>
      <c r="GT7" s="12" t="s">
        <v>416</v>
      </c>
      <c r="GU7" s="4" t="s">
        <v>416</v>
      </c>
      <c r="GV7" s="4" t="s">
        <v>416</v>
      </c>
      <c r="GW7" s="4" t="s">
        <v>416</v>
      </c>
      <c r="GX7" s="4" t="s">
        <v>416</v>
      </c>
      <c r="GY7" s="11" t="s">
        <v>416</v>
      </c>
      <c r="GZ7" s="12" t="s">
        <v>416</v>
      </c>
      <c r="HA7" s="4" t="s">
        <v>416</v>
      </c>
      <c r="HB7" s="4" t="s">
        <v>416</v>
      </c>
      <c r="HC7" s="4" t="s">
        <v>416</v>
      </c>
      <c r="HD7" s="4" t="s">
        <v>416</v>
      </c>
      <c r="HE7" s="11" t="s">
        <v>416</v>
      </c>
      <c r="HF7" s="12" t="s">
        <v>416</v>
      </c>
      <c r="HG7" s="4" t="s">
        <v>416</v>
      </c>
      <c r="HH7" s="4" t="s">
        <v>416</v>
      </c>
      <c r="HI7" s="4" t="s">
        <v>416</v>
      </c>
      <c r="HJ7" s="4" t="s">
        <v>416</v>
      </c>
      <c r="HK7" s="4" t="s">
        <v>416</v>
      </c>
      <c r="HL7" s="12" t="s">
        <v>416</v>
      </c>
      <c r="HM7" s="4" t="s">
        <v>416</v>
      </c>
      <c r="HN7" s="4" t="s">
        <v>416</v>
      </c>
      <c r="HO7" s="4" t="s">
        <v>416</v>
      </c>
      <c r="HP7" s="4" t="s">
        <v>416</v>
      </c>
      <c r="HQ7" s="11" t="s">
        <v>416</v>
      </c>
      <c r="HR7" s="4" t="s">
        <v>416</v>
      </c>
      <c r="HS7" s="4" t="s">
        <v>416</v>
      </c>
      <c r="HT7" s="4" t="s">
        <v>416</v>
      </c>
      <c r="HU7" s="4" t="s">
        <v>416</v>
      </c>
      <c r="HV7" s="4" t="s">
        <v>416</v>
      </c>
      <c r="HW7" s="11" t="s">
        <v>416</v>
      </c>
      <c r="HX7" s="12" t="s">
        <v>416</v>
      </c>
      <c r="HY7" s="4" t="s">
        <v>416</v>
      </c>
      <c r="HZ7" s="4" t="s">
        <v>416</v>
      </c>
      <c r="IA7" s="4" t="s">
        <v>416</v>
      </c>
      <c r="IB7" s="4" t="s">
        <v>416</v>
      </c>
      <c r="IC7" s="4" t="s">
        <v>416</v>
      </c>
      <c r="ID7" s="12" t="s">
        <v>416</v>
      </c>
      <c r="IE7" s="4" t="s">
        <v>416</v>
      </c>
      <c r="IF7" s="4" t="s">
        <v>416</v>
      </c>
      <c r="IG7" s="4" t="s">
        <v>416</v>
      </c>
      <c r="IH7" s="4" t="s">
        <v>416</v>
      </c>
      <c r="II7" s="11" t="s">
        <v>416</v>
      </c>
      <c r="IJ7" s="4" t="s">
        <v>416</v>
      </c>
      <c r="IK7" s="4" t="s">
        <v>416</v>
      </c>
      <c r="IL7" s="4" t="s">
        <v>416</v>
      </c>
      <c r="IM7" s="4" t="s">
        <v>416</v>
      </c>
      <c r="IN7" s="4" t="s">
        <v>416</v>
      </c>
      <c r="IO7" s="11" t="s">
        <v>416</v>
      </c>
      <c r="IP7" s="12" t="s">
        <v>416</v>
      </c>
      <c r="IQ7" s="4" t="s">
        <v>416</v>
      </c>
      <c r="IR7" s="4" t="s">
        <v>416</v>
      </c>
      <c r="IS7" s="4" t="s">
        <v>416</v>
      </c>
      <c r="IT7" s="4" t="s">
        <v>416</v>
      </c>
      <c r="IU7" s="11" t="s">
        <v>416</v>
      </c>
      <c r="IV7" s="12" t="s">
        <v>416</v>
      </c>
      <c r="IW7" s="4" t="s">
        <v>416</v>
      </c>
      <c r="IX7" s="4" t="s">
        <v>416</v>
      </c>
      <c r="IY7" s="4" t="s">
        <v>416</v>
      </c>
      <c r="IZ7" s="4" t="s">
        <v>416</v>
      </c>
      <c r="JA7" s="11" t="s">
        <v>416</v>
      </c>
      <c r="JB7" s="12" t="s">
        <v>416</v>
      </c>
      <c r="JC7" s="4" t="s">
        <v>416</v>
      </c>
      <c r="JD7" s="4" t="s">
        <v>416</v>
      </c>
      <c r="JE7" s="4" t="s">
        <v>416</v>
      </c>
      <c r="JF7" s="4" t="s">
        <v>416</v>
      </c>
      <c r="JG7" s="11" t="s">
        <v>416</v>
      </c>
      <c r="JH7" s="12" t="s">
        <v>416</v>
      </c>
      <c r="JI7" s="4" t="s">
        <v>416</v>
      </c>
      <c r="JJ7" s="4" t="s">
        <v>416</v>
      </c>
      <c r="JK7" s="4" t="s">
        <v>416</v>
      </c>
      <c r="JL7" s="4" t="s">
        <v>416</v>
      </c>
      <c r="JM7" s="11" t="s">
        <v>416</v>
      </c>
      <c r="JN7" s="12" t="s">
        <v>416</v>
      </c>
      <c r="JO7" s="4" t="s">
        <v>416</v>
      </c>
      <c r="JP7" s="4" t="s">
        <v>416</v>
      </c>
      <c r="JQ7" s="4" t="s">
        <v>416</v>
      </c>
      <c r="JR7" s="4" t="s">
        <v>416</v>
      </c>
      <c r="JS7" s="11" t="s">
        <v>416</v>
      </c>
      <c r="JT7" s="12" t="s">
        <v>416</v>
      </c>
      <c r="JU7" s="4" t="s">
        <v>416</v>
      </c>
      <c r="JV7" s="4" t="s">
        <v>416</v>
      </c>
      <c r="JW7" s="4" t="s">
        <v>416</v>
      </c>
      <c r="JX7" s="4" t="s">
        <v>416</v>
      </c>
      <c r="JY7" s="11" t="s">
        <v>416</v>
      </c>
      <c r="JZ7" s="12" t="s">
        <v>416</v>
      </c>
      <c r="KA7" s="4" t="s">
        <v>416</v>
      </c>
      <c r="KB7" s="4" t="s">
        <v>416</v>
      </c>
      <c r="KC7" s="4" t="s">
        <v>416</v>
      </c>
      <c r="KD7" s="4" t="s">
        <v>416</v>
      </c>
      <c r="KE7" s="11" t="s">
        <v>416</v>
      </c>
      <c r="KF7" s="12" t="s">
        <v>416</v>
      </c>
      <c r="KG7" s="4" t="s">
        <v>416</v>
      </c>
      <c r="KH7" s="4" t="s">
        <v>416</v>
      </c>
      <c r="KI7" s="4" t="s">
        <v>416</v>
      </c>
      <c r="KJ7" s="4" t="s">
        <v>416</v>
      </c>
      <c r="KK7" s="11" t="s">
        <v>416</v>
      </c>
      <c r="KL7" s="12" t="s">
        <v>416</v>
      </c>
      <c r="KM7" s="4" t="s">
        <v>416</v>
      </c>
      <c r="KN7" s="4" t="s">
        <v>416</v>
      </c>
      <c r="KO7" s="4" t="s">
        <v>416</v>
      </c>
      <c r="KP7" s="4" t="s">
        <v>416</v>
      </c>
      <c r="KQ7" s="11" t="s">
        <v>416</v>
      </c>
      <c r="KR7" s="12" t="s">
        <v>416</v>
      </c>
      <c r="KS7" s="4" t="s">
        <v>416</v>
      </c>
      <c r="KT7" s="4" t="s">
        <v>416</v>
      </c>
      <c r="KU7" s="4" t="s">
        <v>416</v>
      </c>
      <c r="KV7" s="4" t="s">
        <v>416</v>
      </c>
      <c r="KW7" s="11" t="s">
        <v>416</v>
      </c>
      <c r="KX7" s="12" t="s">
        <v>416</v>
      </c>
      <c r="KY7" s="4" t="s">
        <v>416</v>
      </c>
      <c r="KZ7" s="4" t="s">
        <v>416</v>
      </c>
      <c r="LA7" s="4" t="s">
        <v>416</v>
      </c>
      <c r="LB7" s="4" t="s">
        <v>416</v>
      </c>
      <c r="LC7" s="11" t="s">
        <v>416</v>
      </c>
      <c r="LD7" s="12" t="s">
        <v>416</v>
      </c>
      <c r="LE7" s="4" t="s">
        <v>416</v>
      </c>
      <c r="LF7" s="4" t="s">
        <v>416</v>
      </c>
      <c r="LG7" s="4" t="s">
        <v>416</v>
      </c>
      <c r="LH7" s="4" t="s">
        <v>416</v>
      </c>
      <c r="LI7" s="11" t="s">
        <v>416</v>
      </c>
      <c r="LJ7" s="12" t="s">
        <v>416</v>
      </c>
      <c r="LK7" s="4" t="s">
        <v>416</v>
      </c>
      <c r="LL7" s="4" t="s">
        <v>416</v>
      </c>
      <c r="LM7" s="4" t="s">
        <v>416</v>
      </c>
      <c r="LN7" s="4" t="s">
        <v>416</v>
      </c>
      <c r="LO7" s="11" t="s">
        <v>416</v>
      </c>
      <c r="LP7" s="12" t="s">
        <v>416</v>
      </c>
      <c r="LQ7" s="4" t="s">
        <v>416</v>
      </c>
      <c r="LR7" s="4" t="s">
        <v>416</v>
      </c>
      <c r="LS7" s="4" t="s">
        <v>416</v>
      </c>
      <c r="LT7" s="4" t="s">
        <v>416</v>
      </c>
      <c r="LU7" s="336" t="s">
        <v>416</v>
      </c>
      <c r="LV7" s="12" t="s">
        <v>416</v>
      </c>
      <c r="LW7" s="4" t="s">
        <v>416</v>
      </c>
      <c r="LX7" s="4" t="s">
        <v>416</v>
      </c>
      <c r="LY7" s="4" t="s">
        <v>416</v>
      </c>
      <c r="LZ7" s="4" t="s">
        <v>416</v>
      </c>
      <c r="MA7" s="11" t="s">
        <v>416</v>
      </c>
      <c r="MB7" s="12" t="s">
        <v>416</v>
      </c>
      <c r="MC7" s="4" t="s">
        <v>416</v>
      </c>
      <c r="MD7" s="4" t="s">
        <v>416</v>
      </c>
      <c r="ME7" s="4" t="s">
        <v>416</v>
      </c>
      <c r="MF7" s="4" t="s">
        <v>416</v>
      </c>
      <c r="MG7" s="336" t="s">
        <v>416</v>
      </c>
    </row>
    <row r="8" spans="1:351" ht="18" customHeight="1" thickBot="1">
      <c r="A8" s="3" t="s">
        <v>1101</v>
      </c>
      <c r="B8" s="339" t="s">
        <v>99</v>
      </c>
      <c r="C8" s="340" t="s">
        <v>110</v>
      </c>
      <c r="D8" s="341" t="s">
        <v>111</v>
      </c>
      <c r="E8" s="339" t="s">
        <v>225</v>
      </c>
      <c r="F8" s="340" t="s">
        <v>226</v>
      </c>
      <c r="G8" s="340" t="s">
        <v>227</v>
      </c>
      <c r="H8" s="341" t="s">
        <v>228</v>
      </c>
      <c r="I8" s="349" t="s">
        <v>59</v>
      </c>
      <c r="J8" s="350" t="s">
        <v>60</v>
      </c>
      <c r="K8" s="350" t="s">
        <v>61</v>
      </c>
      <c r="L8" s="350" t="s">
        <v>109</v>
      </c>
      <c r="M8" s="350" t="s">
        <v>112</v>
      </c>
      <c r="N8" s="350" t="s">
        <v>113</v>
      </c>
      <c r="O8" s="350" t="s">
        <v>234</v>
      </c>
      <c r="P8" s="350" t="s">
        <v>235</v>
      </c>
      <c r="Q8" s="350" t="s">
        <v>236</v>
      </c>
      <c r="R8" s="350" t="s">
        <v>237</v>
      </c>
      <c r="S8" s="350" t="s">
        <v>238</v>
      </c>
      <c r="T8" s="350" t="s">
        <v>343</v>
      </c>
      <c r="U8" s="350" t="s">
        <v>344</v>
      </c>
      <c r="V8" s="350" t="s">
        <v>345</v>
      </c>
      <c r="W8" s="350" t="s">
        <v>346</v>
      </c>
      <c r="X8" s="353" t="s">
        <v>347</v>
      </c>
      <c r="Y8" s="349" t="s">
        <v>62</v>
      </c>
      <c r="Z8" s="350" t="s">
        <v>63</v>
      </c>
      <c r="AA8" s="350" t="s">
        <v>64</v>
      </c>
      <c r="AB8" s="350" t="s">
        <v>108</v>
      </c>
      <c r="AC8" s="350" t="s">
        <v>120</v>
      </c>
      <c r="AD8" s="350" t="s">
        <v>121</v>
      </c>
      <c r="AE8" s="350" t="s">
        <v>283</v>
      </c>
      <c r="AF8" s="350" t="s">
        <v>284</v>
      </c>
      <c r="AG8" s="350" t="s">
        <v>285</v>
      </c>
      <c r="AH8" s="350" t="s">
        <v>286</v>
      </c>
      <c r="AI8" s="350" t="s">
        <v>287</v>
      </c>
      <c r="AJ8" s="350" t="s">
        <v>288</v>
      </c>
      <c r="AK8" s="350" t="s">
        <v>289</v>
      </c>
      <c r="AL8" s="350" t="s">
        <v>290</v>
      </c>
      <c r="AM8" s="350" t="s">
        <v>291</v>
      </c>
      <c r="AN8" s="350" t="s">
        <v>292</v>
      </c>
      <c r="AO8" s="350" t="s">
        <v>293</v>
      </c>
      <c r="AP8" s="350" t="s">
        <v>294</v>
      </c>
      <c r="AQ8" s="350" t="s">
        <v>295</v>
      </c>
      <c r="AR8" s="350" t="s">
        <v>296</v>
      </c>
      <c r="AS8" s="350" t="s">
        <v>297</v>
      </c>
      <c r="AT8" s="350" t="s">
        <v>298</v>
      </c>
      <c r="AU8" s="350" t="s">
        <v>300</v>
      </c>
      <c r="AV8" s="350" t="s">
        <v>348</v>
      </c>
      <c r="AW8" s="350" t="s">
        <v>349</v>
      </c>
      <c r="AX8" s="350" t="s">
        <v>350</v>
      </c>
      <c r="AY8" s="350" t="s">
        <v>351</v>
      </c>
      <c r="AZ8" s="353" t="s">
        <v>352</v>
      </c>
      <c r="BA8" s="349" t="s">
        <v>65</v>
      </c>
      <c r="BB8" s="350" t="s">
        <v>66</v>
      </c>
      <c r="BC8" s="350" t="s">
        <v>67</v>
      </c>
      <c r="BD8" s="350" t="s">
        <v>107</v>
      </c>
      <c r="BE8" s="350" t="s">
        <v>122</v>
      </c>
      <c r="BF8" s="353" t="s">
        <v>123</v>
      </c>
      <c r="BG8" s="349" t="s">
        <v>68</v>
      </c>
      <c r="BH8" s="350" t="s">
        <v>69</v>
      </c>
      <c r="BI8" s="350" t="s">
        <v>70</v>
      </c>
      <c r="BJ8" s="350" t="s">
        <v>106</v>
      </c>
      <c r="BK8" s="350" t="s">
        <v>127</v>
      </c>
      <c r="BL8" s="353" t="s">
        <v>128</v>
      </c>
      <c r="BM8" s="349" t="s">
        <v>71</v>
      </c>
      <c r="BN8" s="350" t="s">
        <v>72</v>
      </c>
      <c r="BO8" s="350" t="s">
        <v>73</v>
      </c>
      <c r="BP8" s="350" t="s">
        <v>105</v>
      </c>
      <c r="BQ8" s="350" t="s">
        <v>129</v>
      </c>
      <c r="BR8" s="350" t="s">
        <v>130</v>
      </c>
      <c r="BS8" s="350" t="s">
        <v>353</v>
      </c>
      <c r="BT8" s="350" t="s">
        <v>354</v>
      </c>
      <c r="BU8" s="350" t="s">
        <v>355</v>
      </c>
      <c r="BV8" s="350" t="s">
        <v>356</v>
      </c>
      <c r="BW8" s="353" t="s">
        <v>357</v>
      </c>
      <c r="BX8" s="349" t="s">
        <v>74</v>
      </c>
      <c r="BY8" s="350" t="s">
        <v>75</v>
      </c>
      <c r="BZ8" s="350" t="s">
        <v>104</v>
      </c>
      <c r="CA8" s="350" t="s">
        <v>131</v>
      </c>
      <c r="CB8" s="350" t="s">
        <v>132</v>
      </c>
      <c r="CC8" s="350" t="s">
        <v>358</v>
      </c>
      <c r="CD8" s="350" t="s">
        <v>359</v>
      </c>
      <c r="CE8" s="350" t="s">
        <v>360</v>
      </c>
      <c r="CF8" s="350" t="s">
        <v>361</v>
      </c>
      <c r="CG8" s="353" t="s">
        <v>362</v>
      </c>
      <c r="CH8" s="349" t="s">
        <v>76</v>
      </c>
      <c r="CI8" s="350" t="s">
        <v>100</v>
      </c>
      <c r="CJ8" s="350" t="s">
        <v>103</v>
      </c>
      <c r="CK8" s="350" t="s">
        <v>133</v>
      </c>
      <c r="CL8" s="350" t="s">
        <v>134</v>
      </c>
      <c r="CM8" s="350" t="s">
        <v>363</v>
      </c>
      <c r="CN8" s="350" t="s">
        <v>364</v>
      </c>
      <c r="CO8" s="350" t="s">
        <v>365</v>
      </c>
      <c r="CP8" s="350" t="s">
        <v>366</v>
      </c>
      <c r="CQ8" s="353" t="s">
        <v>367</v>
      </c>
      <c r="CR8" s="349" t="s">
        <v>101</v>
      </c>
      <c r="CS8" s="350" t="s">
        <v>102</v>
      </c>
      <c r="CT8" s="350" t="s">
        <v>81</v>
      </c>
      <c r="CU8" s="350" t="s">
        <v>82</v>
      </c>
      <c r="CV8" s="350" t="s">
        <v>135</v>
      </c>
      <c r="CW8" s="350" t="s">
        <v>368</v>
      </c>
      <c r="CX8" s="350" t="s">
        <v>369</v>
      </c>
      <c r="CY8" s="350" t="s">
        <v>370</v>
      </c>
      <c r="CZ8" s="350" t="s">
        <v>371</v>
      </c>
      <c r="DA8" s="353" t="s">
        <v>372</v>
      </c>
      <c r="DB8" s="349" t="s">
        <v>399</v>
      </c>
      <c r="DC8" s="350" t="s">
        <v>400</v>
      </c>
      <c r="DD8" s="350" t="s">
        <v>401</v>
      </c>
      <c r="DE8" s="353" t="s">
        <v>402</v>
      </c>
      <c r="DF8" s="349" t="s">
        <v>403</v>
      </c>
      <c r="DG8" s="350" t="s">
        <v>404</v>
      </c>
      <c r="DH8" s="350" t="s">
        <v>417</v>
      </c>
      <c r="DI8" s="353" t="s">
        <v>418</v>
      </c>
      <c r="DJ8" s="349" t="s">
        <v>419</v>
      </c>
      <c r="DK8" s="350" t="s">
        <v>420</v>
      </c>
      <c r="DL8" s="350" t="s">
        <v>421</v>
      </c>
      <c r="DM8" s="353" t="s">
        <v>422</v>
      </c>
      <c r="DN8" s="349" t="s">
        <v>423</v>
      </c>
      <c r="DO8" s="350" t="s">
        <v>424</v>
      </c>
      <c r="DP8" s="350" t="s">
        <v>425</v>
      </c>
      <c r="DQ8" s="353" t="s">
        <v>426</v>
      </c>
      <c r="DR8" s="349" t="s">
        <v>427</v>
      </c>
      <c r="DS8" s="350" t="s">
        <v>428</v>
      </c>
      <c r="DT8" s="350" t="s">
        <v>429</v>
      </c>
      <c r="DU8" s="353" t="s">
        <v>430</v>
      </c>
      <c r="DV8" s="349" t="s">
        <v>431</v>
      </c>
      <c r="DW8" s="350" t="s">
        <v>432</v>
      </c>
      <c r="DX8" s="350" t="s">
        <v>433</v>
      </c>
      <c r="DY8" s="353" t="s">
        <v>434</v>
      </c>
      <c r="DZ8" s="350" t="s">
        <v>479</v>
      </c>
      <c r="EA8" s="350" t="s">
        <v>480</v>
      </c>
      <c r="EB8" s="350" t="s">
        <v>481</v>
      </c>
      <c r="EC8" s="350" t="s">
        <v>482</v>
      </c>
      <c r="ED8" s="350" t="s">
        <v>483</v>
      </c>
      <c r="EE8" s="351" t="s">
        <v>484</v>
      </c>
      <c r="EF8" s="352" t="s">
        <v>671</v>
      </c>
      <c r="EG8" s="350" t="s">
        <v>672</v>
      </c>
      <c r="EH8" s="350" t="s">
        <v>673</v>
      </c>
      <c r="EI8" s="350" t="s">
        <v>674</v>
      </c>
      <c r="EJ8" s="350" t="s">
        <v>675</v>
      </c>
      <c r="EK8" s="351" t="s">
        <v>676</v>
      </c>
      <c r="EL8" s="352" t="s">
        <v>677</v>
      </c>
      <c r="EM8" s="350" t="s">
        <v>678</v>
      </c>
      <c r="EN8" s="350" t="s">
        <v>679</v>
      </c>
      <c r="EO8" s="350" t="s">
        <v>680</v>
      </c>
      <c r="EP8" s="350" t="s">
        <v>681</v>
      </c>
      <c r="EQ8" s="351" t="s">
        <v>682</v>
      </c>
      <c r="ER8" s="352" t="s">
        <v>683</v>
      </c>
      <c r="ES8" s="350" t="s">
        <v>684</v>
      </c>
      <c r="ET8" s="350" t="s">
        <v>685</v>
      </c>
      <c r="EU8" s="350" t="s">
        <v>686</v>
      </c>
      <c r="EV8" s="350" t="s">
        <v>687</v>
      </c>
      <c r="EW8" s="351" t="s">
        <v>688</v>
      </c>
      <c r="EX8" s="352" t="s">
        <v>689</v>
      </c>
      <c r="EY8" s="350" t="s">
        <v>690</v>
      </c>
      <c r="EZ8" s="350" t="s">
        <v>691</v>
      </c>
      <c r="FA8" s="350" t="s">
        <v>692</v>
      </c>
      <c r="FB8" s="350" t="s">
        <v>693</v>
      </c>
      <c r="FC8" s="351" t="s">
        <v>694</v>
      </c>
      <c r="FD8" s="352" t="s">
        <v>695</v>
      </c>
      <c r="FE8" s="350" t="s">
        <v>696</v>
      </c>
      <c r="FF8" s="350" t="s">
        <v>697</v>
      </c>
      <c r="FG8" s="350" t="s">
        <v>698</v>
      </c>
      <c r="FH8" s="350" t="s">
        <v>699</v>
      </c>
      <c r="FI8" s="351" t="s">
        <v>700</v>
      </c>
      <c r="FJ8" s="352" t="s">
        <v>701</v>
      </c>
      <c r="FK8" s="350" t="s">
        <v>702</v>
      </c>
      <c r="FL8" s="350" t="s">
        <v>703</v>
      </c>
      <c r="FM8" s="350" t="s">
        <v>704</v>
      </c>
      <c r="FN8" s="350" t="s">
        <v>705</v>
      </c>
      <c r="FO8" s="351" t="s">
        <v>706</v>
      </c>
      <c r="FP8" s="352" t="s">
        <v>707</v>
      </c>
      <c r="FQ8" s="350" t="s">
        <v>708</v>
      </c>
      <c r="FR8" s="350" t="s">
        <v>709</v>
      </c>
      <c r="FS8" s="350" t="s">
        <v>710</v>
      </c>
      <c r="FT8" s="350" t="s">
        <v>711</v>
      </c>
      <c r="FU8" s="351" t="s">
        <v>712</v>
      </c>
      <c r="FV8" s="352" t="s">
        <v>713</v>
      </c>
      <c r="FW8" s="350" t="s">
        <v>714</v>
      </c>
      <c r="FX8" s="350" t="s">
        <v>715</v>
      </c>
      <c r="FY8" s="350" t="s">
        <v>716</v>
      </c>
      <c r="FZ8" s="350" t="s">
        <v>717</v>
      </c>
      <c r="GA8" s="351" t="s">
        <v>718</v>
      </c>
      <c r="GB8" s="352" t="s">
        <v>719</v>
      </c>
      <c r="GC8" s="350" t="s">
        <v>720</v>
      </c>
      <c r="GD8" s="350" t="s">
        <v>721</v>
      </c>
      <c r="GE8" s="350" t="s">
        <v>722</v>
      </c>
      <c r="GF8" s="350" t="s">
        <v>723</v>
      </c>
      <c r="GG8" s="351" t="s">
        <v>724</v>
      </c>
      <c r="GH8" s="352" t="s">
        <v>725</v>
      </c>
      <c r="GI8" s="350" t="s">
        <v>726</v>
      </c>
      <c r="GJ8" s="350" t="s">
        <v>727</v>
      </c>
      <c r="GK8" s="350" t="s">
        <v>728</v>
      </c>
      <c r="GL8" s="350" t="s">
        <v>729</v>
      </c>
      <c r="GM8" s="351" t="s">
        <v>730</v>
      </c>
      <c r="GN8" s="352" t="s">
        <v>731</v>
      </c>
      <c r="GO8" s="350" t="s">
        <v>732</v>
      </c>
      <c r="GP8" s="350" t="s">
        <v>733</v>
      </c>
      <c r="GQ8" s="350" t="s">
        <v>734</v>
      </c>
      <c r="GR8" s="350" t="s">
        <v>735</v>
      </c>
      <c r="GS8" s="351" t="s">
        <v>736</v>
      </c>
      <c r="GT8" s="352" t="s">
        <v>737</v>
      </c>
      <c r="GU8" s="350" t="s">
        <v>738</v>
      </c>
      <c r="GV8" s="350" t="s">
        <v>739</v>
      </c>
      <c r="GW8" s="350" t="s">
        <v>740</v>
      </c>
      <c r="GX8" s="350" t="s">
        <v>741</v>
      </c>
      <c r="GY8" s="351" t="s">
        <v>742</v>
      </c>
      <c r="GZ8" s="352" t="s">
        <v>743</v>
      </c>
      <c r="HA8" s="350" t="s">
        <v>744</v>
      </c>
      <c r="HB8" s="350" t="s">
        <v>745</v>
      </c>
      <c r="HC8" s="350" t="s">
        <v>746</v>
      </c>
      <c r="HD8" s="350" t="s">
        <v>747</v>
      </c>
      <c r="HE8" s="351" t="s">
        <v>748</v>
      </c>
      <c r="HF8" s="352" t="s">
        <v>749</v>
      </c>
      <c r="HG8" s="350" t="s">
        <v>750</v>
      </c>
      <c r="HH8" s="350" t="s">
        <v>751</v>
      </c>
      <c r="HI8" s="350" t="s">
        <v>752</v>
      </c>
      <c r="HJ8" s="350" t="s">
        <v>753</v>
      </c>
      <c r="HK8" s="350" t="s">
        <v>754</v>
      </c>
      <c r="HL8" s="352" t="s">
        <v>755</v>
      </c>
      <c r="HM8" s="350" t="s">
        <v>756</v>
      </c>
      <c r="HN8" s="350" t="s">
        <v>757</v>
      </c>
      <c r="HO8" s="350" t="s">
        <v>758</v>
      </c>
      <c r="HP8" s="350" t="s">
        <v>759</v>
      </c>
      <c r="HQ8" s="351" t="s">
        <v>760</v>
      </c>
      <c r="HR8" s="350" t="s">
        <v>761</v>
      </c>
      <c r="HS8" s="350" t="s">
        <v>762</v>
      </c>
      <c r="HT8" s="350" t="s">
        <v>763</v>
      </c>
      <c r="HU8" s="350" t="s">
        <v>764</v>
      </c>
      <c r="HV8" s="350" t="s">
        <v>765</v>
      </c>
      <c r="HW8" s="351" t="s">
        <v>766</v>
      </c>
      <c r="HX8" s="352" t="s">
        <v>767</v>
      </c>
      <c r="HY8" s="350" t="s">
        <v>768</v>
      </c>
      <c r="HZ8" s="350" t="s">
        <v>769</v>
      </c>
      <c r="IA8" s="350" t="s">
        <v>770</v>
      </c>
      <c r="IB8" s="350" t="s">
        <v>771</v>
      </c>
      <c r="IC8" s="350" t="s">
        <v>772</v>
      </c>
      <c r="ID8" s="352" t="s">
        <v>773</v>
      </c>
      <c r="IE8" s="350" t="s">
        <v>774</v>
      </c>
      <c r="IF8" s="350" t="s">
        <v>775</v>
      </c>
      <c r="IG8" s="350" t="s">
        <v>776</v>
      </c>
      <c r="IH8" s="350" t="s">
        <v>777</v>
      </c>
      <c r="II8" s="351" t="s">
        <v>778</v>
      </c>
      <c r="IJ8" s="350" t="s">
        <v>779</v>
      </c>
      <c r="IK8" s="350" t="s">
        <v>780</v>
      </c>
      <c r="IL8" s="350" t="s">
        <v>781</v>
      </c>
      <c r="IM8" s="350" t="s">
        <v>782</v>
      </c>
      <c r="IN8" s="350" t="s">
        <v>783</v>
      </c>
      <c r="IO8" s="351" t="s">
        <v>784</v>
      </c>
      <c r="IP8" s="352" t="s">
        <v>785</v>
      </c>
      <c r="IQ8" s="350" t="s">
        <v>786</v>
      </c>
      <c r="IR8" s="350" t="s">
        <v>787</v>
      </c>
      <c r="IS8" s="350" t="s">
        <v>788</v>
      </c>
      <c r="IT8" s="350" t="s">
        <v>789</v>
      </c>
      <c r="IU8" s="351" t="s">
        <v>790</v>
      </c>
      <c r="IV8" s="352" t="s">
        <v>791</v>
      </c>
      <c r="IW8" s="350" t="s">
        <v>792</v>
      </c>
      <c r="IX8" s="350" t="s">
        <v>793</v>
      </c>
      <c r="IY8" s="350" t="s">
        <v>794</v>
      </c>
      <c r="IZ8" s="350" t="s">
        <v>795</v>
      </c>
      <c r="JA8" s="351" t="s">
        <v>796</v>
      </c>
      <c r="JB8" s="352" t="s">
        <v>797</v>
      </c>
      <c r="JC8" s="350" t="s">
        <v>798</v>
      </c>
      <c r="JD8" s="350" t="s">
        <v>799</v>
      </c>
      <c r="JE8" s="350" t="s">
        <v>800</v>
      </c>
      <c r="JF8" s="350" t="s">
        <v>801</v>
      </c>
      <c r="JG8" s="351" t="s">
        <v>802</v>
      </c>
      <c r="JH8" s="352" t="s">
        <v>803</v>
      </c>
      <c r="JI8" s="350" t="s">
        <v>804</v>
      </c>
      <c r="JJ8" s="350" t="s">
        <v>805</v>
      </c>
      <c r="JK8" s="350" t="s">
        <v>806</v>
      </c>
      <c r="JL8" s="350" t="s">
        <v>807</v>
      </c>
      <c r="JM8" s="351" t="s">
        <v>808</v>
      </c>
      <c r="JN8" s="352" t="s">
        <v>809</v>
      </c>
      <c r="JO8" s="350" t="s">
        <v>810</v>
      </c>
      <c r="JP8" s="350" t="s">
        <v>811</v>
      </c>
      <c r="JQ8" s="350" t="s">
        <v>812</v>
      </c>
      <c r="JR8" s="350" t="s">
        <v>813</v>
      </c>
      <c r="JS8" s="351" t="s">
        <v>814</v>
      </c>
      <c r="JT8" s="352" t="s">
        <v>815</v>
      </c>
      <c r="JU8" s="350" t="s">
        <v>816</v>
      </c>
      <c r="JV8" s="350" t="s">
        <v>817</v>
      </c>
      <c r="JW8" s="350" t="s">
        <v>818</v>
      </c>
      <c r="JX8" s="350" t="s">
        <v>819</v>
      </c>
      <c r="JY8" s="351" t="s">
        <v>820</v>
      </c>
      <c r="JZ8" s="352" t="s">
        <v>821</v>
      </c>
      <c r="KA8" s="350" t="s">
        <v>822</v>
      </c>
      <c r="KB8" s="350" t="s">
        <v>823</v>
      </c>
      <c r="KC8" s="350" t="s">
        <v>824</v>
      </c>
      <c r="KD8" s="350" t="s">
        <v>825</v>
      </c>
      <c r="KE8" s="351" t="s">
        <v>826</v>
      </c>
      <c r="KF8" s="352" t="s">
        <v>827</v>
      </c>
      <c r="KG8" s="350" t="s">
        <v>828</v>
      </c>
      <c r="KH8" s="350" t="s">
        <v>829</v>
      </c>
      <c r="KI8" s="350" t="s">
        <v>830</v>
      </c>
      <c r="KJ8" s="350" t="s">
        <v>831</v>
      </c>
      <c r="KK8" s="351" t="s">
        <v>832</v>
      </c>
      <c r="KL8" s="352" t="s">
        <v>833</v>
      </c>
      <c r="KM8" s="350" t="s">
        <v>834</v>
      </c>
      <c r="KN8" s="350" t="s">
        <v>835</v>
      </c>
      <c r="KO8" s="350" t="s">
        <v>836</v>
      </c>
      <c r="KP8" s="350" t="s">
        <v>837</v>
      </c>
      <c r="KQ8" s="351" t="s">
        <v>838</v>
      </c>
      <c r="KR8" s="352" t="s">
        <v>839</v>
      </c>
      <c r="KS8" s="350" t="s">
        <v>840</v>
      </c>
      <c r="KT8" s="350" t="s">
        <v>841</v>
      </c>
      <c r="KU8" s="350" t="s">
        <v>842</v>
      </c>
      <c r="KV8" s="350" t="s">
        <v>843</v>
      </c>
      <c r="KW8" s="351" t="s">
        <v>844</v>
      </c>
      <c r="KX8" s="352" t="s">
        <v>845</v>
      </c>
      <c r="KY8" s="350" t="s">
        <v>846</v>
      </c>
      <c r="KZ8" s="350" t="s">
        <v>847</v>
      </c>
      <c r="LA8" s="350" t="s">
        <v>848</v>
      </c>
      <c r="LB8" s="350" t="s">
        <v>849</v>
      </c>
      <c r="LC8" s="351" t="s">
        <v>850</v>
      </c>
      <c r="LD8" s="352" t="s">
        <v>851</v>
      </c>
      <c r="LE8" s="350" t="s">
        <v>852</v>
      </c>
      <c r="LF8" s="350" t="s">
        <v>853</v>
      </c>
      <c r="LG8" s="350" t="s">
        <v>854</v>
      </c>
      <c r="LH8" s="350" t="s">
        <v>855</v>
      </c>
      <c r="LI8" s="351" t="s">
        <v>856</v>
      </c>
      <c r="LJ8" s="352" t="s">
        <v>858</v>
      </c>
      <c r="LK8" s="350" t="s">
        <v>859</v>
      </c>
      <c r="LL8" s="350" t="s">
        <v>860</v>
      </c>
      <c r="LM8" s="350" t="s">
        <v>861</v>
      </c>
      <c r="LN8" s="350" t="s">
        <v>868</v>
      </c>
      <c r="LO8" s="351" t="s">
        <v>869</v>
      </c>
      <c r="LP8" s="352" t="s">
        <v>882</v>
      </c>
      <c r="LQ8" s="350" t="s">
        <v>883</v>
      </c>
      <c r="LR8" s="350" t="s">
        <v>884</v>
      </c>
      <c r="LS8" s="350" t="s">
        <v>885</v>
      </c>
      <c r="LT8" s="350" t="s">
        <v>886</v>
      </c>
      <c r="LU8" s="353" t="s">
        <v>887</v>
      </c>
      <c r="LV8" s="352" t="s">
        <v>870</v>
      </c>
      <c r="LW8" s="350" t="s">
        <v>871</v>
      </c>
      <c r="LX8" s="350" t="s">
        <v>872</v>
      </c>
      <c r="LY8" s="350" t="s">
        <v>873</v>
      </c>
      <c r="LZ8" s="350" t="s">
        <v>874</v>
      </c>
      <c r="MA8" s="351" t="s">
        <v>875</v>
      </c>
      <c r="MB8" s="352" t="s">
        <v>876</v>
      </c>
      <c r="MC8" s="350" t="s">
        <v>877</v>
      </c>
      <c r="MD8" s="350" t="s">
        <v>878</v>
      </c>
      <c r="ME8" s="350" t="s">
        <v>879</v>
      </c>
      <c r="MF8" s="350" t="s">
        <v>880</v>
      </c>
      <c r="MG8" s="353" t="s">
        <v>881</v>
      </c>
    </row>
    <row r="9" spans="1:351" ht="18" customHeight="1">
      <c r="A9" s="10" t="s">
        <v>1</v>
      </c>
      <c r="B9" s="309">
        <v>0.5</v>
      </c>
      <c r="C9" s="309">
        <v>0.2</v>
      </c>
      <c r="D9" s="309">
        <v>0.2</v>
      </c>
      <c r="E9" s="333">
        <v>263.02752293577981</v>
      </c>
      <c r="F9" s="334">
        <v>-0.9</v>
      </c>
      <c r="G9" s="310">
        <v>-2.5</v>
      </c>
      <c r="H9" s="310">
        <v>-2.5</v>
      </c>
      <c r="I9" s="244">
        <v>1176.4430275624979</v>
      </c>
      <c r="J9" s="246">
        <v>12</v>
      </c>
      <c r="K9" s="246">
        <v>368.48120000000006</v>
      </c>
      <c r="L9" s="311">
        <v>0.8</v>
      </c>
      <c r="M9" s="311">
        <v>0.7</v>
      </c>
      <c r="N9" s="311">
        <v>0.7</v>
      </c>
      <c r="O9" s="310">
        <v>0.7</v>
      </c>
      <c r="P9" s="310">
        <v>0</v>
      </c>
      <c r="Q9" s="310">
        <v>99.2</v>
      </c>
      <c r="R9" s="310">
        <v>0.1</v>
      </c>
      <c r="S9" s="312">
        <v>0</v>
      </c>
      <c r="T9" s="342">
        <v>2</v>
      </c>
      <c r="U9" s="343">
        <v>1.5</v>
      </c>
      <c r="V9" s="342">
        <v>1</v>
      </c>
      <c r="W9" s="343">
        <v>0.8</v>
      </c>
      <c r="X9" s="343">
        <v>0.5</v>
      </c>
      <c r="Y9" s="244">
        <v>8970.0418125242413</v>
      </c>
      <c r="Z9" s="344">
        <v>1.18</v>
      </c>
      <c r="AA9" s="244">
        <v>167.30971062097652</v>
      </c>
      <c r="AB9" s="247">
        <v>0.6</v>
      </c>
      <c r="AC9" s="247">
        <v>0.6</v>
      </c>
      <c r="AD9" s="247">
        <v>0.6</v>
      </c>
      <c r="AE9" s="251">
        <v>0.16961937784730771</v>
      </c>
      <c r="AF9" s="251">
        <v>0.17629160201814098</v>
      </c>
      <c r="AG9" s="249">
        <v>3.9955377834034946E-5</v>
      </c>
      <c r="AH9" s="249">
        <v>4.7247234288746325E-2</v>
      </c>
      <c r="AI9" s="249">
        <v>0.53404358012971109</v>
      </c>
      <c r="AJ9" s="249">
        <v>42.737051261151549</v>
      </c>
      <c r="AK9" s="249">
        <v>0.57174147911612305</v>
      </c>
      <c r="AL9" s="249">
        <v>0.10921802530933454</v>
      </c>
      <c r="AM9" s="249">
        <v>55.464697026360966</v>
      </c>
      <c r="AN9" s="249">
        <v>4.4350469395778795E-2</v>
      </c>
      <c r="AO9" s="249">
        <v>4.8545784068352461E-3</v>
      </c>
      <c r="AP9" s="249">
        <v>4.7946453400841938E-4</v>
      </c>
      <c r="AQ9" s="249"/>
      <c r="AR9" s="249"/>
      <c r="AS9" s="249">
        <v>7.012168809873133E-2</v>
      </c>
      <c r="AT9" s="249"/>
      <c r="AU9" s="249">
        <v>0.41615523783039104</v>
      </c>
      <c r="AV9" s="343">
        <v>0.3</v>
      </c>
      <c r="AW9" s="343">
        <v>0.7</v>
      </c>
      <c r="AX9" s="343">
        <v>1.2</v>
      </c>
      <c r="AY9" s="343">
        <v>1.2</v>
      </c>
      <c r="AZ9" s="342">
        <v>3</v>
      </c>
      <c r="BA9" s="246">
        <v>22.364717643919846</v>
      </c>
      <c r="BB9" s="246">
        <v>18</v>
      </c>
      <c r="BC9" s="244">
        <f>BA9*BB9</f>
        <v>402.56491759055723</v>
      </c>
      <c r="BD9" s="247">
        <v>1.4</v>
      </c>
      <c r="BE9" s="247">
        <v>0.8</v>
      </c>
      <c r="BF9" s="247">
        <v>0.8</v>
      </c>
      <c r="BG9" s="246">
        <v>22.364717643919846</v>
      </c>
      <c r="BH9" s="246">
        <v>18</v>
      </c>
      <c r="BI9" s="244">
        <v>63.126605504587154</v>
      </c>
      <c r="BJ9" s="247">
        <v>1.4</v>
      </c>
      <c r="BK9" s="247">
        <v>0.8</v>
      </c>
      <c r="BL9" s="247">
        <v>0.8</v>
      </c>
      <c r="BM9" s="244">
        <v>1478.2824026516614</v>
      </c>
      <c r="BN9" s="246">
        <v>179.9</v>
      </c>
      <c r="BO9" s="246">
        <v>3226.2337334254175</v>
      </c>
      <c r="BP9" s="247">
        <v>1.4</v>
      </c>
      <c r="BQ9" s="247">
        <v>0.8</v>
      </c>
      <c r="BR9" s="247">
        <v>0.8</v>
      </c>
      <c r="BS9" s="307">
        <v>2</v>
      </c>
      <c r="BT9" s="345">
        <v>1.5</v>
      </c>
      <c r="BU9" s="345">
        <v>0.7</v>
      </c>
      <c r="BV9" s="345">
        <v>0.7</v>
      </c>
      <c r="BW9" s="345">
        <v>0.5</v>
      </c>
      <c r="BX9" s="244">
        <v>95.708086423490244</v>
      </c>
      <c r="BY9" s="244">
        <v>4124.9512817830164</v>
      </c>
      <c r="BZ9" s="247">
        <v>1.4</v>
      </c>
      <c r="CA9" s="247">
        <v>1.1000000000000001</v>
      </c>
      <c r="CB9" s="247">
        <v>1.1000000000000001</v>
      </c>
      <c r="CC9" s="307">
        <v>2</v>
      </c>
      <c r="CD9" s="307">
        <v>2</v>
      </c>
      <c r="CE9" s="307">
        <v>1</v>
      </c>
      <c r="CF9" s="307">
        <v>1</v>
      </c>
      <c r="CG9" s="345">
        <v>0.5</v>
      </c>
      <c r="CH9" s="244">
        <v>208.29081384288048</v>
      </c>
      <c r="CI9" s="244">
        <v>500</v>
      </c>
      <c r="CJ9" s="247">
        <v>1.3</v>
      </c>
      <c r="CK9" s="247">
        <v>0.8</v>
      </c>
      <c r="CL9" s="247">
        <v>0.8</v>
      </c>
      <c r="CM9" s="345">
        <v>2</v>
      </c>
      <c r="CN9" s="345">
        <v>1.5</v>
      </c>
      <c r="CO9" s="345">
        <v>0.5</v>
      </c>
      <c r="CP9" s="345">
        <v>1</v>
      </c>
      <c r="CQ9" s="345">
        <v>0.5</v>
      </c>
      <c r="CR9" s="244">
        <v>179.78959020511687</v>
      </c>
      <c r="CS9" s="308">
        <v>29</v>
      </c>
      <c r="CT9" s="247">
        <v>1</v>
      </c>
      <c r="CU9" s="247">
        <v>0.9</v>
      </c>
      <c r="CV9" s="247">
        <v>0.9</v>
      </c>
      <c r="CW9" s="345">
        <v>2</v>
      </c>
      <c r="CX9" s="345">
        <v>1</v>
      </c>
      <c r="CY9" s="345">
        <v>0.5</v>
      </c>
      <c r="CZ9" s="345">
        <v>0.7</v>
      </c>
      <c r="DA9" s="345">
        <v>0.2</v>
      </c>
      <c r="DB9" s="402">
        <v>0</v>
      </c>
      <c r="DC9" s="402">
        <v>0</v>
      </c>
      <c r="DD9" s="402">
        <v>0</v>
      </c>
      <c r="DE9" s="402">
        <v>0</v>
      </c>
      <c r="DF9" s="402">
        <v>0</v>
      </c>
      <c r="DG9" s="402">
        <v>0</v>
      </c>
      <c r="DH9" s="402">
        <v>0</v>
      </c>
      <c r="DI9" s="402">
        <v>0</v>
      </c>
      <c r="DJ9" s="402">
        <v>0</v>
      </c>
      <c r="DK9" s="402">
        <v>0</v>
      </c>
      <c r="DL9" s="402">
        <v>0</v>
      </c>
      <c r="DM9" s="402">
        <v>0</v>
      </c>
      <c r="DN9" s="402">
        <v>0</v>
      </c>
      <c r="DO9" s="402">
        <v>0</v>
      </c>
      <c r="DP9" s="402">
        <v>0</v>
      </c>
      <c r="DQ9" s="402">
        <v>0</v>
      </c>
      <c r="DR9" s="402">
        <v>0</v>
      </c>
      <c r="DS9" s="402">
        <v>0</v>
      </c>
      <c r="DT9" s="402">
        <v>0</v>
      </c>
      <c r="DU9" s="402">
        <v>0</v>
      </c>
      <c r="DV9" s="402">
        <v>0</v>
      </c>
      <c r="DW9" s="402">
        <v>0</v>
      </c>
      <c r="DX9" s="402">
        <v>0</v>
      </c>
      <c r="DY9" s="402">
        <v>0</v>
      </c>
      <c r="DZ9" s="401">
        <v>0</v>
      </c>
      <c r="EA9" s="401">
        <v>0</v>
      </c>
      <c r="EB9" s="401">
        <v>0</v>
      </c>
      <c r="EC9" s="401">
        <v>0</v>
      </c>
      <c r="ED9" s="401">
        <v>0</v>
      </c>
      <c r="EE9" s="401">
        <v>0</v>
      </c>
      <c r="EF9" s="401">
        <v>2.3331596698950001</v>
      </c>
      <c r="EG9" s="401">
        <v>0</v>
      </c>
      <c r="EH9" s="401">
        <v>0</v>
      </c>
      <c r="EI9" s="401">
        <v>0.98609088910742004</v>
      </c>
      <c r="EJ9" s="401">
        <v>9.6999770847580005E-2</v>
      </c>
      <c r="EK9" s="401">
        <v>-0.74905005460903995</v>
      </c>
      <c r="EL9" s="401">
        <v>2.3331596698949899</v>
      </c>
      <c r="EM9" s="401">
        <v>0</v>
      </c>
      <c r="EN9" s="401">
        <v>0</v>
      </c>
      <c r="EO9" s="401">
        <v>0.98609088910742004</v>
      </c>
      <c r="EP9" s="401">
        <v>0</v>
      </c>
      <c r="EQ9" s="401">
        <v>-0.74905005460903995</v>
      </c>
      <c r="ER9" s="401">
        <v>0</v>
      </c>
      <c r="ES9" s="401">
        <v>0</v>
      </c>
      <c r="ET9" s="401">
        <v>0</v>
      </c>
      <c r="EU9" s="401">
        <v>0</v>
      </c>
      <c r="EV9" s="401">
        <v>0</v>
      </c>
      <c r="EW9" s="401">
        <v>0</v>
      </c>
      <c r="EX9" s="401">
        <v>0</v>
      </c>
      <c r="EY9" s="401">
        <v>0</v>
      </c>
      <c r="EZ9" s="401">
        <v>0</v>
      </c>
      <c r="FA9" s="401">
        <v>0</v>
      </c>
      <c r="FB9" s="401">
        <v>0</v>
      </c>
      <c r="FC9" s="401">
        <v>0</v>
      </c>
      <c r="FD9" s="401">
        <v>0</v>
      </c>
      <c r="FE9" s="401">
        <v>0</v>
      </c>
      <c r="FF9" s="401">
        <v>0</v>
      </c>
      <c r="FG9" s="401">
        <v>0</v>
      </c>
      <c r="FH9" s="401">
        <v>0</v>
      </c>
      <c r="FI9" s="401">
        <v>0</v>
      </c>
      <c r="FJ9" s="401">
        <v>0</v>
      </c>
      <c r="FK9" s="401">
        <v>0</v>
      </c>
      <c r="FL9" s="401">
        <v>0</v>
      </c>
      <c r="FM9" s="401">
        <v>0</v>
      </c>
      <c r="FN9" s="401">
        <v>0</v>
      </c>
      <c r="FO9" s="401">
        <v>0</v>
      </c>
      <c r="FP9" s="401">
        <v>0</v>
      </c>
      <c r="FQ9" s="401">
        <v>0</v>
      </c>
      <c r="FR9" s="401">
        <v>0</v>
      </c>
      <c r="FS9" s="401">
        <v>0</v>
      </c>
      <c r="FT9" s="401">
        <v>0</v>
      </c>
      <c r="FU9" s="401">
        <v>0</v>
      </c>
      <c r="FV9" s="401">
        <v>0</v>
      </c>
      <c r="FW9" s="401">
        <v>0</v>
      </c>
      <c r="FX9" s="401">
        <v>0</v>
      </c>
      <c r="FY9" s="401">
        <v>0</v>
      </c>
      <c r="FZ9" s="401">
        <v>0</v>
      </c>
      <c r="GA9" s="401">
        <v>0</v>
      </c>
      <c r="GB9" s="401">
        <v>0</v>
      </c>
      <c r="GC9" s="401">
        <v>0</v>
      </c>
      <c r="GD9" s="401">
        <v>0</v>
      </c>
      <c r="GE9" s="401">
        <v>0</v>
      </c>
      <c r="GF9" s="401">
        <v>0</v>
      </c>
      <c r="GG9" s="401">
        <v>0</v>
      </c>
      <c r="GH9" s="401">
        <v>-55.82</v>
      </c>
      <c r="GI9" s="401">
        <v>-11.99</v>
      </c>
      <c r="GJ9" s="401">
        <v>-19.61</v>
      </c>
      <c r="GK9" s="401">
        <v>-12.92</v>
      </c>
      <c r="GL9" s="401">
        <v>4.6060068064949999E-2</v>
      </c>
      <c r="GM9" s="401">
        <v>-3.91</v>
      </c>
      <c r="GN9" s="401">
        <v>0</v>
      </c>
      <c r="GO9" s="401">
        <v>0</v>
      </c>
      <c r="GP9" s="401">
        <v>0</v>
      </c>
      <c r="GQ9" s="401">
        <v>0</v>
      </c>
      <c r="GR9" s="401">
        <v>0</v>
      </c>
      <c r="GS9" s="401">
        <v>0</v>
      </c>
      <c r="GT9" s="401">
        <v>0</v>
      </c>
      <c r="GU9" s="401">
        <v>0</v>
      </c>
      <c r="GV9" s="401">
        <v>0</v>
      </c>
      <c r="GW9" s="401">
        <v>0</v>
      </c>
      <c r="GX9" s="401">
        <v>0</v>
      </c>
      <c r="GY9" s="401">
        <v>0</v>
      </c>
      <c r="GZ9" s="401">
        <v>0</v>
      </c>
      <c r="HA9" s="401">
        <v>0</v>
      </c>
      <c r="HB9" s="401">
        <v>0</v>
      </c>
      <c r="HC9" s="401">
        <v>0</v>
      </c>
      <c r="HD9" s="401">
        <v>0</v>
      </c>
      <c r="HE9" s="401">
        <v>0</v>
      </c>
      <c r="HF9" s="401">
        <v>0</v>
      </c>
      <c r="HG9" s="401">
        <v>0</v>
      </c>
      <c r="HH9" s="401">
        <v>0</v>
      </c>
      <c r="HI9" s="401">
        <v>0</v>
      </c>
      <c r="HJ9" s="401">
        <v>0</v>
      </c>
      <c r="HK9" s="401">
        <v>0</v>
      </c>
      <c r="HL9" s="397">
        <v>-0.6</v>
      </c>
      <c r="HM9" s="397">
        <v>0</v>
      </c>
      <c r="HN9" s="397">
        <v>0</v>
      </c>
      <c r="HO9" s="397">
        <v>0</v>
      </c>
      <c r="HP9" s="397">
        <v>0</v>
      </c>
      <c r="HQ9" s="397">
        <v>-3.1108822695035498</v>
      </c>
      <c r="HR9" s="397">
        <v>0.1</v>
      </c>
      <c r="HS9" s="397">
        <v>0</v>
      </c>
      <c r="HT9" s="397">
        <v>0</v>
      </c>
      <c r="HU9" s="397">
        <v>0</v>
      </c>
      <c r="HV9" s="397">
        <v>0</v>
      </c>
      <c r="HW9" s="397">
        <v>0.23</v>
      </c>
      <c r="HX9" s="397">
        <v>-9.0767508396599993E-3</v>
      </c>
      <c r="HY9" s="397">
        <v>0</v>
      </c>
      <c r="HZ9" s="397">
        <v>0</v>
      </c>
      <c r="IA9" s="397">
        <v>-2.3954794799700002E-3</v>
      </c>
      <c r="IB9" s="397">
        <v>0</v>
      </c>
      <c r="IC9" s="397">
        <v>-0.47</v>
      </c>
      <c r="ID9" s="397">
        <v>0</v>
      </c>
      <c r="IE9" s="397">
        <v>0</v>
      </c>
      <c r="IF9" s="397">
        <v>0</v>
      </c>
      <c r="IG9" s="397">
        <v>0</v>
      </c>
      <c r="IH9" s="397">
        <v>0</v>
      </c>
      <c r="II9" s="397">
        <v>0</v>
      </c>
      <c r="IJ9" s="397">
        <v>0</v>
      </c>
      <c r="IK9" s="397">
        <v>0</v>
      </c>
      <c r="IL9" s="397">
        <v>0</v>
      </c>
      <c r="IM9" s="397">
        <v>0</v>
      </c>
      <c r="IN9" s="397">
        <v>0</v>
      </c>
      <c r="IO9" s="397">
        <v>0</v>
      </c>
      <c r="IP9" s="401">
        <v>-55.82</v>
      </c>
      <c r="IQ9" s="401">
        <v>-11.99</v>
      </c>
      <c r="IR9" s="401">
        <v>-19.61</v>
      </c>
      <c r="IS9" s="401">
        <v>-12.92</v>
      </c>
      <c r="IT9" s="401">
        <v>-1.07225369578546</v>
      </c>
      <c r="IU9" s="401">
        <v>-0.59</v>
      </c>
      <c r="IV9" s="401">
        <v>-0.12913436945737</v>
      </c>
      <c r="IW9" s="401">
        <v>0</v>
      </c>
      <c r="IX9" s="401">
        <v>0</v>
      </c>
      <c r="IY9" s="401">
        <v>0</v>
      </c>
      <c r="IZ9" s="401">
        <v>-0.75737307686747002</v>
      </c>
      <c r="JA9" s="401">
        <v>0</v>
      </c>
      <c r="JB9" s="401">
        <v>-0.15496124334884001</v>
      </c>
      <c r="JC9" s="401">
        <v>0</v>
      </c>
      <c r="JD9" s="401">
        <v>0</v>
      </c>
      <c r="JE9" s="401">
        <v>0</v>
      </c>
      <c r="JF9" s="401">
        <v>-1.39367584496439</v>
      </c>
      <c r="JG9" s="401">
        <v>0</v>
      </c>
      <c r="JH9" s="401">
        <v>0</v>
      </c>
      <c r="JI9" s="401">
        <v>0</v>
      </c>
      <c r="JJ9" s="401">
        <v>0</v>
      </c>
      <c r="JK9" s="401">
        <v>0</v>
      </c>
      <c r="JL9" s="401">
        <v>0</v>
      </c>
      <c r="JM9" s="401">
        <v>0</v>
      </c>
      <c r="JN9" s="401">
        <v>-0.15496124334885</v>
      </c>
      <c r="JO9" s="401">
        <v>0</v>
      </c>
      <c r="JP9" s="401">
        <v>0</v>
      </c>
      <c r="JQ9" s="401">
        <v>0</v>
      </c>
      <c r="JR9" s="401">
        <v>-1.3435541332540599</v>
      </c>
      <c r="JS9" s="401">
        <v>0</v>
      </c>
      <c r="JT9" s="401">
        <v>-55.82</v>
      </c>
      <c r="JU9" s="401">
        <v>-11.99</v>
      </c>
      <c r="JV9" s="401">
        <v>-19.61</v>
      </c>
      <c r="JW9" s="401">
        <v>-12.92</v>
      </c>
      <c r="JX9" s="401">
        <v>-0.84497718120804999</v>
      </c>
      <c r="JY9" s="401">
        <v>-0.9</v>
      </c>
      <c r="JZ9" s="401">
        <v>0</v>
      </c>
      <c r="KA9" s="401">
        <v>0</v>
      </c>
      <c r="KB9" s="401">
        <v>0</v>
      </c>
      <c r="KC9" s="401">
        <v>0</v>
      </c>
      <c r="KD9" s="401">
        <v>0</v>
      </c>
      <c r="KE9" s="401">
        <v>0</v>
      </c>
      <c r="KF9" s="401">
        <v>0</v>
      </c>
      <c r="KG9" s="401">
        <v>0</v>
      </c>
      <c r="KH9" s="401">
        <v>0</v>
      </c>
      <c r="KI9" s="401">
        <v>0</v>
      </c>
      <c r="KJ9" s="401">
        <v>0</v>
      </c>
      <c r="KK9" s="401">
        <v>0</v>
      </c>
      <c r="KL9" s="401">
        <v>0</v>
      </c>
      <c r="KM9" s="401">
        <v>0</v>
      </c>
      <c r="KN9" s="401">
        <v>0</v>
      </c>
      <c r="KO9" s="401">
        <v>0</v>
      </c>
      <c r="KP9" s="401">
        <v>0</v>
      </c>
      <c r="KQ9" s="401">
        <v>0</v>
      </c>
      <c r="KR9" s="401">
        <v>0</v>
      </c>
      <c r="KS9" s="401">
        <v>0</v>
      </c>
      <c r="KT9" s="401">
        <v>0</v>
      </c>
      <c r="KU9" s="401">
        <v>0</v>
      </c>
      <c r="KV9" s="401">
        <v>0</v>
      </c>
      <c r="KW9" s="401">
        <v>0</v>
      </c>
      <c r="KX9" s="401">
        <v>1.0046888903139199</v>
      </c>
      <c r="KY9" s="401">
        <v>0.16710577309979999</v>
      </c>
      <c r="KZ9" s="401">
        <v>-0.20275762945598999</v>
      </c>
      <c r="LA9" s="401">
        <v>1.2390474038300001E-2</v>
      </c>
      <c r="LB9" s="401">
        <v>-5.5329298001249999E-2</v>
      </c>
      <c r="LC9" s="401">
        <v>-0.44750344212965998</v>
      </c>
      <c r="LD9" s="401">
        <v>-2.6800558377699998E-3</v>
      </c>
      <c r="LE9" s="401">
        <v>0</v>
      </c>
      <c r="LF9" s="401">
        <v>0</v>
      </c>
      <c r="LG9" s="401">
        <v>0</v>
      </c>
      <c r="LH9" s="401">
        <v>4.3345790606010001E-2</v>
      </c>
      <c r="LI9" s="401">
        <v>0</v>
      </c>
      <c r="LJ9" s="401">
        <v>0</v>
      </c>
      <c r="LK9" s="401">
        <v>0</v>
      </c>
      <c r="LL9" s="401">
        <v>0</v>
      </c>
      <c r="LM9" s="401">
        <v>0</v>
      </c>
      <c r="LN9" s="401">
        <v>0.14138326334163001</v>
      </c>
      <c r="LO9" s="401">
        <v>-6.76163329988798</v>
      </c>
      <c r="LP9" s="401">
        <v>0.12020443037641</v>
      </c>
      <c r="LQ9" s="401">
        <v>0</v>
      </c>
      <c r="LR9" s="401">
        <v>0</v>
      </c>
      <c r="LS9" s="401">
        <v>0</v>
      </c>
      <c r="LT9" s="401">
        <v>0</v>
      </c>
      <c r="LU9" s="401">
        <v>-3.11</v>
      </c>
      <c r="LV9" s="401">
        <v>6.8506595710599999E-3</v>
      </c>
      <c r="LW9" s="401">
        <v>0</v>
      </c>
      <c r="LX9" s="401">
        <v>0</v>
      </c>
      <c r="LY9" s="401">
        <v>0</v>
      </c>
      <c r="LZ9" s="401">
        <v>0</v>
      </c>
      <c r="MA9" s="401">
        <v>-0.43889541996992998</v>
      </c>
      <c r="MB9" s="401">
        <v>0</v>
      </c>
      <c r="MC9" s="401">
        <v>0</v>
      </c>
      <c r="MD9" s="401">
        <v>0</v>
      </c>
      <c r="ME9" s="401">
        <v>0</v>
      </c>
      <c r="MF9" s="401">
        <v>0</v>
      </c>
      <c r="MG9" s="401">
        <v>0</v>
      </c>
    </row>
    <row r="10" spans="1:351" ht="15">
      <c r="A10" s="10" t="s">
        <v>2</v>
      </c>
      <c r="B10" s="15">
        <v>0.9</v>
      </c>
      <c r="C10" s="15">
        <v>0.7</v>
      </c>
      <c r="D10" s="15">
        <v>0.7</v>
      </c>
      <c r="E10" s="255">
        <v>204.06282722513089</v>
      </c>
      <c r="F10" s="256">
        <v>6.7</v>
      </c>
      <c r="G10" s="16">
        <v>-0.5</v>
      </c>
      <c r="H10" s="16">
        <v>-0.5</v>
      </c>
      <c r="I10" s="5">
        <v>1177.3412548632132</v>
      </c>
      <c r="J10" s="6">
        <v>12</v>
      </c>
      <c r="K10" s="6">
        <v>368.48120000000006</v>
      </c>
      <c r="L10" s="17">
        <v>0.1</v>
      </c>
      <c r="M10" s="17">
        <v>0.2</v>
      </c>
      <c r="N10" s="17">
        <v>0.2</v>
      </c>
      <c r="O10" s="16">
        <v>0.7</v>
      </c>
      <c r="P10" s="16">
        <v>0</v>
      </c>
      <c r="Q10" s="16">
        <v>99.2</v>
      </c>
      <c r="R10" s="16">
        <v>0.1</v>
      </c>
      <c r="S10" s="252">
        <v>0</v>
      </c>
      <c r="T10" s="303">
        <v>2</v>
      </c>
      <c r="U10" s="304">
        <v>1.5</v>
      </c>
      <c r="V10" s="303">
        <v>1</v>
      </c>
      <c r="W10" s="304">
        <v>0.8</v>
      </c>
      <c r="X10" s="304">
        <v>0.5</v>
      </c>
      <c r="Y10" s="5">
        <v>9484.5160815676136</v>
      </c>
      <c r="Z10" s="7">
        <v>1.51</v>
      </c>
      <c r="AA10" s="5">
        <v>166.19963703649992</v>
      </c>
      <c r="AB10" s="17">
        <v>0.8</v>
      </c>
      <c r="AC10" s="17">
        <v>0.6</v>
      </c>
      <c r="AD10" s="17">
        <v>0.6</v>
      </c>
      <c r="AE10" s="254">
        <v>0.17222730834075076</v>
      </c>
      <c r="AF10" s="254">
        <v>0.17334343976606054</v>
      </c>
      <c r="AG10" s="18">
        <v>3.0242423264891367E-4</v>
      </c>
      <c r="AH10" s="18">
        <v>8.876151228245617E-2</v>
      </c>
      <c r="AI10" s="18">
        <v>1.0533436023161664</v>
      </c>
      <c r="AJ10" s="18">
        <v>45.524995026801506</v>
      </c>
      <c r="AK10" s="18">
        <v>1.721415533583875</v>
      </c>
      <c r="AL10" s="18"/>
      <c r="AM10" s="18">
        <v>50.503637155437985</v>
      </c>
      <c r="AN10" s="18">
        <v>0.14326507954429371</v>
      </c>
      <c r="AO10" s="18"/>
      <c r="AP10" s="18"/>
      <c r="AQ10" s="18">
        <v>1.831346742151755E-3</v>
      </c>
      <c r="AR10" s="18"/>
      <c r="AS10" s="18"/>
      <c r="AT10" s="18">
        <v>0.7047492701495186</v>
      </c>
      <c r="AU10" s="18">
        <v>0.25769904890939105</v>
      </c>
      <c r="AV10" s="304">
        <v>0.3</v>
      </c>
      <c r="AW10" s="304">
        <v>0.7</v>
      </c>
      <c r="AX10" s="304">
        <v>1.2</v>
      </c>
      <c r="AY10" s="304">
        <v>1.2</v>
      </c>
      <c r="AZ10" s="303">
        <v>3</v>
      </c>
      <c r="BA10" s="6">
        <v>3.3537758859614817</v>
      </c>
      <c r="BB10" s="6">
        <v>18</v>
      </c>
      <c r="BC10" s="5">
        <f t="shared" ref="BC10:BC40" si="348">BA10*BB10</f>
        <v>60.367965947306672</v>
      </c>
      <c r="BD10" s="17">
        <v>1.7</v>
      </c>
      <c r="BE10" s="17">
        <v>1.7</v>
      </c>
      <c r="BF10" s="17">
        <v>1.7</v>
      </c>
      <c r="BG10" s="6">
        <v>3.3537758859614817</v>
      </c>
      <c r="BH10" s="6">
        <v>18</v>
      </c>
      <c r="BI10" s="5">
        <v>253.0379057591623</v>
      </c>
      <c r="BJ10" s="17">
        <v>1.7</v>
      </c>
      <c r="BK10" s="17">
        <v>1.7</v>
      </c>
      <c r="BL10" s="17">
        <v>1.7</v>
      </c>
      <c r="BM10" s="5">
        <v>925.98668809837352</v>
      </c>
      <c r="BN10" s="6">
        <v>179.9</v>
      </c>
      <c r="BO10" s="6">
        <v>2613.2170680628369</v>
      </c>
      <c r="BP10" s="17">
        <v>1.7</v>
      </c>
      <c r="BQ10" s="17">
        <v>1.7</v>
      </c>
      <c r="BR10" s="17">
        <v>1.7</v>
      </c>
      <c r="BS10" s="221">
        <v>2</v>
      </c>
      <c r="BT10" s="54">
        <v>1.5</v>
      </c>
      <c r="BU10" s="54">
        <v>0.7</v>
      </c>
      <c r="BV10" s="54">
        <v>0.7</v>
      </c>
      <c r="BW10" s="54">
        <v>0.5</v>
      </c>
      <c r="BX10" s="5">
        <v>30.686288979954334</v>
      </c>
      <c r="BY10" s="5">
        <v>6734.2330052356428</v>
      </c>
      <c r="BZ10" s="17">
        <v>3.2</v>
      </c>
      <c r="CA10" s="17">
        <v>1.7</v>
      </c>
      <c r="CB10" s="17">
        <v>1.7</v>
      </c>
      <c r="CC10" s="221">
        <v>2</v>
      </c>
      <c r="CD10" s="221">
        <v>2</v>
      </c>
      <c r="CE10" s="221">
        <v>1</v>
      </c>
      <c r="CF10" s="221">
        <v>1</v>
      </c>
      <c r="CG10" s="54">
        <v>0.5</v>
      </c>
      <c r="CH10" s="5">
        <v>192.27726710081694</v>
      </c>
      <c r="CI10" s="5">
        <v>500</v>
      </c>
      <c r="CJ10" s="19">
        <v>1.8</v>
      </c>
      <c r="CK10" s="19">
        <v>0.9</v>
      </c>
      <c r="CL10" s="19">
        <v>0.9</v>
      </c>
      <c r="CM10" s="54">
        <v>2</v>
      </c>
      <c r="CN10" s="54">
        <v>1.5</v>
      </c>
      <c r="CO10" s="54">
        <v>0.5</v>
      </c>
      <c r="CP10" s="54">
        <v>1</v>
      </c>
      <c r="CQ10" s="54">
        <v>0.5</v>
      </c>
      <c r="CR10" s="5">
        <v>638.76654077224873</v>
      </c>
      <c r="CS10" s="8">
        <v>29</v>
      </c>
      <c r="CT10" s="17">
        <v>1.6</v>
      </c>
      <c r="CU10" s="17">
        <v>1.4</v>
      </c>
      <c r="CV10" s="17">
        <v>1.4</v>
      </c>
      <c r="CW10" s="54">
        <v>2</v>
      </c>
      <c r="CX10" s="54">
        <v>1</v>
      </c>
      <c r="CY10" s="54">
        <v>0.5</v>
      </c>
      <c r="CZ10" s="54">
        <v>0.7</v>
      </c>
      <c r="DA10" s="54">
        <v>0.2</v>
      </c>
      <c r="DB10" s="403">
        <v>0</v>
      </c>
      <c r="DC10" s="403">
        <v>0</v>
      </c>
      <c r="DD10" s="403">
        <v>0</v>
      </c>
      <c r="DE10" s="403">
        <v>0</v>
      </c>
      <c r="DF10" s="403">
        <v>0</v>
      </c>
      <c r="DG10" s="403">
        <v>0</v>
      </c>
      <c r="DH10" s="403">
        <v>0</v>
      </c>
      <c r="DI10" s="403">
        <v>0</v>
      </c>
      <c r="DJ10" s="403">
        <v>0</v>
      </c>
      <c r="DK10" s="403">
        <v>0</v>
      </c>
      <c r="DL10" s="403">
        <v>0</v>
      </c>
      <c r="DM10" s="403">
        <v>0</v>
      </c>
      <c r="DN10" s="403">
        <v>0</v>
      </c>
      <c r="DO10" s="403">
        <v>0</v>
      </c>
      <c r="DP10" s="403">
        <v>0</v>
      </c>
      <c r="DQ10" s="403">
        <v>0</v>
      </c>
      <c r="DR10" s="403">
        <v>0</v>
      </c>
      <c r="DS10" s="403">
        <v>0</v>
      </c>
      <c r="DT10" s="403">
        <v>0</v>
      </c>
      <c r="DU10" s="403">
        <v>0</v>
      </c>
      <c r="DV10" s="403">
        <v>0</v>
      </c>
      <c r="DW10" s="403">
        <v>0</v>
      </c>
      <c r="DX10" s="403">
        <v>0</v>
      </c>
      <c r="DY10" s="403">
        <v>0</v>
      </c>
      <c r="DZ10" s="404">
        <v>0</v>
      </c>
      <c r="EA10" s="404">
        <v>0</v>
      </c>
      <c r="EB10" s="404">
        <v>0</v>
      </c>
      <c r="EC10" s="404">
        <v>0</v>
      </c>
      <c r="ED10" s="404">
        <v>0</v>
      </c>
      <c r="EE10" s="404">
        <v>0</v>
      </c>
      <c r="EF10" s="404">
        <v>2.3331596698950001</v>
      </c>
      <c r="EG10" s="404">
        <v>0</v>
      </c>
      <c r="EH10" s="404">
        <v>0</v>
      </c>
      <c r="EI10" s="404">
        <v>0.98609088910742004</v>
      </c>
      <c r="EJ10" s="404">
        <v>9.6999770847580005E-2</v>
      </c>
      <c r="EK10" s="404">
        <v>-0.74905005460903995</v>
      </c>
      <c r="EL10" s="404">
        <v>2.3331596698949899</v>
      </c>
      <c r="EM10" s="404">
        <v>0</v>
      </c>
      <c r="EN10" s="404">
        <v>0</v>
      </c>
      <c r="EO10" s="404">
        <v>0.98609088910742004</v>
      </c>
      <c r="EP10" s="404">
        <v>0</v>
      </c>
      <c r="EQ10" s="404">
        <v>-0.74905005460903995</v>
      </c>
      <c r="ER10" s="404">
        <v>0</v>
      </c>
      <c r="ES10" s="404">
        <v>0</v>
      </c>
      <c r="ET10" s="404">
        <v>0</v>
      </c>
      <c r="EU10" s="404">
        <v>0</v>
      </c>
      <c r="EV10" s="404">
        <v>0</v>
      </c>
      <c r="EW10" s="404">
        <v>0</v>
      </c>
      <c r="EX10" s="404">
        <v>0</v>
      </c>
      <c r="EY10" s="404">
        <v>0</v>
      </c>
      <c r="EZ10" s="404">
        <v>0</v>
      </c>
      <c r="FA10" s="404">
        <v>0</v>
      </c>
      <c r="FB10" s="404">
        <v>0</v>
      </c>
      <c r="FC10" s="404">
        <v>0</v>
      </c>
      <c r="FD10" s="404">
        <v>0</v>
      </c>
      <c r="FE10" s="404">
        <v>0</v>
      </c>
      <c r="FF10" s="404">
        <v>0</v>
      </c>
      <c r="FG10" s="404">
        <v>0</v>
      </c>
      <c r="FH10" s="404">
        <v>0</v>
      </c>
      <c r="FI10" s="404">
        <v>0</v>
      </c>
      <c r="FJ10" s="404">
        <v>0</v>
      </c>
      <c r="FK10" s="404">
        <v>0</v>
      </c>
      <c r="FL10" s="404">
        <v>0</v>
      </c>
      <c r="FM10" s="404">
        <v>0</v>
      </c>
      <c r="FN10" s="404">
        <v>0</v>
      </c>
      <c r="FO10" s="404">
        <v>0</v>
      </c>
      <c r="FP10" s="404">
        <v>0</v>
      </c>
      <c r="FQ10" s="404">
        <v>0</v>
      </c>
      <c r="FR10" s="404">
        <v>0</v>
      </c>
      <c r="FS10" s="404">
        <v>0</v>
      </c>
      <c r="FT10" s="404">
        <v>0</v>
      </c>
      <c r="FU10" s="404">
        <v>0</v>
      </c>
      <c r="FV10" s="404">
        <v>0</v>
      </c>
      <c r="FW10" s="404">
        <v>0</v>
      </c>
      <c r="FX10" s="404">
        <v>0</v>
      </c>
      <c r="FY10" s="404">
        <v>0</v>
      </c>
      <c r="FZ10" s="404">
        <v>0</v>
      </c>
      <c r="GA10" s="404">
        <v>0</v>
      </c>
      <c r="GB10" s="404">
        <v>0</v>
      </c>
      <c r="GC10" s="404">
        <v>0</v>
      </c>
      <c r="GD10" s="404">
        <v>0</v>
      </c>
      <c r="GE10" s="404">
        <v>0</v>
      </c>
      <c r="GF10" s="404">
        <v>0</v>
      </c>
      <c r="GG10" s="404">
        <v>0</v>
      </c>
      <c r="GH10" s="404">
        <v>-55.82</v>
      </c>
      <c r="GI10" s="404">
        <v>-11.99</v>
      </c>
      <c r="GJ10" s="404">
        <v>-19.61</v>
      </c>
      <c r="GK10" s="404">
        <v>-12.92</v>
      </c>
      <c r="GL10" s="404">
        <v>4.6060068064949999E-2</v>
      </c>
      <c r="GM10" s="404">
        <v>-3.91</v>
      </c>
      <c r="GN10" s="404">
        <v>0</v>
      </c>
      <c r="GO10" s="404">
        <v>0</v>
      </c>
      <c r="GP10" s="404">
        <v>0</v>
      </c>
      <c r="GQ10" s="404">
        <v>0</v>
      </c>
      <c r="GR10" s="404">
        <v>0</v>
      </c>
      <c r="GS10" s="404">
        <v>0</v>
      </c>
      <c r="GT10" s="404">
        <v>0</v>
      </c>
      <c r="GU10" s="404">
        <v>0</v>
      </c>
      <c r="GV10" s="404">
        <v>0</v>
      </c>
      <c r="GW10" s="404">
        <v>0</v>
      </c>
      <c r="GX10" s="404">
        <v>0</v>
      </c>
      <c r="GY10" s="404">
        <v>0</v>
      </c>
      <c r="GZ10" s="404">
        <v>0</v>
      </c>
      <c r="HA10" s="404">
        <v>0</v>
      </c>
      <c r="HB10" s="404">
        <v>0</v>
      </c>
      <c r="HC10" s="404">
        <v>0</v>
      </c>
      <c r="HD10" s="404">
        <v>0</v>
      </c>
      <c r="HE10" s="404">
        <v>0</v>
      </c>
      <c r="HF10" s="404">
        <v>0</v>
      </c>
      <c r="HG10" s="404">
        <v>0</v>
      </c>
      <c r="HH10" s="404">
        <v>0</v>
      </c>
      <c r="HI10" s="404">
        <v>0</v>
      </c>
      <c r="HJ10" s="404">
        <v>0</v>
      </c>
      <c r="HK10" s="404">
        <v>0</v>
      </c>
      <c r="HL10" s="397">
        <v>-0.6</v>
      </c>
      <c r="HM10" s="405">
        <v>0</v>
      </c>
      <c r="HN10" s="405">
        <v>0</v>
      </c>
      <c r="HO10" s="405">
        <v>0</v>
      </c>
      <c r="HP10" s="405">
        <v>0</v>
      </c>
      <c r="HQ10" s="397">
        <v>-3.1108822695035498</v>
      </c>
      <c r="HR10" s="397">
        <v>0.1</v>
      </c>
      <c r="HS10" s="397">
        <v>0</v>
      </c>
      <c r="HT10" s="397">
        <v>0</v>
      </c>
      <c r="HU10" s="397">
        <v>0</v>
      </c>
      <c r="HV10" s="397">
        <v>0</v>
      </c>
      <c r="HW10" s="397">
        <v>0.23</v>
      </c>
      <c r="HX10" s="397">
        <v>-9.0767508396599993E-3</v>
      </c>
      <c r="HY10" s="397">
        <v>0</v>
      </c>
      <c r="HZ10" s="397">
        <v>0</v>
      </c>
      <c r="IA10" s="397">
        <v>-2.3954794799700002E-3</v>
      </c>
      <c r="IB10" s="397">
        <v>0</v>
      </c>
      <c r="IC10" s="397">
        <v>-0.47</v>
      </c>
      <c r="ID10" s="405">
        <v>0</v>
      </c>
      <c r="IE10" s="405">
        <v>0</v>
      </c>
      <c r="IF10" s="405">
        <v>0</v>
      </c>
      <c r="IG10" s="405">
        <v>0</v>
      </c>
      <c r="IH10" s="405">
        <v>0</v>
      </c>
      <c r="II10" s="405">
        <v>0</v>
      </c>
      <c r="IJ10" s="405">
        <v>0</v>
      </c>
      <c r="IK10" s="405">
        <v>0</v>
      </c>
      <c r="IL10" s="405">
        <v>0</v>
      </c>
      <c r="IM10" s="405">
        <v>0</v>
      </c>
      <c r="IN10" s="405">
        <v>0</v>
      </c>
      <c r="IO10" s="405">
        <v>0</v>
      </c>
      <c r="IP10" s="404">
        <v>-55.82</v>
      </c>
      <c r="IQ10" s="404">
        <v>-11.99</v>
      </c>
      <c r="IR10" s="404">
        <v>-19.61</v>
      </c>
      <c r="IS10" s="404">
        <v>-12.92</v>
      </c>
      <c r="IT10" s="404">
        <v>-1.07225369578546</v>
      </c>
      <c r="IU10" s="404">
        <v>-0.59</v>
      </c>
      <c r="IV10" s="404">
        <v>-0.12913436945737</v>
      </c>
      <c r="IW10" s="404">
        <v>0</v>
      </c>
      <c r="IX10" s="404">
        <v>0</v>
      </c>
      <c r="IY10" s="404">
        <v>0</v>
      </c>
      <c r="IZ10" s="404">
        <v>-0.75737307686747002</v>
      </c>
      <c r="JA10" s="404">
        <v>0</v>
      </c>
      <c r="JB10" s="404">
        <v>-0.15496124334884001</v>
      </c>
      <c r="JC10" s="404">
        <v>0</v>
      </c>
      <c r="JD10" s="404">
        <v>0</v>
      </c>
      <c r="JE10" s="404">
        <v>0</v>
      </c>
      <c r="JF10" s="404">
        <v>-1.39367584496439</v>
      </c>
      <c r="JG10" s="404">
        <v>0</v>
      </c>
      <c r="JH10" s="404">
        <v>0</v>
      </c>
      <c r="JI10" s="404">
        <v>0</v>
      </c>
      <c r="JJ10" s="404">
        <v>0</v>
      </c>
      <c r="JK10" s="404">
        <v>0</v>
      </c>
      <c r="JL10" s="404">
        <v>0</v>
      </c>
      <c r="JM10" s="404">
        <v>0</v>
      </c>
      <c r="JN10" s="404">
        <v>-0.15496124334885</v>
      </c>
      <c r="JO10" s="404">
        <v>0</v>
      </c>
      <c r="JP10" s="404">
        <v>0</v>
      </c>
      <c r="JQ10" s="404">
        <v>0</v>
      </c>
      <c r="JR10" s="404">
        <v>-1.3435541332540599</v>
      </c>
      <c r="JS10" s="404">
        <v>0</v>
      </c>
      <c r="JT10" s="404">
        <v>-55.82</v>
      </c>
      <c r="JU10" s="404">
        <v>-11.99</v>
      </c>
      <c r="JV10" s="404">
        <v>-19.61</v>
      </c>
      <c r="JW10" s="404">
        <v>-12.92</v>
      </c>
      <c r="JX10" s="404">
        <v>-0.84497718120804999</v>
      </c>
      <c r="JY10" s="404">
        <v>-0.9</v>
      </c>
      <c r="JZ10" s="404">
        <v>0</v>
      </c>
      <c r="KA10" s="404">
        <v>0</v>
      </c>
      <c r="KB10" s="404">
        <v>0</v>
      </c>
      <c r="KC10" s="404">
        <v>0</v>
      </c>
      <c r="KD10" s="404">
        <v>0</v>
      </c>
      <c r="KE10" s="404">
        <v>0</v>
      </c>
      <c r="KF10" s="404">
        <v>0</v>
      </c>
      <c r="KG10" s="404">
        <v>0</v>
      </c>
      <c r="KH10" s="404">
        <v>0</v>
      </c>
      <c r="KI10" s="404">
        <v>0</v>
      </c>
      <c r="KJ10" s="404">
        <v>0</v>
      </c>
      <c r="KK10" s="404">
        <v>0</v>
      </c>
      <c r="KL10" s="404">
        <v>0</v>
      </c>
      <c r="KM10" s="404">
        <v>0</v>
      </c>
      <c r="KN10" s="404">
        <v>0</v>
      </c>
      <c r="KO10" s="404">
        <v>0</v>
      </c>
      <c r="KP10" s="404">
        <v>0</v>
      </c>
      <c r="KQ10" s="404">
        <v>0</v>
      </c>
      <c r="KR10" s="404">
        <v>0</v>
      </c>
      <c r="KS10" s="404">
        <v>0</v>
      </c>
      <c r="KT10" s="404">
        <v>0</v>
      </c>
      <c r="KU10" s="404">
        <v>0</v>
      </c>
      <c r="KV10" s="404">
        <v>0</v>
      </c>
      <c r="KW10" s="404">
        <v>0</v>
      </c>
      <c r="KX10" s="404">
        <v>1.0046888903139199</v>
      </c>
      <c r="KY10" s="404">
        <v>0.16710577309979999</v>
      </c>
      <c r="KZ10" s="404">
        <v>-0.20275762945598999</v>
      </c>
      <c r="LA10" s="404">
        <v>1.2390474038300001E-2</v>
      </c>
      <c r="LB10" s="404">
        <v>-5.5329298001249999E-2</v>
      </c>
      <c r="LC10" s="404">
        <v>-0.44750344212965998</v>
      </c>
      <c r="LD10" s="404">
        <v>-2.6800558377699998E-3</v>
      </c>
      <c r="LE10" s="404">
        <v>0</v>
      </c>
      <c r="LF10" s="404">
        <v>0</v>
      </c>
      <c r="LG10" s="404">
        <v>0</v>
      </c>
      <c r="LH10" s="404">
        <v>4.3345790606010001E-2</v>
      </c>
      <c r="LI10" s="404">
        <v>0</v>
      </c>
      <c r="LJ10" s="404">
        <v>0</v>
      </c>
      <c r="LK10" s="404">
        <v>0</v>
      </c>
      <c r="LL10" s="404">
        <v>0</v>
      </c>
      <c r="LM10" s="404">
        <v>0</v>
      </c>
      <c r="LN10" s="404">
        <v>0.14138326334163001</v>
      </c>
      <c r="LO10" s="404">
        <v>-6.76163329988798</v>
      </c>
      <c r="LP10" s="404">
        <v>0.12020443037641</v>
      </c>
      <c r="LQ10" s="404">
        <v>0</v>
      </c>
      <c r="LR10" s="404">
        <v>0</v>
      </c>
      <c r="LS10" s="404">
        <v>0</v>
      </c>
      <c r="LT10" s="404">
        <v>0</v>
      </c>
      <c r="LU10" s="404">
        <v>-3.11</v>
      </c>
      <c r="LV10" s="401">
        <v>6.8506595710599999E-3</v>
      </c>
      <c r="LW10" s="401">
        <v>0</v>
      </c>
      <c r="LX10" s="401">
        <v>0</v>
      </c>
      <c r="LY10" s="401">
        <v>0</v>
      </c>
      <c r="LZ10" s="401">
        <v>0</v>
      </c>
      <c r="MA10" s="401">
        <v>-0.43889541996992998</v>
      </c>
      <c r="MB10" s="404">
        <v>0</v>
      </c>
      <c r="MC10" s="404">
        <v>0</v>
      </c>
      <c r="MD10" s="404">
        <v>0</v>
      </c>
      <c r="ME10" s="404">
        <v>0</v>
      </c>
      <c r="MF10" s="404">
        <v>0</v>
      </c>
      <c r="MG10" s="404">
        <v>0</v>
      </c>
    </row>
    <row r="11" spans="1:351" ht="18" customHeight="1">
      <c r="A11" s="10" t="s">
        <v>3</v>
      </c>
      <c r="B11" s="15">
        <v>-0.7</v>
      </c>
      <c r="C11" s="15">
        <v>-0.6</v>
      </c>
      <c r="D11" s="15">
        <v>-0.6</v>
      </c>
      <c r="E11" s="255">
        <v>560.63201663201664</v>
      </c>
      <c r="F11" s="256">
        <v>-2.7</v>
      </c>
      <c r="G11" s="16">
        <v>-7.7</v>
      </c>
      <c r="H11" s="16">
        <v>-7.7</v>
      </c>
      <c r="I11" s="5">
        <v>1452.3152080465572</v>
      </c>
      <c r="J11" s="6">
        <v>12</v>
      </c>
      <c r="K11" s="9">
        <v>368.51440000000002</v>
      </c>
      <c r="L11" s="17">
        <v>0.4</v>
      </c>
      <c r="M11" s="17">
        <v>0.4</v>
      </c>
      <c r="N11" s="17">
        <v>0.4</v>
      </c>
      <c r="O11" s="16">
        <v>0.2</v>
      </c>
      <c r="P11" s="16">
        <v>0.1</v>
      </c>
      <c r="Q11" s="16">
        <v>99.6</v>
      </c>
      <c r="R11" s="16">
        <v>0.1</v>
      </c>
      <c r="S11" s="252">
        <v>0</v>
      </c>
      <c r="T11" s="303">
        <v>2</v>
      </c>
      <c r="U11" s="304">
        <v>1.5</v>
      </c>
      <c r="V11" s="303">
        <v>1</v>
      </c>
      <c r="W11" s="304">
        <v>0.8</v>
      </c>
      <c r="X11" s="304">
        <v>0.5</v>
      </c>
      <c r="Y11" s="5">
        <v>8452.0349605494575</v>
      </c>
      <c r="Z11" s="14">
        <v>1.56</v>
      </c>
      <c r="AA11" s="5">
        <v>167.18845979383477</v>
      </c>
      <c r="AB11" s="17">
        <v>0.7</v>
      </c>
      <c r="AC11" s="17">
        <v>0.4</v>
      </c>
      <c r="AD11" s="17">
        <v>0.4</v>
      </c>
      <c r="AE11" s="254">
        <v>0.17007468960337721</v>
      </c>
      <c r="AF11" s="254">
        <v>0.17500236602736474</v>
      </c>
      <c r="AG11" s="18">
        <v>2.4466324694609898E-4</v>
      </c>
      <c r="AH11" s="18">
        <v>3.065486564677593E-3</v>
      </c>
      <c r="AI11" s="18">
        <v>0.22152098217613855</v>
      </c>
      <c r="AJ11" s="18">
        <v>52.250412545410221</v>
      </c>
      <c r="AK11" s="18">
        <v>0.33272762389099186</v>
      </c>
      <c r="AL11" s="18"/>
      <c r="AM11" s="18">
        <v>46.494896756427373</v>
      </c>
      <c r="AN11" s="18">
        <v>0.47892110991913739</v>
      </c>
      <c r="AO11" s="18"/>
      <c r="AP11" s="18"/>
      <c r="AQ11" s="18"/>
      <c r="AR11" s="18"/>
      <c r="AS11" s="18">
        <v>0.1778413966184085</v>
      </c>
      <c r="AT11" s="18">
        <v>1.0074368991898192E-4</v>
      </c>
      <c r="AU11" s="18">
        <v>4.0268692056187341E-2</v>
      </c>
      <c r="AV11" s="304">
        <v>0.3</v>
      </c>
      <c r="AW11" s="304">
        <v>0.7</v>
      </c>
      <c r="AX11" s="304">
        <v>1.2</v>
      </c>
      <c r="AY11" s="304">
        <v>1.2</v>
      </c>
      <c r="AZ11" s="303">
        <v>3</v>
      </c>
      <c r="BA11" s="6">
        <v>4.3575044789523458</v>
      </c>
      <c r="BB11" s="6">
        <v>18</v>
      </c>
      <c r="BC11" s="5">
        <f t="shared" si="348"/>
        <v>78.43508062114222</v>
      </c>
      <c r="BD11" s="17">
        <v>1.6</v>
      </c>
      <c r="BE11" s="17">
        <v>0.9</v>
      </c>
      <c r="BF11" s="17">
        <v>0.9</v>
      </c>
      <c r="BG11" s="6">
        <v>4.3575044789523458</v>
      </c>
      <c r="BH11" s="6">
        <v>18</v>
      </c>
      <c r="BI11" s="5">
        <v>1255.8157172557173</v>
      </c>
      <c r="BJ11" s="17">
        <v>1.6</v>
      </c>
      <c r="BK11" s="17">
        <v>0.9</v>
      </c>
      <c r="BL11" s="17">
        <v>0.9</v>
      </c>
      <c r="BM11" s="5">
        <v>213.40125160701552</v>
      </c>
      <c r="BN11" s="6">
        <v>179.9</v>
      </c>
      <c r="BO11" s="6">
        <v>4866.7343451143552</v>
      </c>
      <c r="BP11" s="17">
        <v>1.6</v>
      </c>
      <c r="BQ11" s="17">
        <v>0.9</v>
      </c>
      <c r="BR11" s="17">
        <v>0.9</v>
      </c>
      <c r="BS11" s="221">
        <v>2</v>
      </c>
      <c r="BT11" s="54">
        <v>1.5</v>
      </c>
      <c r="BU11" s="54">
        <v>0.7</v>
      </c>
      <c r="BV11" s="54">
        <v>0.7</v>
      </c>
      <c r="BW11" s="54">
        <v>0.5</v>
      </c>
      <c r="BX11" s="5">
        <v>51.912290572117769</v>
      </c>
      <c r="BY11" s="5">
        <v>8714.9748523908929</v>
      </c>
      <c r="BZ11" s="17">
        <v>2.2000000000000002</v>
      </c>
      <c r="CA11" s="17">
        <v>1.5</v>
      </c>
      <c r="CB11" s="17">
        <v>1.5</v>
      </c>
      <c r="CC11" s="221">
        <v>2</v>
      </c>
      <c r="CD11" s="221">
        <v>2</v>
      </c>
      <c r="CE11" s="221">
        <v>1</v>
      </c>
      <c r="CF11" s="221">
        <v>1</v>
      </c>
      <c r="CG11" s="54">
        <v>0.5</v>
      </c>
      <c r="CH11" s="5">
        <v>114.97228988217823</v>
      </c>
      <c r="CI11" s="5">
        <v>500</v>
      </c>
      <c r="CJ11" s="19">
        <v>1.3</v>
      </c>
      <c r="CK11" s="19">
        <v>0.9</v>
      </c>
      <c r="CL11" s="19">
        <v>0.9</v>
      </c>
      <c r="CM11" s="54">
        <v>2</v>
      </c>
      <c r="CN11" s="54">
        <v>1.5</v>
      </c>
      <c r="CO11" s="54">
        <v>0.5</v>
      </c>
      <c r="CP11" s="54">
        <v>1</v>
      </c>
      <c r="CQ11" s="54">
        <v>0.5</v>
      </c>
      <c r="CR11" s="5">
        <v>904.49744583569725</v>
      </c>
      <c r="CS11" s="8">
        <v>29</v>
      </c>
      <c r="CT11" s="17">
        <v>1.8</v>
      </c>
      <c r="CU11" s="17">
        <v>1.1000000000000001</v>
      </c>
      <c r="CV11" s="17">
        <v>1.1000000000000001</v>
      </c>
      <c r="CW11" s="54">
        <v>2</v>
      </c>
      <c r="CX11" s="54">
        <v>1</v>
      </c>
      <c r="CY11" s="54">
        <v>0.5</v>
      </c>
      <c r="CZ11" s="54">
        <v>0.7</v>
      </c>
      <c r="DA11" s="54">
        <v>0.2</v>
      </c>
      <c r="DB11" s="403">
        <v>0</v>
      </c>
      <c r="DC11" s="403">
        <v>0</v>
      </c>
      <c r="DD11" s="403">
        <v>0</v>
      </c>
      <c r="DE11" s="403">
        <v>0</v>
      </c>
      <c r="DF11" s="403">
        <v>0</v>
      </c>
      <c r="DG11" s="403">
        <v>0</v>
      </c>
      <c r="DH11" s="403">
        <v>0</v>
      </c>
      <c r="DI11" s="403">
        <v>0</v>
      </c>
      <c r="DJ11" s="403">
        <v>0</v>
      </c>
      <c r="DK11" s="403">
        <v>0</v>
      </c>
      <c r="DL11" s="403">
        <v>0</v>
      </c>
      <c r="DM11" s="403">
        <v>0</v>
      </c>
      <c r="DN11" s="403">
        <v>0</v>
      </c>
      <c r="DO11" s="403">
        <v>0</v>
      </c>
      <c r="DP11" s="403">
        <v>0</v>
      </c>
      <c r="DQ11" s="403">
        <v>0</v>
      </c>
      <c r="DR11" s="403">
        <v>0</v>
      </c>
      <c r="DS11" s="403">
        <v>0</v>
      </c>
      <c r="DT11" s="403">
        <v>0</v>
      </c>
      <c r="DU11" s="403">
        <v>0</v>
      </c>
      <c r="DV11" s="403">
        <v>0</v>
      </c>
      <c r="DW11" s="403">
        <v>0</v>
      </c>
      <c r="DX11" s="403">
        <v>0</v>
      </c>
      <c r="DY11" s="403">
        <v>0</v>
      </c>
      <c r="DZ11" s="404">
        <v>0</v>
      </c>
      <c r="EA11" s="404">
        <v>0</v>
      </c>
      <c r="EB11" s="404">
        <v>0</v>
      </c>
      <c r="EC11" s="404">
        <v>0</v>
      </c>
      <c r="ED11" s="404">
        <v>0</v>
      </c>
      <c r="EE11" s="404">
        <v>0</v>
      </c>
      <c r="EF11" s="404">
        <v>2.3331596698950001</v>
      </c>
      <c r="EG11" s="404">
        <v>0</v>
      </c>
      <c r="EH11" s="404">
        <v>0</v>
      </c>
      <c r="EI11" s="404">
        <v>0.98609088910742004</v>
      </c>
      <c r="EJ11" s="404">
        <v>9.6999770847580005E-2</v>
      </c>
      <c r="EK11" s="404">
        <v>-0.74905005460903995</v>
      </c>
      <c r="EL11" s="404">
        <v>2.3331596698949899</v>
      </c>
      <c r="EM11" s="404">
        <v>0</v>
      </c>
      <c r="EN11" s="404">
        <v>0</v>
      </c>
      <c r="EO11" s="404">
        <v>0.98609088910742004</v>
      </c>
      <c r="EP11" s="404">
        <v>0</v>
      </c>
      <c r="EQ11" s="404">
        <v>-0.74905005460903995</v>
      </c>
      <c r="ER11" s="404">
        <v>0</v>
      </c>
      <c r="ES11" s="404">
        <v>0</v>
      </c>
      <c r="ET11" s="404">
        <v>0</v>
      </c>
      <c r="EU11" s="404">
        <v>0</v>
      </c>
      <c r="EV11" s="404">
        <v>0</v>
      </c>
      <c r="EW11" s="404">
        <v>0</v>
      </c>
      <c r="EX11" s="404">
        <v>0</v>
      </c>
      <c r="EY11" s="404">
        <v>0</v>
      </c>
      <c r="EZ11" s="404">
        <v>0</v>
      </c>
      <c r="FA11" s="404">
        <v>0</v>
      </c>
      <c r="FB11" s="404">
        <v>0</v>
      </c>
      <c r="FC11" s="404">
        <v>0</v>
      </c>
      <c r="FD11" s="404">
        <v>0</v>
      </c>
      <c r="FE11" s="404">
        <v>0</v>
      </c>
      <c r="FF11" s="404">
        <v>0</v>
      </c>
      <c r="FG11" s="404">
        <v>0</v>
      </c>
      <c r="FH11" s="404">
        <v>0</v>
      </c>
      <c r="FI11" s="404">
        <v>0</v>
      </c>
      <c r="FJ11" s="404">
        <v>0</v>
      </c>
      <c r="FK11" s="404">
        <v>0</v>
      </c>
      <c r="FL11" s="404">
        <v>0</v>
      </c>
      <c r="FM11" s="404">
        <v>0</v>
      </c>
      <c r="FN11" s="404">
        <v>0</v>
      </c>
      <c r="FO11" s="404">
        <v>0</v>
      </c>
      <c r="FP11" s="404">
        <v>0</v>
      </c>
      <c r="FQ11" s="404">
        <v>0</v>
      </c>
      <c r="FR11" s="404">
        <v>0</v>
      </c>
      <c r="FS11" s="404">
        <v>0</v>
      </c>
      <c r="FT11" s="404">
        <v>0</v>
      </c>
      <c r="FU11" s="404">
        <v>0</v>
      </c>
      <c r="FV11" s="404">
        <v>0</v>
      </c>
      <c r="FW11" s="404">
        <v>0</v>
      </c>
      <c r="FX11" s="404">
        <v>0</v>
      </c>
      <c r="FY11" s="404">
        <v>0</v>
      </c>
      <c r="FZ11" s="404">
        <v>0</v>
      </c>
      <c r="GA11" s="404">
        <v>0</v>
      </c>
      <c r="GB11" s="404">
        <v>0</v>
      </c>
      <c r="GC11" s="404">
        <v>0</v>
      </c>
      <c r="GD11" s="404">
        <v>0</v>
      </c>
      <c r="GE11" s="404">
        <v>0</v>
      </c>
      <c r="GF11" s="404">
        <v>0</v>
      </c>
      <c r="GG11" s="404">
        <v>0</v>
      </c>
      <c r="GH11" s="404">
        <v>-55.82</v>
      </c>
      <c r="GI11" s="404">
        <v>-11.99</v>
      </c>
      <c r="GJ11" s="404">
        <v>-19.61</v>
      </c>
      <c r="GK11" s="404">
        <v>-12.92</v>
      </c>
      <c r="GL11" s="404">
        <v>4.6060068064949999E-2</v>
      </c>
      <c r="GM11" s="404">
        <v>-3.91</v>
      </c>
      <c r="GN11" s="404">
        <v>0</v>
      </c>
      <c r="GO11" s="404">
        <v>0</v>
      </c>
      <c r="GP11" s="404">
        <v>0</v>
      </c>
      <c r="GQ11" s="404">
        <v>0</v>
      </c>
      <c r="GR11" s="404">
        <v>0</v>
      </c>
      <c r="GS11" s="404">
        <v>0</v>
      </c>
      <c r="GT11" s="404">
        <v>0</v>
      </c>
      <c r="GU11" s="404">
        <v>0</v>
      </c>
      <c r="GV11" s="404">
        <v>0</v>
      </c>
      <c r="GW11" s="404">
        <v>0</v>
      </c>
      <c r="GX11" s="404">
        <v>0</v>
      </c>
      <c r="GY11" s="404">
        <v>0</v>
      </c>
      <c r="GZ11" s="404">
        <v>0</v>
      </c>
      <c r="HA11" s="404">
        <v>0</v>
      </c>
      <c r="HB11" s="404">
        <v>0</v>
      </c>
      <c r="HC11" s="404">
        <v>0</v>
      </c>
      <c r="HD11" s="404">
        <v>0</v>
      </c>
      <c r="HE11" s="404">
        <v>0</v>
      </c>
      <c r="HF11" s="404">
        <v>0</v>
      </c>
      <c r="HG11" s="404">
        <v>0</v>
      </c>
      <c r="HH11" s="404">
        <v>0</v>
      </c>
      <c r="HI11" s="404">
        <v>0</v>
      </c>
      <c r="HJ11" s="404">
        <v>0</v>
      </c>
      <c r="HK11" s="404">
        <v>0</v>
      </c>
      <c r="HL11" s="397">
        <v>-0.6</v>
      </c>
      <c r="HM11" s="405">
        <v>0</v>
      </c>
      <c r="HN11" s="405">
        <v>0</v>
      </c>
      <c r="HO11" s="405">
        <v>0</v>
      </c>
      <c r="HP11" s="405">
        <v>0</v>
      </c>
      <c r="HQ11" s="397">
        <v>-3.1108822695035498</v>
      </c>
      <c r="HR11" s="397">
        <v>0.1</v>
      </c>
      <c r="HS11" s="397">
        <v>0</v>
      </c>
      <c r="HT11" s="397">
        <v>0</v>
      </c>
      <c r="HU11" s="397">
        <v>0</v>
      </c>
      <c r="HV11" s="397">
        <v>0</v>
      </c>
      <c r="HW11" s="397">
        <v>0.23</v>
      </c>
      <c r="HX11" s="397">
        <v>-9.0767508396599993E-3</v>
      </c>
      <c r="HY11" s="397">
        <v>0</v>
      </c>
      <c r="HZ11" s="397">
        <v>0</v>
      </c>
      <c r="IA11" s="397">
        <v>-2.3954794799700002E-3</v>
      </c>
      <c r="IB11" s="397">
        <v>0</v>
      </c>
      <c r="IC11" s="397">
        <v>-0.47</v>
      </c>
      <c r="ID11" s="405">
        <v>0</v>
      </c>
      <c r="IE11" s="405">
        <v>0</v>
      </c>
      <c r="IF11" s="405">
        <v>0</v>
      </c>
      <c r="IG11" s="405">
        <v>0</v>
      </c>
      <c r="IH11" s="405">
        <v>0</v>
      </c>
      <c r="II11" s="405">
        <v>0</v>
      </c>
      <c r="IJ11" s="405">
        <v>0</v>
      </c>
      <c r="IK11" s="405">
        <v>0</v>
      </c>
      <c r="IL11" s="405">
        <v>0</v>
      </c>
      <c r="IM11" s="405">
        <v>0</v>
      </c>
      <c r="IN11" s="405">
        <v>0</v>
      </c>
      <c r="IO11" s="405">
        <v>0</v>
      </c>
      <c r="IP11" s="404">
        <v>-55.82</v>
      </c>
      <c r="IQ11" s="404">
        <v>-11.99</v>
      </c>
      <c r="IR11" s="404">
        <v>-19.61</v>
      </c>
      <c r="IS11" s="404">
        <v>-12.92</v>
      </c>
      <c r="IT11" s="404">
        <v>-1.07225369578546</v>
      </c>
      <c r="IU11" s="404">
        <v>-0.59</v>
      </c>
      <c r="IV11" s="404">
        <v>-0.12913436945737</v>
      </c>
      <c r="IW11" s="404">
        <v>0</v>
      </c>
      <c r="IX11" s="404">
        <v>0</v>
      </c>
      <c r="IY11" s="404">
        <v>0</v>
      </c>
      <c r="IZ11" s="404">
        <v>-0.75737307686747002</v>
      </c>
      <c r="JA11" s="404">
        <v>0</v>
      </c>
      <c r="JB11" s="404">
        <v>-0.15496124334884001</v>
      </c>
      <c r="JC11" s="404">
        <v>0</v>
      </c>
      <c r="JD11" s="404">
        <v>0</v>
      </c>
      <c r="JE11" s="404">
        <v>0</v>
      </c>
      <c r="JF11" s="404">
        <v>-1.39367584496439</v>
      </c>
      <c r="JG11" s="404">
        <v>0</v>
      </c>
      <c r="JH11" s="404">
        <v>0</v>
      </c>
      <c r="JI11" s="404">
        <v>0</v>
      </c>
      <c r="JJ11" s="404">
        <v>0</v>
      </c>
      <c r="JK11" s="404">
        <v>0</v>
      </c>
      <c r="JL11" s="404">
        <v>0</v>
      </c>
      <c r="JM11" s="404">
        <v>0</v>
      </c>
      <c r="JN11" s="404">
        <v>-0.15496124334885</v>
      </c>
      <c r="JO11" s="404">
        <v>0</v>
      </c>
      <c r="JP11" s="404">
        <v>0</v>
      </c>
      <c r="JQ11" s="404">
        <v>0</v>
      </c>
      <c r="JR11" s="404">
        <v>-1.3435541332540599</v>
      </c>
      <c r="JS11" s="404">
        <v>0</v>
      </c>
      <c r="JT11" s="404">
        <v>-55.82</v>
      </c>
      <c r="JU11" s="404">
        <v>-11.99</v>
      </c>
      <c r="JV11" s="404">
        <v>-19.61</v>
      </c>
      <c r="JW11" s="404">
        <v>-12.92</v>
      </c>
      <c r="JX11" s="404">
        <v>-0.84497718120804999</v>
      </c>
      <c r="JY11" s="404">
        <v>-0.9</v>
      </c>
      <c r="JZ11" s="404">
        <v>0</v>
      </c>
      <c r="KA11" s="404">
        <v>0</v>
      </c>
      <c r="KB11" s="404">
        <v>0</v>
      </c>
      <c r="KC11" s="404">
        <v>0</v>
      </c>
      <c r="KD11" s="404">
        <v>0</v>
      </c>
      <c r="KE11" s="404">
        <v>0</v>
      </c>
      <c r="KF11" s="404">
        <v>0</v>
      </c>
      <c r="KG11" s="404">
        <v>0</v>
      </c>
      <c r="KH11" s="404">
        <v>0</v>
      </c>
      <c r="KI11" s="404">
        <v>0</v>
      </c>
      <c r="KJ11" s="404">
        <v>0</v>
      </c>
      <c r="KK11" s="404">
        <v>0</v>
      </c>
      <c r="KL11" s="404">
        <v>0</v>
      </c>
      <c r="KM11" s="404">
        <v>0</v>
      </c>
      <c r="KN11" s="404">
        <v>0</v>
      </c>
      <c r="KO11" s="404">
        <v>0</v>
      </c>
      <c r="KP11" s="404">
        <v>0</v>
      </c>
      <c r="KQ11" s="404">
        <v>0</v>
      </c>
      <c r="KR11" s="404">
        <v>0</v>
      </c>
      <c r="KS11" s="404">
        <v>0</v>
      </c>
      <c r="KT11" s="404">
        <v>0</v>
      </c>
      <c r="KU11" s="404">
        <v>0</v>
      </c>
      <c r="KV11" s="404">
        <v>0</v>
      </c>
      <c r="KW11" s="404">
        <v>0</v>
      </c>
      <c r="KX11" s="404">
        <v>1.0046888903139199</v>
      </c>
      <c r="KY11" s="404">
        <v>0.16710577309979999</v>
      </c>
      <c r="KZ11" s="404">
        <v>-0.20275762945598999</v>
      </c>
      <c r="LA11" s="404">
        <v>1.2390474038300001E-2</v>
      </c>
      <c r="LB11" s="404">
        <v>-5.5329298001249999E-2</v>
      </c>
      <c r="LC11" s="404">
        <v>-0.44750344212965998</v>
      </c>
      <c r="LD11" s="404">
        <v>-2.6800558377699998E-3</v>
      </c>
      <c r="LE11" s="404">
        <v>0</v>
      </c>
      <c r="LF11" s="404">
        <v>0</v>
      </c>
      <c r="LG11" s="404">
        <v>0</v>
      </c>
      <c r="LH11" s="404">
        <v>4.3345790606010001E-2</v>
      </c>
      <c r="LI11" s="404">
        <v>0</v>
      </c>
      <c r="LJ11" s="404">
        <v>0</v>
      </c>
      <c r="LK11" s="404">
        <v>0</v>
      </c>
      <c r="LL11" s="404">
        <v>0</v>
      </c>
      <c r="LM11" s="404">
        <v>0</v>
      </c>
      <c r="LN11" s="404">
        <v>0.14138326334163001</v>
      </c>
      <c r="LO11" s="404">
        <v>-6.76163329988798</v>
      </c>
      <c r="LP11" s="404">
        <v>0.12020443037641</v>
      </c>
      <c r="LQ11" s="404">
        <v>0</v>
      </c>
      <c r="LR11" s="404">
        <v>0</v>
      </c>
      <c r="LS11" s="404">
        <v>0</v>
      </c>
      <c r="LT11" s="404">
        <v>0</v>
      </c>
      <c r="LU11" s="404">
        <v>-3.11</v>
      </c>
      <c r="LV11" s="401">
        <v>6.8506595710599999E-3</v>
      </c>
      <c r="LW11" s="401">
        <v>0</v>
      </c>
      <c r="LX11" s="401">
        <v>0</v>
      </c>
      <c r="LY11" s="401">
        <v>0</v>
      </c>
      <c r="LZ11" s="401">
        <v>0</v>
      </c>
      <c r="MA11" s="401">
        <v>-0.43889541996992998</v>
      </c>
      <c r="MB11" s="404">
        <v>0</v>
      </c>
      <c r="MC11" s="404">
        <v>0</v>
      </c>
      <c r="MD11" s="404">
        <v>0</v>
      </c>
      <c r="ME11" s="404">
        <v>0</v>
      </c>
      <c r="MF11" s="404">
        <v>0</v>
      </c>
      <c r="MG11" s="404">
        <v>0</v>
      </c>
    </row>
    <row r="12" spans="1:351" ht="18" customHeight="1">
      <c r="A12" s="10" t="s">
        <v>12</v>
      </c>
      <c r="B12" s="15">
        <v>-0.3</v>
      </c>
      <c r="C12" s="15">
        <v>-0.3</v>
      </c>
      <c r="D12" s="15">
        <v>-0.3</v>
      </c>
      <c r="E12" s="255">
        <v>375.34466019417476</v>
      </c>
      <c r="F12" s="253">
        <v>-4</v>
      </c>
      <c r="G12" s="20">
        <v>-3.1</v>
      </c>
      <c r="H12" s="20">
        <v>-3.1</v>
      </c>
      <c r="I12" s="5">
        <v>979.97006705827403</v>
      </c>
      <c r="J12" s="6">
        <v>12</v>
      </c>
      <c r="K12" s="6">
        <v>368.666</v>
      </c>
      <c r="L12" s="17">
        <v>0.7</v>
      </c>
      <c r="M12" s="17">
        <v>0.7</v>
      </c>
      <c r="N12" s="17">
        <v>0.7</v>
      </c>
      <c r="O12" s="16">
        <v>0.2</v>
      </c>
      <c r="P12" s="16">
        <v>0</v>
      </c>
      <c r="Q12" s="16">
        <v>99.6</v>
      </c>
      <c r="R12" s="16">
        <v>0.2</v>
      </c>
      <c r="S12" s="252">
        <v>0</v>
      </c>
      <c r="T12" s="303">
        <v>2</v>
      </c>
      <c r="U12" s="304">
        <v>1.5</v>
      </c>
      <c r="V12" s="303">
        <v>1</v>
      </c>
      <c r="W12" s="304">
        <v>0.8</v>
      </c>
      <c r="X12" s="304">
        <v>0.5</v>
      </c>
      <c r="Y12" s="5">
        <v>6487.8218682335937</v>
      </c>
      <c r="Z12" s="14">
        <v>1.38</v>
      </c>
      <c r="AA12" s="5">
        <v>159.69918428800668</v>
      </c>
      <c r="AB12" s="17">
        <v>0.9</v>
      </c>
      <c r="AC12" s="17">
        <v>0.7</v>
      </c>
      <c r="AD12" s="17">
        <v>0.7</v>
      </c>
      <c r="AE12" s="254">
        <v>0.16571636266118941</v>
      </c>
      <c r="AF12" s="254">
        <v>0.17350690029559884</v>
      </c>
      <c r="AG12" s="18">
        <v>3.1241683993713729E-3</v>
      </c>
      <c r="AH12" s="18">
        <v>4.4630977133876753E-4</v>
      </c>
      <c r="AI12" s="18">
        <v>3.7700344272199864</v>
      </c>
      <c r="AJ12" s="18">
        <v>41.502513002956242</v>
      </c>
      <c r="AK12" s="18"/>
      <c r="AL12" s="18"/>
      <c r="AM12" s="18">
        <v>50.957418142603785</v>
      </c>
      <c r="AN12" s="18"/>
      <c r="AO12" s="18"/>
      <c r="AP12" s="18">
        <v>5.5788721417345941E-5</v>
      </c>
      <c r="AQ12" s="18">
        <v>1.1157744283469188E-4</v>
      </c>
      <c r="AR12" s="18">
        <v>5.5788721417345941E-5</v>
      </c>
      <c r="AS12" s="18">
        <v>3.4303369025097674</v>
      </c>
      <c r="AT12" s="18">
        <v>0.29545706862626409</v>
      </c>
      <c r="AU12" s="18">
        <v>4.0446823027575803E-2</v>
      </c>
      <c r="AV12" s="304">
        <v>0.3</v>
      </c>
      <c r="AW12" s="304">
        <v>0.7</v>
      </c>
      <c r="AX12" s="304">
        <v>1.2</v>
      </c>
      <c r="AY12" s="304">
        <v>1.2</v>
      </c>
      <c r="AZ12" s="303">
        <v>3</v>
      </c>
      <c r="BA12" s="6">
        <v>0</v>
      </c>
      <c r="BB12" s="6">
        <v>18</v>
      </c>
      <c r="BC12" s="5">
        <f t="shared" si="348"/>
        <v>0</v>
      </c>
      <c r="BD12" s="17">
        <v>0.6</v>
      </c>
      <c r="BE12" s="17">
        <v>0.6</v>
      </c>
      <c r="BF12" s="17">
        <v>0.6</v>
      </c>
      <c r="BG12" s="6">
        <v>7.9302159167532764</v>
      </c>
      <c r="BH12" s="6">
        <v>18</v>
      </c>
      <c r="BI12" s="5">
        <v>1216.1166990291263</v>
      </c>
      <c r="BJ12" s="17">
        <v>0.6</v>
      </c>
      <c r="BK12" s="17">
        <v>0.6</v>
      </c>
      <c r="BL12" s="17">
        <v>0.6</v>
      </c>
      <c r="BM12" s="5">
        <v>185.0679635463184</v>
      </c>
      <c r="BN12" s="6">
        <v>179.9</v>
      </c>
      <c r="BO12" s="6">
        <v>3695.7182524271948</v>
      </c>
      <c r="BP12" s="17">
        <v>0.6</v>
      </c>
      <c r="BQ12" s="17">
        <v>0.6</v>
      </c>
      <c r="BR12" s="17">
        <v>0.6</v>
      </c>
      <c r="BS12" s="221">
        <v>2</v>
      </c>
      <c r="BT12" s="54">
        <v>1.5</v>
      </c>
      <c r="BU12" s="54">
        <v>0.7</v>
      </c>
      <c r="BV12" s="54">
        <v>0.7</v>
      </c>
      <c r="BW12" s="54">
        <v>0.5</v>
      </c>
      <c r="BX12" s="5">
        <v>65.384236746272336</v>
      </c>
      <c r="BY12" s="5">
        <v>7685.7035873786808</v>
      </c>
      <c r="BZ12" s="17">
        <v>1.2</v>
      </c>
      <c r="CA12" s="17">
        <v>0.6</v>
      </c>
      <c r="CB12" s="17">
        <v>0.6</v>
      </c>
      <c r="CC12" s="221">
        <v>2</v>
      </c>
      <c r="CD12" s="221">
        <v>2</v>
      </c>
      <c r="CE12" s="221">
        <v>1</v>
      </c>
      <c r="CF12" s="221">
        <v>1</v>
      </c>
      <c r="CG12" s="54">
        <v>0.5</v>
      </c>
      <c r="CH12" s="5">
        <v>203.95114737925681</v>
      </c>
      <c r="CI12" s="5">
        <v>500</v>
      </c>
      <c r="CJ12" s="19">
        <v>1.7</v>
      </c>
      <c r="CK12" s="19">
        <v>1</v>
      </c>
      <c r="CL12" s="19">
        <v>1</v>
      </c>
      <c r="CM12" s="54">
        <v>2</v>
      </c>
      <c r="CN12" s="54">
        <v>1.5</v>
      </c>
      <c r="CO12" s="54">
        <v>0.5</v>
      </c>
      <c r="CP12" s="54">
        <v>1</v>
      </c>
      <c r="CQ12" s="54">
        <v>0.5</v>
      </c>
      <c r="CR12" s="5">
        <v>223.71669488932466</v>
      </c>
      <c r="CS12" s="8">
        <v>29</v>
      </c>
      <c r="CT12" s="17">
        <v>0.9</v>
      </c>
      <c r="CU12" s="19">
        <v>1.5</v>
      </c>
      <c r="CV12" s="19">
        <v>1.5</v>
      </c>
      <c r="CW12" s="54">
        <v>2</v>
      </c>
      <c r="CX12" s="54">
        <v>1</v>
      </c>
      <c r="CY12" s="54">
        <v>0.5</v>
      </c>
      <c r="CZ12" s="54">
        <v>0.7</v>
      </c>
      <c r="DA12" s="54">
        <v>0.2</v>
      </c>
      <c r="DB12" s="403">
        <v>0</v>
      </c>
      <c r="DC12" s="403">
        <v>0</v>
      </c>
      <c r="DD12" s="403">
        <v>0</v>
      </c>
      <c r="DE12" s="403">
        <v>0</v>
      </c>
      <c r="DF12" s="403">
        <v>0</v>
      </c>
      <c r="DG12" s="403">
        <v>0</v>
      </c>
      <c r="DH12" s="403">
        <v>0</v>
      </c>
      <c r="DI12" s="403">
        <v>0</v>
      </c>
      <c r="DJ12" s="403">
        <v>0</v>
      </c>
      <c r="DK12" s="403">
        <v>0</v>
      </c>
      <c r="DL12" s="403">
        <v>0</v>
      </c>
      <c r="DM12" s="403">
        <v>0</v>
      </c>
      <c r="DN12" s="403">
        <v>0</v>
      </c>
      <c r="DO12" s="403">
        <v>0</v>
      </c>
      <c r="DP12" s="403">
        <v>0</v>
      </c>
      <c r="DQ12" s="403">
        <v>0</v>
      </c>
      <c r="DR12" s="403">
        <v>0</v>
      </c>
      <c r="DS12" s="403">
        <v>0</v>
      </c>
      <c r="DT12" s="403">
        <v>0</v>
      </c>
      <c r="DU12" s="403">
        <v>0</v>
      </c>
      <c r="DV12" s="403">
        <v>0</v>
      </c>
      <c r="DW12" s="403">
        <v>0</v>
      </c>
      <c r="DX12" s="403">
        <v>0</v>
      </c>
      <c r="DY12" s="403">
        <v>0</v>
      </c>
      <c r="DZ12" s="404">
        <v>0</v>
      </c>
      <c r="EA12" s="404">
        <v>0</v>
      </c>
      <c r="EB12" s="404">
        <v>0</v>
      </c>
      <c r="EC12" s="404">
        <v>0</v>
      </c>
      <c r="ED12" s="404">
        <v>0</v>
      </c>
      <c r="EE12" s="404">
        <v>0</v>
      </c>
      <c r="EF12" s="404">
        <v>2.3331596698950001</v>
      </c>
      <c r="EG12" s="404">
        <v>0</v>
      </c>
      <c r="EH12" s="404">
        <v>0</v>
      </c>
      <c r="EI12" s="404">
        <v>0.98609088910742004</v>
      </c>
      <c r="EJ12" s="404">
        <v>9.6999770847580005E-2</v>
      </c>
      <c r="EK12" s="404">
        <v>-0.74905005460903995</v>
      </c>
      <c r="EL12" s="404">
        <v>2.3331596698949899</v>
      </c>
      <c r="EM12" s="404">
        <v>0</v>
      </c>
      <c r="EN12" s="404">
        <v>0</v>
      </c>
      <c r="EO12" s="404">
        <v>0.98609088910742004</v>
      </c>
      <c r="EP12" s="404">
        <v>0</v>
      </c>
      <c r="EQ12" s="404">
        <v>-0.74905005460903995</v>
      </c>
      <c r="ER12" s="404">
        <v>0</v>
      </c>
      <c r="ES12" s="404">
        <v>0</v>
      </c>
      <c r="ET12" s="404">
        <v>0</v>
      </c>
      <c r="EU12" s="404">
        <v>0</v>
      </c>
      <c r="EV12" s="404">
        <v>0</v>
      </c>
      <c r="EW12" s="404">
        <v>0</v>
      </c>
      <c r="EX12" s="404">
        <v>0</v>
      </c>
      <c r="EY12" s="404">
        <v>0</v>
      </c>
      <c r="EZ12" s="404">
        <v>0</v>
      </c>
      <c r="FA12" s="404">
        <v>0</v>
      </c>
      <c r="FB12" s="404">
        <v>0</v>
      </c>
      <c r="FC12" s="404">
        <v>0</v>
      </c>
      <c r="FD12" s="404">
        <v>0</v>
      </c>
      <c r="FE12" s="404">
        <v>0</v>
      </c>
      <c r="FF12" s="404">
        <v>0</v>
      </c>
      <c r="FG12" s="404">
        <v>0</v>
      </c>
      <c r="FH12" s="404">
        <v>0</v>
      </c>
      <c r="FI12" s="404">
        <v>0</v>
      </c>
      <c r="FJ12" s="404">
        <v>0</v>
      </c>
      <c r="FK12" s="404">
        <v>0</v>
      </c>
      <c r="FL12" s="404">
        <v>0</v>
      </c>
      <c r="FM12" s="404">
        <v>0</v>
      </c>
      <c r="FN12" s="404">
        <v>0</v>
      </c>
      <c r="FO12" s="404">
        <v>0</v>
      </c>
      <c r="FP12" s="404">
        <v>0</v>
      </c>
      <c r="FQ12" s="404">
        <v>0</v>
      </c>
      <c r="FR12" s="404">
        <v>0</v>
      </c>
      <c r="FS12" s="404">
        <v>0</v>
      </c>
      <c r="FT12" s="404">
        <v>0</v>
      </c>
      <c r="FU12" s="404">
        <v>0</v>
      </c>
      <c r="FV12" s="404">
        <v>0</v>
      </c>
      <c r="FW12" s="404">
        <v>0</v>
      </c>
      <c r="FX12" s="404">
        <v>0</v>
      </c>
      <c r="FY12" s="404">
        <v>0</v>
      </c>
      <c r="FZ12" s="404">
        <v>0</v>
      </c>
      <c r="GA12" s="404">
        <v>0</v>
      </c>
      <c r="GB12" s="404">
        <v>0</v>
      </c>
      <c r="GC12" s="404">
        <v>0</v>
      </c>
      <c r="GD12" s="404">
        <v>0</v>
      </c>
      <c r="GE12" s="404">
        <v>0</v>
      </c>
      <c r="GF12" s="404">
        <v>0</v>
      </c>
      <c r="GG12" s="404">
        <v>0</v>
      </c>
      <c r="GH12" s="404">
        <v>-55.82</v>
      </c>
      <c r="GI12" s="404">
        <v>-11.99</v>
      </c>
      <c r="GJ12" s="404">
        <v>-19.61</v>
      </c>
      <c r="GK12" s="404">
        <v>-12.92</v>
      </c>
      <c r="GL12" s="404">
        <v>4.6060068064949999E-2</v>
      </c>
      <c r="GM12" s="404">
        <v>-3.91</v>
      </c>
      <c r="GN12" s="404">
        <v>0</v>
      </c>
      <c r="GO12" s="404">
        <v>0</v>
      </c>
      <c r="GP12" s="404">
        <v>0</v>
      </c>
      <c r="GQ12" s="404">
        <v>0</v>
      </c>
      <c r="GR12" s="404">
        <v>0</v>
      </c>
      <c r="GS12" s="404">
        <v>0</v>
      </c>
      <c r="GT12" s="404">
        <v>0</v>
      </c>
      <c r="GU12" s="404">
        <v>0</v>
      </c>
      <c r="GV12" s="404">
        <v>0</v>
      </c>
      <c r="GW12" s="404">
        <v>0</v>
      </c>
      <c r="GX12" s="404">
        <v>0</v>
      </c>
      <c r="GY12" s="404">
        <v>0</v>
      </c>
      <c r="GZ12" s="404">
        <v>0</v>
      </c>
      <c r="HA12" s="404">
        <v>0</v>
      </c>
      <c r="HB12" s="404">
        <v>0</v>
      </c>
      <c r="HC12" s="404">
        <v>0</v>
      </c>
      <c r="HD12" s="404">
        <v>0</v>
      </c>
      <c r="HE12" s="404">
        <v>0</v>
      </c>
      <c r="HF12" s="404">
        <v>0</v>
      </c>
      <c r="HG12" s="404">
        <v>0</v>
      </c>
      <c r="HH12" s="404">
        <v>0</v>
      </c>
      <c r="HI12" s="404">
        <v>0</v>
      </c>
      <c r="HJ12" s="404">
        <v>0</v>
      </c>
      <c r="HK12" s="404">
        <v>0</v>
      </c>
      <c r="HL12" s="397">
        <v>-0.6</v>
      </c>
      <c r="HM12" s="405">
        <v>0</v>
      </c>
      <c r="HN12" s="405">
        <v>0</v>
      </c>
      <c r="HO12" s="405">
        <v>0</v>
      </c>
      <c r="HP12" s="405">
        <v>0</v>
      </c>
      <c r="HQ12" s="397">
        <v>-3.1108822695035498</v>
      </c>
      <c r="HR12" s="397">
        <v>0.1</v>
      </c>
      <c r="HS12" s="397">
        <v>0</v>
      </c>
      <c r="HT12" s="397">
        <v>0</v>
      </c>
      <c r="HU12" s="397">
        <v>0</v>
      </c>
      <c r="HV12" s="397">
        <v>0</v>
      </c>
      <c r="HW12" s="397">
        <v>0.23</v>
      </c>
      <c r="HX12" s="397">
        <v>-9.0767508396599993E-3</v>
      </c>
      <c r="HY12" s="397">
        <v>0</v>
      </c>
      <c r="HZ12" s="397">
        <v>0</v>
      </c>
      <c r="IA12" s="397">
        <v>-2.3954794799700002E-3</v>
      </c>
      <c r="IB12" s="397">
        <v>0</v>
      </c>
      <c r="IC12" s="397">
        <v>-0.47</v>
      </c>
      <c r="ID12" s="405">
        <v>0</v>
      </c>
      <c r="IE12" s="405">
        <v>0</v>
      </c>
      <c r="IF12" s="405">
        <v>0</v>
      </c>
      <c r="IG12" s="405">
        <v>0</v>
      </c>
      <c r="IH12" s="405">
        <v>0</v>
      </c>
      <c r="II12" s="405">
        <v>0</v>
      </c>
      <c r="IJ12" s="405">
        <v>0</v>
      </c>
      <c r="IK12" s="405">
        <v>0</v>
      </c>
      <c r="IL12" s="405">
        <v>0</v>
      </c>
      <c r="IM12" s="405">
        <v>0</v>
      </c>
      <c r="IN12" s="405">
        <v>0</v>
      </c>
      <c r="IO12" s="405">
        <v>0</v>
      </c>
      <c r="IP12" s="404">
        <v>-55.82</v>
      </c>
      <c r="IQ12" s="404">
        <v>-11.99</v>
      </c>
      <c r="IR12" s="404">
        <v>-19.61</v>
      </c>
      <c r="IS12" s="404">
        <v>-12.92</v>
      </c>
      <c r="IT12" s="404">
        <v>-1.07225369578546</v>
      </c>
      <c r="IU12" s="404">
        <v>-0.59</v>
      </c>
      <c r="IV12" s="404">
        <v>-0.12913436945737</v>
      </c>
      <c r="IW12" s="404">
        <v>0</v>
      </c>
      <c r="IX12" s="404">
        <v>0</v>
      </c>
      <c r="IY12" s="404">
        <v>0</v>
      </c>
      <c r="IZ12" s="404">
        <v>-0.75737307686747002</v>
      </c>
      <c r="JA12" s="404">
        <v>0</v>
      </c>
      <c r="JB12" s="404">
        <v>-0.15496124334884001</v>
      </c>
      <c r="JC12" s="404">
        <v>0</v>
      </c>
      <c r="JD12" s="404">
        <v>0</v>
      </c>
      <c r="JE12" s="404">
        <v>0</v>
      </c>
      <c r="JF12" s="404">
        <v>-1.39367584496439</v>
      </c>
      <c r="JG12" s="404">
        <v>0</v>
      </c>
      <c r="JH12" s="404">
        <v>0</v>
      </c>
      <c r="JI12" s="404">
        <v>0</v>
      </c>
      <c r="JJ12" s="404">
        <v>0</v>
      </c>
      <c r="JK12" s="404">
        <v>0</v>
      </c>
      <c r="JL12" s="404">
        <v>0</v>
      </c>
      <c r="JM12" s="404">
        <v>0</v>
      </c>
      <c r="JN12" s="404">
        <v>-0.15496124334885</v>
      </c>
      <c r="JO12" s="404">
        <v>0</v>
      </c>
      <c r="JP12" s="404">
        <v>0</v>
      </c>
      <c r="JQ12" s="404">
        <v>0</v>
      </c>
      <c r="JR12" s="404">
        <v>-1.3435541332540599</v>
      </c>
      <c r="JS12" s="404">
        <v>0</v>
      </c>
      <c r="JT12" s="404">
        <v>-55.82</v>
      </c>
      <c r="JU12" s="404">
        <v>-11.99</v>
      </c>
      <c r="JV12" s="404">
        <v>-19.61</v>
      </c>
      <c r="JW12" s="404">
        <v>-12.92</v>
      </c>
      <c r="JX12" s="404">
        <v>-0.84497718120804999</v>
      </c>
      <c r="JY12" s="404">
        <v>-0.9</v>
      </c>
      <c r="JZ12" s="404">
        <v>0</v>
      </c>
      <c r="KA12" s="404">
        <v>0</v>
      </c>
      <c r="KB12" s="404">
        <v>0</v>
      </c>
      <c r="KC12" s="404">
        <v>0</v>
      </c>
      <c r="KD12" s="404">
        <v>0</v>
      </c>
      <c r="KE12" s="404">
        <v>0</v>
      </c>
      <c r="KF12" s="404">
        <v>0</v>
      </c>
      <c r="KG12" s="404">
        <v>0</v>
      </c>
      <c r="KH12" s="404">
        <v>0</v>
      </c>
      <c r="KI12" s="404">
        <v>0</v>
      </c>
      <c r="KJ12" s="404">
        <v>0</v>
      </c>
      <c r="KK12" s="404">
        <v>0</v>
      </c>
      <c r="KL12" s="404">
        <v>0</v>
      </c>
      <c r="KM12" s="404">
        <v>0</v>
      </c>
      <c r="KN12" s="404">
        <v>0</v>
      </c>
      <c r="KO12" s="404">
        <v>0</v>
      </c>
      <c r="KP12" s="404">
        <v>0</v>
      </c>
      <c r="KQ12" s="404">
        <v>0</v>
      </c>
      <c r="KR12" s="404">
        <v>0</v>
      </c>
      <c r="KS12" s="404">
        <v>0</v>
      </c>
      <c r="KT12" s="404">
        <v>0</v>
      </c>
      <c r="KU12" s="404">
        <v>0</v>
      </c>
      <c r="KV12" s="404">
        <v>0</v>
      </c>
      <c r="KW12" s="404">
        <v>0</v>
      </c>
      <c r="KX12" s="404">
        <v>1.0046888903139199</v>
      </c>
      <c r="KY12" s="404">
        <v>0.16710577309979999</v>
      </c>
      <c r="KZ12" s="404">
        <v>-0.20275762945598999</v>
      </c>
      <c r="LA12" s="404">
        <v>1.2390474038300001E-2</v>
      </c>
      <c r="LB12" s="404">
        <v>-5.5329298001249999E-2</v>
      </c>
      <c r="LC12" s="404">
        <v>-0.44750344212965998</v>
      </c>
      <c r="LD12" s="404">
        <v>-2.6800558377699998E-3</v>
      </c>
      <c r="LE12" s="404">
        <v>0</v>
      </c>
      <c r="LF12" s="404">
        <v>0</v>
      </c>
      <c r="LG12" s="404">
        <v>0</v>
      </c>
      <c r="LH12" s="404">
        <v>4.3345790606010001E-2</v>
      </c>
      <c r="LI12" s="404">
        <v>0</v>
      </c>
      <c r="LJ12" s="404">
        <v>0</v>
      </c>
      <c r="LK12" s="404">
        <v>0</v>
      </c>
      <c r="LL12" s="404">
        <v>0</v>
      </c>
      <c r="LM12" s="404">
        <v>0</v>
      </c>
      <c r="LN12" s="404">
        <v>0.14138326334163001</v>
      </c>
      <c r="LO12" s="404">
        <v>-6.76163329988798</v>
      </c>
      <c r="LP12" s="404">
        <v>0.12020443037641</v>
      </c>
      <c r="LQ12" s="404">
        <v>0</v>
      </c>
      <c r="LR12" s="404">
        <v>0</v>
      </c>
      <c r="LS12" s="404">
        <v>0</v>
      </c>
      <c r="LT12" s="404">
        <v>0</v>
      </c>
      <c r="LU12" s="404">
        <v>-3.11</v>
      </c>
      <c r="LV12" s="401">
        <v>6.8506595710599999E-3</v>
      </c>
      <c r="LW12" s="401">
        <v>0</v>
      </c>
      <c r="LX12" s="401">
        <v>0</v>
      </c>
      <c r="LY12" s="401">
        <v>0</v>
      </c>
      <c r="LZ12" s="401">
        <v>0</v>
      </c>
      <c r="MA12" s="401">
        <v>-0.43889541996992998</v>
      </c>
      <c r="MB12" s="404">
        <v>0</v>
      </c>
      <c r="MC12" s="404">
        <v>0</v>
      </c>
      <c r="MD12" s="404">
        <v>0</v>
      </c>
      <c r="ME12" s="404">
        <v>0</v>
      </c>
      <c r="MF12" s="404">
        <v>0</v>
      </c>
      <c r="MG12" s="404">
        <v>0</v>
      </c>
    </row>
    <row r="13" spans="1:351" ht="18" customHeight="1">
      <c r="A13" s="10" t="s">
        <v>4</v>
      </c>
      <c r="B13" s="15">
        <v>0.3</v>
      </c>
      <c r="C13" s="15">
        <v>0.6</v>
      </c>
      <c r="D13" s="15">
        <v>0.6</v>
      </c>
      <c r="E13" s="255">
        <v>684.41441441441441</v>
      </c>
      <c r="F13" s="256">
        <v>-3.2</v>
      </c>
      <c r="G13" s="16">
        <v>-1.3</v>
      </c>
      <c r="H13" s="16">
        <v>-1.3</v>
      </c>
      <c r="I13" s="5">
        <v>1802.6022620724268</v>
      </c>
      <c r="J13" s="6">
        <v>12</v>
      </c>
      <c r="K13" s="6">
        <v>368.29939999999999</v>
      </c>
      <c r="L13" s="19">
        <v>0.1</v>
      </c>
      <c r="M13" s="17">
        <v>0.8</v>
      </c>
      <c r="N13" s="17">
        <v>0.8</v>
      </c>
      <c r="O13" s="16">
        <v>0.2</v>
      </c>
      <c r="P13" s="16">
        <v>0</v>
      </c>
      <c r="Q13" s="16">
        <v>99.8</v>
      </c>
      <c r="R13" s="16">
        <v>0</v>
      </c>
      <c r="S13" s="252">
        <v>0</v>
      </c>
      <c r="T13" s="303">
        <v>2</v>
      </c>
      <c r="U13" s="304">
        <v>1.5</v>
      </c>
      <c r="V13" s="303">
        <v>1</v>
      </c>
      <c r="W13" s="304">
        <v>0.8</v>
      </c>
      <c r="X13" s="304">
        <v>0.5</v>
      </c>
      <c r="Y13" s="5">
        <v>7757.4025622567233</v>
      </c>
      <c r="Z13" s="14">
        <v>1.46</v>
      </c>
      <c r="AA13" s="5">
        <v>164.22849911976917</v>
      </c>
      <c r="AB13" s="19">
        <v>0.8</v>
      </c>
      <c r="AC13" s="19">
        <v>1.1000000000000001</v>
      </c>
      <c r="AD13" s="19">
        <v>1.1000000000000001</v>
      </c>
      <c r="AE13" s="254">
        <v>0.17719020114452594</v>
      </c>
      <c r="AF13" s="254">
        <v>0.18538934885511546</v>
      </c>
      <c r="AG13" s="18">
        <v>0</v>
      </c>
      <c r="AH13" s="18">
        <v>0</v>
      </c>
      <c r="AI13" s="18">
        <v>0.12699985520620904</v>
      </c>
      <c r="AJ13" s="18">
        <v>78.441251227694337</v>
      </c>
      <c r="AK13" s="18">
        <v>1.3666440462712111</v>
      </c>
      <c r="AL13" s="18">
        <v>0</v>
      </c>
      <c r="AM13" s="18">
        <v>19.938105015622028</v>
      </c>
      <c r="AN13" s="18">
        <v>0</v>
      </c>
      <c r="AO13" s="18">
        <v>0</v>
      </c>
      <c r="AP13" s="18">
        <v>0</v>
      </c>
      <c r="AQ13" s="18">
        <v>0</v>
      </c>
      <c r="AR13" s="18">
        <v>0</v>
      </c>
      <c r="AS13" s="18">
        <v>0</v>
      </c>
      <c r="AT13" s="18">
        <v>9.7866646663026455E-2</v>
      </c>
      <c r="AU13" s="18">
        <v>2.9133208543182566E-2</v>
      </c>
      <c r="AV13" s="304">
        <v>0.3</v>
      </c>
      <c r="AW13" s="304">
        <v>0.7</v>
      </c>
      <c r="AX13" s="304">
        <v>1.2</v>
      </c>
      <c r="AY13" s="304">
        <v>1.2</v>
      </c>
      <c r="AZ13" s="303">
        <v>3</v>
      </c>
      <c r="BA13" s="6">
        <v>0</v>
      </c>
      <c r="BB13" s="6">
        <v>18</v>
      </c>
      <c r="BC13" s="5">
        <f t="shared" si="348"/>
        <v>0</v>
      </c>
      <c r="BD13" s="19">
        <v>0</v>
      </c>
      <c r="BE13" s="19">
        <v>0</v>
      </c>
      <c r="BF13" s="19">
        <v>0</v>
      </c>
      <c r="BG13" s="6">
        <v>0</v>
      </c>
      <c r="BH13" s="6">
        <v>18</v>
      </c>
      <c r="BI13" s="5">
        <v>2901.9171171171174</v>
      </c>
      <c r="BJ13" s="19">
        <v>0</v>
      </c>
      <c r="BK13" s="19">
        <v>0</v>
      </c>
      <c r="BL13" s="19">
        <v>0</v>
      </c>
      <c r="BM13" s="5">
        <v>0</v>
      </c>
      <c r="BN13" s="6">
        <v>179.9</v>
      </c>
      <c r="BO13" s="6">
        <v>5649.0390990991091</v>
      </c>
      <c r="BP13" s="19">
        <v>0</v>
      </c>
      <c r="BQ13" s="19">
        <v>0</v>
      </c>
      <c r="BR13" s="19">
        <v>0</v>
      </c>
      <c r="BS13" s="221">
        <v>2</v>
      </c>
      <c r="BT13" s="54">
        <v>1.5</v>
      </c>
      <c r="BU13" s="54">
        <v>0.7</v>
      </c>
      <c r="BV13" s="54">
        <v>0.7</v>
      </c>
      <c r="BW13" s="54">
        <v>0.5</v>
      </c>
      <c r="BX13" s="5">
        <v>0</v>
      </c>
      <c r="BY13" s="5">
        <v>9402.5860720721121</v>
      </c>
      <c r="BZ13" s="19">
        <v>0</v>
      </c>
      <c r="CA13" s="19">
        <v>0</v>
      </c>
      <c r="CB13" s="19">
        <v>0</v>
      </c>
      <c r="CC13" s="221">
        <v>2</v>
      </c>
      <c r="CD13" s="221">
        <v>2</v>
      </c>
      <c r="CE13" s="221">
        <v>1</v>
      </c>
      <c r="CF13" s="221">
        <v>1</v>
      </c>
      <c r="CG13" s="54">
        <v>0.5</v>
      </c>
      <c r="CH13" s="5">
        <v>166.21925770503509</v>
      </c>
      <c r="CI13" s="5">
        <v>500</v>
      </c>
      <c r="CJ13" s="19">
        <v>1.3</v>
      </c>
      <c r="CK13" s="19">
        <v>0.8</v>
      </c>
      <c r="CL13" s="19">
        <v>0.8</v>
      </c>
      <c r="CM13" s="54">
        <v>2</v>
      </c>
      <c r="CN13" s="54">
        <v>1.5</v>
      </c>
      <c r="CO13" s="54">
        <v>0.5</v>
      </c>
      <c r="CP13" s="54">
        <v>1</v>
      </c>
      <c r="CQ13" s="54">
        <v>0.5</v>
      </c>
      <c r="CR13" s="5"/>
      <c r="CS13" s="8">
        <v>29</v>
      </c>
      <c r="CT13" s="19">
        <v>0</v>
      </c>
      <c r="CU13" s="19">
        <v>0</v>
      </c>
      <c r="CV13" s="19">
        <v>0</v>
      </c>
      <c r="CW13" s="54">
        <v>2</v>
      </c>
      <c r="CX13" s="54">
        <v>1</v>
      </c>
      <c r="CY13" s="54">
        <v>0.5</v>
      </c>
      <c r="CZ13" s="54">
        <v>0.7</v>
      </c>
      <c r="DA13" s="54">
        <v>0.2</v>
      </c>
      <c r="DB13" s="403">
        <v>0</v>
      </c>
      <c r="DC13" s="403">
        <v>0</v>
      </c>
      <c r="DD13" s="403">
        <v>0</v>
      </c>
      <c r="DE13" s="403">
        <v>0</v>
      </c>
      <c r="DF13" s="403">
        <v>0</v>
      </c>
      <c r="DG13" s="403">
        <v>0</v>
      </c>
      <c r="DH13" s="403">
        <v>0</v>
      </c>
      <c r="DI13" s="403">
        <v>0</v>
      </c>
      <c r="DJ13" s="403">
        <v>0</v>
      </c>
      <c r="DK13" s="403">
        <v>0</v>
      </c>
      <c r="DL13" s="403">
        <v>0</v>
      </c>
      <c r="DM13" s="403">
        <v>0</v>
      </c>
      <c r="DN13" s="403">
        <v>0</v>
      </c>
      <c r="DO13" s="403">
        <v>0</v>
      </c>
      <c r="DP13" s="403">
        <v>0</v>
      </c>
      <c r="DQ13" s="403">
        <v>0</v>
      </c>
      <c r="DR13" s="403">
        <v>0</v>
      </c>
      <c r="DS13" s="403">
        <v>0</v>
      </c>
      <c r="DT13" s="403">
        <v>0</v>
      </c>
      <c r="DU13" s="403">
        <v>0</v>
      </c>
      <c r="DV13" s="403">
        <v>0</v>
      </c>
      <c r="DW13" s="403">
        <v>0</v>
      </c>
      <c r="DX13" s="403">
        <v>0</v>
      </c>
      <c r="DY13" s="403">
        <v>0</v>
      </c>
      <c r="DZ13" s="404">
        <v>0</v>
      </c>
      <c r="EA13" s="404">
        <v>0</v>
      </c>
      <c r="EB13" s="404">
        <v>0</v>
      </c>
      <c r="EC13" s="404">
        <v>0</v>
      </c>
      <c r="ED13" s="404">
        <v>0</v>
      </c>
      <c r="EE13" s="404">
        <v>0</v>
      </c>
      <c r="EF13" s="404">
        <v>2.3331596698950001</v>
      </c>
      <c r="EG13" s="404">
        <v>0</v>
      </c>
      <c r="EH13" s="404">
        <v>0</v>
      </c>
      <c r="EI13" s="404">
        <v>0.98609088910742004</v>
      </c>
      <c r="EJ13" s="404">
        <v>9.6999770847580005E-2</v>
      </c>
      <c r="EK13" s="404">
        <v>-0.74905005460903995</v>
      </c>
      <c r="EL13" s="404">
        <v>2.3331596698949899</v>
      </c>
      <c r="EM13" s="404">
        <v>0</v>
      </c>
      <c r="EN13" s="404">
        <v>0</v>
      </c>
      <c r="EO13" s="404">
        <v>0.98609088910742004</v>
      </c>
      <c r="EP13" s="404">
        <v>0</v>
      </c>
      <c r="EQ13" s="404">
        <v>-0.74905005460903995</v>
      </c>
      <c r="ER13" s="404">
        <v>0</v>
      </c>
      <c r="ES13" s="404">
        <v>0</v>
      </c>
      <c r="ET13" s="404">
        <v>0</v>
      </c>
      <c r="EU13" s="404">
        <v>0</v>
      </c>
      <c r="EV13" s="404">
        <v>0</v>
      </c>
      <c r="EW13" s="404">
        <v>0</v>
      </c>
      <c r="EX13" s="404">
        <v>0</v>
      </c>
      <c r="EY13" s="404">
        <v>0</v>
      </c>
      <c r="EZ13" s="404">
        <v>0</v>
      </c>
      <c r="FA13" s="404">
        <v>0</v>
      </c>
      <c r="FB13" s="404">
        <v>0</v>
      </c>
      <c r="FC13" s="404">
        <v>0</v>
      </c>
      <c r="FD13" s="404">
        <v>0</v>
      </c>
      <c r="FE13" s="404">
        <v>0</v>
      </c>
      <c r="FF13" s="404">
        <v>0</v>
      </c>
      <c r="FG13" s="404">
        <v>0</v>
      </c>
      <c r="FH13" s="404">
        <v>0</v>
      </c>
      <c r="FI13" s="404">
        <v>0</v>
      </c>
      <c r="FJ13" s="404">
        <v>0</v>
      </c>
      <c r="FK13" s="404">
        <v>0</v>
      </c>
      <c r="FL13" s="404">
        <v>0</v>
      </c>
      <c r="FM13" s="404">
        <v>0</v>
      </c>
      <c r="FN13" s="404">
        <v>0</v>
      </c>
      <c r="FO13" s="404">
        <v>0</v>
      </c>
      <c r="FP13" s="404">
        <v>0</v>
      </c>
      <c r="FQ13" s="404">
        <v>0</v>
      </c>
      <c r="FR13" s="404">
        <v>0</v>
      </c>
      <c r="FS13" s="404">
        <v>0</v>
      </c>
      <c r="FT13" s="404">
        <v>0</v>
      </c>
      <c r="FU13" s="404">
        <v>0</v>
      </c>
      <c r="FV13" s="404">
        <v>0</v>
      </c>
      <c r="FW13" s="404">
        <v>0</v>
      </c>
      <c r="FX13" s="404">
        <v>0</v>
      </c>
      <c r="FY13" s="404">
        <v>0</v>
      </c>
      <c r="FZ13" s="404">
        <v>0</v>
      </c>
      <c r="GA13" s="404">
        <v>0</v>
      </c>
      <c r="GB13" s="404">
        <v>0</v>
      </c>
      <c r="GC13" s="404">
        <v>0</v>
      </c>
      <c r="GD13" s="404">
        <v>0</v>
      </c>
      <c r="GE13" s="404">
        <v>0</v>
      </c>
      <c r="GF13" s="404">
        <v>0</v>
      </c>
      <c r="GG13" s="404">
        <v>0</v>
      </c>
      <c r="GH13" s="404">
        <v>-55.82</v>
      </c>
      <c r="GI13" s="404">
        <v>-11.99</v>
      </c>
      <c r="GJ13" s="404">
        <v>-19.61</v>
      </c>
      <c r="GK13" s="404">
        <v>-12.92</v>
      </c>
      <c r="GL13" s="404">
        <v>4.6060068064949999E-2</v>
      </c>
      <c r="GM13" s="404">
        <v>-3.91</v>
      </c>
      <c r="GN13" s="404">
        <v>0</v>
      </c>
      <c r="GO13" s="404">
        <v>0</v>
      </c>
      <c r="GP13" s="404">
        <v>0</v>
      </c>
      <c r="GQ13" s="404">
        <v>0</v>
      </c>
      <c r="GR13" s="404">
        <v>0</v>
      </c>
      <c r="GS13" s="404">
        <v>0</v>
      </c>
      <c r="GT13" s="404">
        <v>0</v>
      </c>
      <c r="GU13" s="404">
        <v>0</v>
      </c>
      <c r="GV13" s="404">
        <v>0</v>
      </c>
      <c r="GW13" s="404">
        <v>0</v>
      </c>
      <c r="GX13" s="404">
        <v>0</v>
      </c>
      <c r="GY13" s="404">
        <v>0</v>
      </c>
      <c r="GZ13" s="404">
        <v>0</v>
      </c>
      <c r="HA13" s="404">
        <v>0</v>
      </c>
      <c r="HB13" s="404">
        <v>0</v>
      </c>
      <c r="HC13" s="404">
        <v>0</v>
      </c>
      <c r="HD13" s="404">
        <v>0</v>
      </c>
      <c r="HE13" s="404">
        <v>0</v>
      </c>
      <c r="HF13" s="404">
        <v>0</v>
      </c>
      <c r="HG13" s="404">
        <v>0</v>
      </c>
      <c r="HH13" s="404">
        <v>0</v>
      </c>
      <c r="HI13" s="404">
        <v>0</v>
      </c>
      <c r="HJ13" s="404">
        <v>0</v>
      </c>
      <c r="HK13" s="404">
        <v>0</v>
      </c>
      <c r="HL13" s="397">
        <v>-0.6</v>
      </c>
      <c r="HM13" s="405">
        <v>0</v>
      </c>
      <c r="HN13" s="405">
        <v>0</v>
      </c>
      <c r="HO13" s="405">
        <v>0</v>
      </c>
      <c r="HP13" s="405">
        <v>0</v>
      </c>
      <c r="HQ13" s="397">
        <v>-3.1108822695035498</v>
      </c>
      <c r="HR13" s="397">
        <v>0.1</v>
      </c>
      <c r="HS13" s="397">
        <v>0</v>
      </c>
      <c r="HT13" s="397">
        <v>0</v>
      </c>
      <c r="HU13" s="397">
        <v>0</v>
      </c>
      <c r="HV13" s="397">
        <v>0</v>
      </c>
      <c r="HW13" s="397">
        <v>0.23</v>
      </c>
      <c r="HX13" s="397">
        <v>-9.0767508396599993E-3</v>
      </c>
      <c r="HY13" s="397">
        <v>0</v>
      </c>
      <c r="HZ13" s="397">
        <v>0</v>
      </c>
      <c r="IA13" s="397">
        <v>-2.3954794799700002E-3</v>
      </c>
      <c r="IB13" s="397">
        <v>0</v>
      </c>
      <c r="IC13" s="397">
        <v>-0.47</v>
      </c>
      <c r="ID13" s="405">
        <v>0</v>
      </c>
      <c r="IE13" s="405">
        <v>0</v>
      </c>
      <c r="IF13" s="405">
        <v>0</v>
      </c>
      <c r="IG13" s="405">
        <v>0</v>
      </c>
      <c r="IH13" s="405">
        <v>0</v>
      </c>
      <c r="II13" s="405">
        <v>0</v>
      </c>
      <c r="IJ13" s="405">
        <v>0</v>
      </c>
      <c r="IK13" s="405">
        <v>0</v>
      </c>
      <c r="IL13" s="405">
        <v>0</v>
      </c>
      <c r="IM13" s="405">
        <v>0</v>
      </c>
      <c r="IN13" s="405">
        <v>0</v>
      </c>
      <c r="IO13" s="405">
        <v>0</v>
      </c>
      <c r="IP13" s="404">
        <v>-55.82</v>
      </c>
      <c r="IQ13" s="404">
        <v>-11.99</v>
      </c>
      <c r="IR13" s="404">
        <v>-19.61</v>
      </c>
      <c r="IS13" s="404">
        <v>-12.92</v>
      </c>
      <c r="IT13" s="404">
        <v>-1.07225369578546</v>
      </c>
      <c r="IU13" s="404">
        <v>-0.59</v>
      </c>
      <c r="IV13" s="404">
        <v>-0.12913436945737</v>
      </c>
      <c r="IW13" s="404">
        <v>0</v>
      </c>
      <c r="IX13" s="404">
        <v>0</v>
      </c>
      <c r="IY13" s="404">
        <v>0</v>
      </c>
      <c r="IZ13" s="404">
        <v>-0.75737307686747002</v>
      </c>
      <c r="JA13" s="404">
        <v>0</v>
      </c>
      <c r="JB13" s="404">
        <v>-0.15496124334884001</v>
      </c>
      <c r="JC13" s="404">
        <v>0</v>
      </c>
      <c r="JD13" s="404">
        <v>0</v>
      </c>
      <c r="JE13" s="404">
        <v>0</v>
      </c>
      <c r="JF13" s="404">
        <v>-1.39367584496439</v>
      </c>
      <c r="JG13" s="404">
        <v>0</v>
      </c>
      <c r="JH13" s="404">
        <v>0</v>
      </c>
      <c r="JI13" s="404">
        <v>0</v>
      </c>
      <c r="JJ13" s="404">
        <v>0</v>
      </c>
      <c r="JK13" s="404">
        <v>0</v>
      </c>
      <c r="JL13" s="404">
        <v>0</v>
      </c>
      <c r="JM13" s="404">
        <v>0</v>
      </c>
      <c r="JN13" s="404">
        <v>-0.15496124334885</v>
      </c>
      <c r="JO13" s="404">
        <v>0</v>
      </c>
      <c r="JP13" s="404">
        <v>0</v>
      </c>
      <c r="JQ13" s="404">
        <v>0</v>
      </c>
      <c r="JR13" s="404">
        <v>-1.3435541332540599</v>
      </c>
      <c r="JS13" s="404">
        <v>0</v>
      </c>
      <c r="JT13" s="404">
        <v>-55.82</v>
      </c>
      <c r="JU13" s="404">
        <v>-11.99</v>
      </c>
      <c r="JV13" s="404">
        <v>-19.61</v>
      </c>
      <c r="JW13" s="404">
        <v>-12.92</v>
      </c>
      <c r="JX13" s="404">
        <v>-0.84497718120804999</v>
      </c>
      <c r="JY13" s="404">
        <v>-0.9</v>
      </c>
      <c r="JZ13" s="404">
        <v>0</v>
      </c>
      <c r="KA13" s="404">
        <v>0</v>
      </c>
      <c r="KB13" s="404">
        <v>0</v>
      </c>
      <c r="KC13" s="404">
        <v>0</v>
      </c>
      <c r="KD13" s="404">
        <v>0</v>
      </c>
      <c r="KE13" s="404">
        <v>0</v>
      </c>
      <c r="KF13" s="404">
        <v>0</v>
      </c>
      <c r="KG13" s="404">
        <v>0</v>
      </c>
      <c r="KH13" s="404">
        <v>0</v>
      </c>
      <c r="KI13" s="404">
        <v>0</v>
      </c>
      <c r="KJ13" s="404">
        <v>0</v>
      </c>
      <c r="KK13" s="404">
        <v>0</v>
      </c>
      <c r="KL13" s="404">
        <v>0</v>
      </c>
      <c r="KM13" s="404">
        <v>0</v>
      </c>
      <c r="KN13" s="404">
        <v>0</v>
      </c>
      <c r="KO13" s="404">
        <v>0</v>
      </c>
      <c r="KP13" s="404">
        <v>0</v>
      </c>
      <c r="KQ13" s="404">
        <v>0</v>
      </c>
      <c r="KR13" s="404">
        <v>0</v>
      </c>
      <c r="KS13" s="404">
        <v>0</v>
      </c>
      <c r="KT13" s="404">
        <v>0</v>
      </c>
      <c r="KU13" s="404">
        <v>0</v>
      </c>
      <c r="KV13" s="404">
        <v>0</v>
      </c>
      <c r="KW13" s="404">
        <v>0</v>
      </c>
      <c r="KX13" s="404">
        <v>1.0046888903139199</v>
      </c>
      <c r="KY13" s="404">
        <v>0.16710577309979999</v>
      </c>
      <c r="KZ13" s="404">
        <v>-0.20275762945598999</v>
      </c>
      <c r="LA13" s="404">
        <v>1.2390474038300001E-2</v>
      </c>
      <c r="LB13" s="404">
        <v>-5.5329298001249999E-2</v>
      </c>
      <c r="LC13" s="404">
        <v>-0.44750344212965998</v>
      </c>
      <c r="LD13" s="404">
        <v>-2.6800558377699998E-3</v>
      </c>
      <c r="LE13" s="404">
        <v>0</v>
      </c>
      <c r="LF13" s="404">
        <v>0</v>
      </c>
      <c r="LG13" s="404">
        <v>0</v>
      </c>
      <c r="LH13" s="404">
        <v>4.3345790606010001E-2</v>
      </c>
      <c r="LI13" s="404">
        <v>0</v>
      </c>
      <c r="LJ13" s="404">
        <v>0</v>
      </c>
      <c r="LK13" s="404">
        <v>0</v>
      </c>
      <c r="LL13" s="404">
        <v>0</v>
      </c>
      <c r="LM13" s="404">
        <v>0</v>
      </c>
      <c r="LN13" s="404">
        <v>0.14138326334163001</v>
      </c>
      <c r="LO13" s="404">
        <v>-6.76163329988798</v>
      </c>
      <c r="LP13" s="404">
        <v>0.12020443037641</v>
      </c>
      <c r="LQ13" s="404">
        <v>0</v>
      </c>
      <c r="LR13" s="404">
        <v>0</v>
      </c>
      <c r="LS13" s="404">
        <v>0</v>
      </c>
      <c r="LT13" s="404">
        <v>0</v>
      </c>
      <c r="LU13" s="404">
        <v>-3.11</v>
      </c>
      <c r="LV13" s="401">
        <v>6.8506595710599999E-3</v>
      </c>
      <c r="LW13" s="401">
        <v>0</v>
      </c>
      <c r="LX13" s="401">
        <v>0</v>
      </c>
      <c r="LY13" s="401">
        <v>0</v>
      </c>
      <c r="LZ13" s="401">
        <v>0</v>
      </c>
      <c r="MA13" s="401">
        <v>-0.43889541996992998</v>
      </c>
      <c r="MB13" s="404">
        <v>0</v>
      </c>
      <c r="MC13" s="404">
        <v>0</v>
      </c>
      <c r="MD13" s="404">
        <v>0</v>
      </c>
      <c r="ME13" s="404">
        <v>0</v>
      </c>
      <c r="MF13" s="404">
        <v>0</v>
      </c>
      <c r="MG13" s="404">
        <v>0</v>
      </c>
    </row>
    <row r="14" spans="1:351" ht="18" customHeight="1">
      <c r="A14" s="10" t="s">
        <v>5</v>
      </c>
      <c r="B14" s="15">
        <v>0.1</v>
      </c>
      <c r="C14" s="15">
        <v>0.1</v>
      </c>
      <c r="D14" s="15">
        <v>0.1</v>
      </c>
      <c r="E14" s="255">
        <v>582.33962264150944</v>
      </c>
      <c r="F14" s="256">
        <v>-0.5</v>
      </c>
      <c r="G14" s="16">
        <v>-7.9</v>
      </c>
      <c r="H14" s="16">
        <v>-7.9</v>
      </c>
      <c r="I14" s="5">
        <v>1753.2725473909616</v>
      </c>
      <c r="J14" s="6">
        <v>12</v>
      </c>
      <c r="K14" s="6">
        <v>382.02410000000003</v>
      </c>
      <c r="L14" s="19">
        <v>1.5</v>
      </c>
      <c r="M14" s="19">
        <v>1</v>
      </c>
      <c r="N14" s="19">
        <v>1</v>
      </c>
      <c r="O14" s="16">
        <v>7.8</v>
      </c>
      <c r="P14" s="16">
        <v>0</v>
      </c>
      <c r="Q14" s="16">
        <v>84.7</v>
      </c>
      <c r="R14" s="16">
        <v>7.5</v>
      </c>
      <c r="S14" s="252">
        <v>0</v>
      </c>
      <c r="T14" s="303">
        <v>2</v>
      </c>
      <c r="U14" s="304">
        <v>1.5</v>
      </c>
      <c r="V14" s="303">
        <v>1</v>
      </c>
      <c r="W14" s="304">
        <v>0.8</v>
      </c>
      <c r="X14" s="304">
        <v>0.5</v>
      </c>
      <c r="Y14" s="5">
        <v>7491.5917593037138</v>
      </c>
      <c r="Z14" s="14">
        <v>1.38</v>
      </c>
      <c r="AA14" s="5">
        <v>165.39613167109911</v>
      </c>
      <c r="AB14" s="17">
        <v>1.4</v>
      </c>
      <c r="AC14" s="17">
        <v>1.1000000000000001</v>
      </c>
      <c r="AD14" s="17">
        <v>1.1000000000000001</v>
      </c>
      <c r="AE14" s="254">
        <v>0.17111084121059142</v>
      </c>
      <c r="AF14" s="254">
        <v>0.17335999999999999</v>
      </c>
      <c r="AG14" s="18">
        <v>1.7504555560044199</v>
      </c>
      <c r="AH14" s="18"/>
      <c r="AI14" s="18">
        <v>1.88667764888714</v>
      </c>
      <c r="AJ14" s="18">
        <v>57.773761270865343</v>
      </c>
      <c r="AK14" s="18"/>
      <c r="AL14" s="18"/>
      <c r="AM14" s="18">
        <v>38.452883431360377</v>
      </c>
      <c r="AN14" s="18"/>
      <c r="AO14" s="18"/>
      <c r="AP14" s="18"/>
      <c r="AQ14" s="18"/>
      <c r="AR14" s="18"/>
      <c r="AS14" s="18"/>
      <c r="AT14" s="18">
        <v>2.3274460585282858E-4</v>
      </c>
      <c r="AU14" s="18">
        <v>0.13598934827686698</v>
      </c>
      <c r="AV14" s="304">
        <v>0.3</v>
      </c>
      <c r="AW14" s="304">
        <v>0.7</v>
      </c>
      <c r="AX14" s="304">
        <v>1.2</v>
      </c>
      <c r="AY14" s="304">
        <v>1.2</v>
      </c>
      <c r="AZ14" s="303">
        <v>3</v>
      </c>
      <c r="BA14" s="6">
        <v>27.863493033810077</v>
      </c>
      <c r="BB14" s="6">
        <v>18</v>
      </c>
      <c r="BC14" s="5">
        <f t="shared" si="348"/>
        <v>501.54287460858137</v>
      </c>
      <c r="BD14" s="17">
        <v>1.6</v>
      </c>
      <c r="BE14" s="19">
        <v>1</v>
      </c>
      <c r="BF14" s="19">
        <v>1</v>
      </c>
      <c r="BG14" s="6">
        <v>27.863493033810077</v>
      </c>
      <c r="BH14" s="6">
        <v>18</v>
      </c>
      <c r="BI14" s="5">
        <v>3051.4596226415097</v>
      </c>
      <c r="BJ14" s="17">
        <v>1.6</v>
      </c>
      <c r="BK14" s="19">
        <v>1</v>
      </c>
      <c r="BL14" s="19">
        <v>1</v>
      </c>
      <c r="BM14" s="5">
        <v>954.98158857169233</v>
      </c>
      <c r="BN14" s="6">
        <v>179.9</v>
      </c>
      <c r="BO14" s="6">
        <v>5154.1579338518904</v>
      </c>
      <c r="BP14" s="17">
        <v>1.6</v>
      </c>
      <c r="BQ14" s="19">
        <v>1</v>
      </c>
      <c r="BR14" s="19">
        <v>1</v>
      </c>
      <c r="BS14" s="221">
        <v>2</v>
      </c>
      <c r="BT14" s="54">
        <v>1.5</v>
      </c>
      <c r="BU14" s="54">
        <v>0.7</v>
      </c>
      <c r="BV14" s="54">
        <v>0.7</v>
      </c>
      <c r="BW14" s="54">
        <v>0.5</v>
      </c>
      <c r="BX14" s="5">
        <v>0</v>
      </c>
      <c r="BY14" s="5">
        <v>8684.7604384824353</v>
      </c>
      <c r="BZ14" s="17">
        <v>1.8</v>
      </c>
      <c r="CA14" s="19">
        <v>1.1000000000000001</v>
      </c>
      <c r="CB14" s="19">
        <v>1.1000000000000001</v>
      </c>
      <c r="CC14" s="221">
        <v>2</v>
      </c>
      <c r="CD14" s="221">
        <v>2</v>
      </c>
      <c r="CE14" s="221">
        <v>1</v>
      </c>
      <c r="CF14" s="221">
        <v>1</v>
      </c>
      <c r="CG14" s="54">
        <v>0.5</v>
      </c>
      <c r="CH14" s="5"/>
      <c r="CI14" s="5">
        <v>500</v>
      </c>
      <c r="CJ14" s="19">
        <v>1.4</v>
      </c>
      <c r="CK14" s="19">
        <v>1.2</v>
      </c>
      <c r="CL14" s="19">
        <v>1.2</v>
      </c>
      <c r="CM14" s="54">
        <v>2</v>
      </c>
      <c r="CN14" s="54">
        <v>1.5</v>
      </c>
      <c r="CO14" s="54">
        <v>0.5</v>
      </c>
      <c r="CP14" s="54">
        <v>1</v>
      </c>
      <c r="CQ14" s="54">
        <v>0.5</v>
      </c>
      <c r="CR14" s="5">
        <v>1.6819636589325306</v>
      </c>
      <c r="CS14" s="8">
        <v>29</v>
      </c>
      <c r="CT14" s="17">
        <v>1.7</v>
      </c>
      <c r="CU14" s="19">
        <v>1.3</v>
      </c>
      <c r="CV14" s="19">
        <v>1.3</v>
      </c>
      <c r="CW14" s="54">
        <v>2</v>
      </c>
      <c r="CX14" s="54">
        <v>1</v>
      </c>
      <c r="CY14" s="54">
        <v>0.5</v>
      </c>
      <c r="CZ14" s="54">
        <v>0.7</v>
      </c>
      <c r="DA14" s="54">
        <v>0.2</v>
      </c>
      <c r="DB14" s="403">
        <v>0</v>
      </c>
      <c r="DC14" s="403">
        <v>0</v>
      </c>
      <c r="DD14" s="403">
        <v>0</v>
      </c>
      <c r="DE14" s="403">
        <v>0</v>
      </c>
      <c r="DF14" s="403">
        <v>0</v>
      </c>
      <c r="DG14" s="403">
        <v>0</v>
      </c>
      <c r="DH14" s="403">
        <v>0</v>
      </c>
      <c r="DI14" s="403">
        <v>0</v>
      </c>
      <c r="DJ14" s="403">
        <v>0</v>
      </c>
      <c r="DK14" s="403">
        <v>0</v>
      </c>
      <c r="DL14" s="403">
        <v>0</v>
      </c>
      <c r="DM14" s="403">
        <v>0</v>
      </c>
      <c r="DN14" s="403">
        <v>0</v>
      </c>
      <c r="DO14" s="403">
        <v>0</v>
      </c>
      <c r="DP14" s="403">
        <v>0</v>
      </c>
      <c r="DQ14" s="403">
        <v>0</v>
      </c>
      <c r="DR14" s="403">
        <v>0</v>
      </c>
      <c r="DS14" s="403">
        <v>0</v>
      </c>
      <c r="DT14" s="403">
        <v>0</v>
      </c>
      <c r="DU14" s="403">
        <v>0</v>
      </c>
      <c r="DV14" s="403">
        <v>0</v>
      </c>
      <c r="DW14" s="403">
        <v>0</v>
      </c>
      <c r="DX14" s="403">
        <v>0</v>
      </c>
      <c r="DY14" s="403">
        <v>0</v>
      </c>
      <c r="DZ14" s="404">
        <v>0</v>
      </c>
      <c r="EA14" s="404">
        <v>0</v>
      </c>
      <c r="EB14" s="404">
        <v>0</v>
      </c>
      <c r="EC14" s="404">
        <v>0</v>
      </c>
      <c r="ED14" s="404">
        <v>0</v>
      </c>
      <c r="EE14" s="404">
        <v>0</v>
      </c>
      <c r="EF14" s="404">
        <v>2.3331596698950001</v>
      </c>
      <c r="EG14" s="404">
        <v>0</v>
      </c>
      <c r="EH14" s="404">
        <v>0</v>
      </c>
      <c r="EI14" s="404">
        <v>0.98609088910742004</v>
      </c>
      <c r="EJ14" s="404">
        <v>9.6999770847580005E-2</v>
      </c>
      <c r="EK14" s="404">
        <v>-0.74905005460903995</v>
      </c>
      <c r="EL14" s="404">
        <v>2.3331596698949899</v>
      </c>
      <c r="EM14" s="404">
        <v>0</v>
      </c>
      <c r="EN14" s="404">
        <v>0</v>
      </c>
      <c r="EO14" s="404">
        <v>0.98609088910742004</v>
      </c>
      <c r="EP14" s="404">
        <v>0</v>
      </c>
      <c r="EQ14" s="404">
        <v>-0.74905005460903995</v>
      </c>
      <c r="ER14" s="404">
        <v>0</v>
      </c>
      <c r="ES14" s="404">
        <v>0</v>
      </c>
      <c r="ET14" s="404">
        <v>0</v>
      </c>
      <c r="EU14" s="404">
        <v>0</v>
      </c>
      <c r="EV14" s="404">
        <v>0</v>
      </c>
      <c r="EW14" s="404">
        <v>0</v>
      </c>
      <c r="EX14" s="404">
        <v>0</v>
      </c>
      <c r="EY14" s="404">
        <v>0</v>
      </c>
      <c r="EZ14" s="404">
        <v>0</v>
      </c>
      <c r="FA14" s="404">
        <v>0</v>
      </c>
      <c r="FB14" s="404">
        <v>0</v>
      </c>
      <c r="FC14" s="404">
        <v>0</v>
      </c>
      <c r="FD14" s="404">
        <v>0</v>
      </c>
      <c r="FE14" s="404">
        <v>0</v>
      </c>
      <c r="FF14" s="404">
        <v>0</v>
      </c>
      <c r="FG14" s="404">
        <v>0</v>
      </c>
      <c r="FH14" s="404">
        <v>0</v>
      </c>
      <c r="FI14" s="404">
        <v>0</v>
      </c>
      <c r="FJ14" s="404">
        <v>0</v>
      </c>
      <c r="FK14" s="404">
        <v>0</v>
      </c>
      <c r="FL14" s="404">
        <v>0</v>
      </c>
      <c r="FM14" s="404">
        <v>0</v>
      </c>
      <c r="FN14" s="404">
        <v>0</v>
      </c>
      <c r="FO14" s="404">
        <v>0</v>
      </c>
      <c r="FP14" s="404">
        <v>0</v>
      </c>
      <c r="FQ14" s="404">
        <v>0</v>
      </c>
      <c r="FR14" s="404">
        <v>0</v>
      </c>
      <c r="FS14" s="404">
        <v>0</v>
      </c>
      <c r="FT14" s="404">
        <v>0</v>
      </c>
      <c r="FU14" s="404">
        <v>0</v>
      </c>
      <c r="FV14" s="404">
        <v>0</v>
      </c>
      <c r="FW14" s="404">
        <v>0</v>
      </c>
      <c r="FX14" s="404">
        <v>0</v>
      </c>
      <c r="FY14" s="404">
        <v>0</v>
      </c>
      <c r="FZ14" s="404">
        <v>0</v>
      </c>
      <c r="GA14" s="404">
        <v>0</v>
      </c>
      <c r="GB14" s="404">
        <v>0</v>
      </c>
      <c r="GC14" s="404">
        <v>0</v>
      </c>
      <c r="GD14" s="404">
        <v>0</v>
      </c>
      <c r="GE14" s="404">
        <v>0</v>
      </c>
      <c r="GF14" s="404">
        <v>0</v>
      </c>
      <c r="GG14" s="404">
        <v>0</v>
      </c>
      <c r="GH14" s="404">
        <v>-55.82</v>
      </c>
      <c r="GI14" s="404">
        <v>-11.99</v>
      </c>
      <c r="GJ14" s="404">
        <v>-19.61</v>
      </c>
      <c r="GK14" s="404">
        <v>-12.92</v>
      </c>
      <c r="GL14" s="404">
        <v>4.6060068064949999E-2</v>
      </c>
      <c r="GM14" s="404">
        <v>-3.91</v>
      </c>
      <c r="GN14" s="404">
        <v>0</v>
      </c>
      <c r="GO14" s="404">
        <v>0</v>
      </c>
      <c r="GP14" s="404">
        <v>0</v>
      </c>
      <c r="GQ14" s="404">
        <v>0</v>
      </c>
      <c r="GR14" s="404">
        <v>0</v>
      </c>
      <c r="GS14" s="404">
        <v>0</v>
      </c>
      <c r="GT14" s="404">
        <v>0</v>
      </c>
      <c r="GU14" s="404">
        <v>0</v>
      </c>
      <c r="GV14" s="404">
        <v>0</v>
      </c>
      <c r="GW14" s="404">
        <v>0</v>
      </c>
      <c r="GX14" s="404">
        <v>0</v>
      </c>
      <c r="GY14" s="404">
        <v>0</v>
      </c>
      <c r="GZ14" s="404">
        <v>0</v>
      </c>
      <c r="HA14" s="404">
        <v>0</v>
      </c>
      <c r="HB14" s="404">
        <v>0</v>
      </c>
      <c r="HC14" s="404">
        <v>0</v>
      </c>
      <c r="HD14" s="404">
        <v>0</v>
      </c>
      <c r="HE14" s="404">
        <v>0</v>
      </c>
      <c r="HF14" s="404">
        <v>0</v>
      </c>
      <c r="HG14" s="404">
        <v>0</v>
      </c>
      <c r="HH14" s="404">
        <v>0</v>
      </c>
      <c r="HI14" s="404">
        <v>0</v>
      </c>
      <c r="HJ14" s="404">
        <v>0</v>
      </c>
      <c r="HK14" s="404">
        <v>0</v>
      </c>
      <c r="HL14" s="397">
        <v>-0.6</v>
      </c>
      <c r="HM14" s="405">
        <v>0</v>
      </c>
      <c r="HN14" s="405">
        <v>0</v>
      </c>
      <c r="HO14" s="405">
        <v>0</v>
      </c>
      <c r="HP14" s="405">
        <v>0</v>
      </c>
      <c r="HQ14" s="397">
        <v>-3.1108822695035498</v>
      </c>
      <c r="HR14" s="397">
        <v>0.1</v>
      </c>
      <c r="HS14" s="397">
        <v>0</v>
      </c>
      <c r="HT14" s="397">
        <v>0</v>
      </c>
      <c r="HU14" s="397">
        <v>0</v>
      </c>
      <c r="HV14" s="397">
        <v>0</v>
      </c>
      <c r="HW14" s="397">
        <v>0.23</v>
      </c>
      <c r="HX14" s="397">
        <v>-9.0767508396599993E-3</v>
      </c>
      <c r="HY14" s="397">
        <v>0</v>
      </c>
      <c r="HZ14" s="397">
        <v>0</v>
      </c>
      <c r="IA14" s="397">
        <v>-2.3954794799700002E-3</v>
      </c>
      <c r="IB14" s="397">
        <v>0</v>
      </c>
      <c r="IC14" s="397">
        <v>-0.47</v>
      </c>
      <c r="ID14" s="405">
        <v>0</v>
      </c>
      <c r="IE14" s="405">
        <v>0</v>
      </c>
      <c r="IF14" s="405">
        <v>0</v>
      </c>
      <c r="IG14" s="405">
        <v>0</v>
      </c>
      <c r="IH14" s="405">
        <v>0</v>
      </c>
      <c r="II14" s="405">
        <v>0</v>
      </c>
      <c r="IJ14" s="405">
        <v>0</v>
      </c>
      <c r="IK14" s="405">
        <v>0</v>
      </c>
      <c r="IL14" s="405">
        <v>0</v>
      </c>
      <c r="IM14" s="405">
        <v>0</v>
      </c>
      <c r="IN14" s="405">
        <v>0</v>
      </c>
      <c r="IO14" s="405">
        <v>0</v>
      </c>
      <c r="IP14" s="404">
        <v>-55.82</v>
      </c>
      <c r="IQ14" s="404">
        <v>-11.99</v>
      </c>
      <c r="IR14" s="404">
        <v>-19.61</v>
      </c>
      <c r="IS14" s="404">
        <v>-12.92</v>
      </c>
      <c r="IT14" s="404">
        <v>-1.07225369578546</v>
      </c>
      <c r="IU14" s="404">
        <v>-0.59</v>
      </c>
      <c r="IV14" s="404">
        <v>-0.12913436945737</v>
      </c>
      <c r="IW14" s="404">
        <v>0</v>
      </c>
      <c r="IX14" s="404">
        <v>0</v>
      </c>
      <c r="IY14" s="404">
        <v>0</v>
      </c>
      <c r="IZ14" s="404">
        <v>-0.75737307686747002</v>
      </c>
      <c r="JA14" s="404">
        <v>0</v>
      </c>
      <c r="JB14" s="404">
        <v>-0.15496124334884001</v>
      </c>
      <c r="JC14" s="404">
        <v>0</v>
      </c>
      <c r="JD14" s="404">
        <v>0</v>
      </c>
      <c r="JE14" s="404">
        <v>0</v>
      </c>
      <c r="JF14" s="404">
        <v>-1.39367584496439</v>
      </c>
      <c r="JG14" s="404">
        <v>0</v>
      </c>
      <c r="JH14" s="404">
        <v>0</v>
      </c>
      <c r="JI14" s="404">
        <v>0</v>
      </c>
      <c r="JJ14" s="404">
        <v>0</v>
      </c>
      <c r="JK14" s="404">
        <v>0</v>
      </c>
      <c r="JL14" s="404">
        <v>0</v>
      </c>
      <c r="JM14" s="404">
        <v>0</v>
      </c>
      <c r="JN14" s="404">
        <v>-0.15496124334885</v>
      </c>
      <c r="JO14" s="404">
        <v>0</v>
      </c>
      <c r="JP14" s="404">
        <v>0</v>
      </c>
      <c r="JQ14" s="404">
        <v>0</v>
      </c>
      <c r="JR14" s="404">
        <v>-1.3435541332540599</v>
      </c>
      <c r="JS14" s="404">
        <v>0</v>
      </c>
      <c r="JT14" s="404">
        <v>-55.82</v>
      </c>
      <c r="JU14" s="404">
        <v>-11.99</v>
      </c>
      <c r="JV14" s="404">
        <v>-19.61</v>
      </c>
      <c r="JW14" s="404">
        <v>-12.92</v>
      </c>
      <c r="JX14" s="404">
        <v>-0.84497718120804999</v>
      </c>
      <c r="JY14" s="404">
        <v>-0.9</v>
      </c>
      <c r="JZ14" s="404">
        <v>0</v>
      </c>
      <c r="KA14" s="404">
        <v>0</v>
      </c>
      <c r="KB14" s="404">
        <v>0</v>
      </c>
      <c r="KC14" s="404">
        <v>0</v>
      </c>
      <c r="KD14" s="404">
        <v>0</v>
      </c>
      <c r="KE14" s="404">
        <v>0</v>
      </c>
      <c r="KF14" s="404">
        <v>0</v>
      </c>
      <c r="KG14" s="404">
        <v>0</v>
      </c>
      <c r="KH14" s="404">
        <v>0</v>
      </c>
      <c r="KI14" s="404">
        <v>0</v>
      </c>
      <c r="KJ14" s="404">
        <v>0</v>
      </c>
      <c r="KK14" s="404">
        <v>0</v>
      </c>
      <c r="KL14" s="404">
        <v>0</v>
      </c>
      <c r="KM14" s="404">
        <v>0</v>
      </c>
      <c r="KN14" s="404">
        <v>0</v>
      </c>
      <c r="KO14" s="404">
        <v>0</v>
      </c>
      <c r="KP14" s="404">
        <v>0</v>
      </c>
      <c r="KQ14" s="404">
        <v>0</v>
      </c>
      <c r="KR14" s="404">
        <v>0</v>
      </c>
      <c r="KS14" s="404">
        <v>0</v>
      </c>
      <c r="KT14" s="404">
        <v>0</v>
      </c>
      <c r="KU14" s="404">
        <v>0</v>
      </c>
      <c r="KV14" s="404">
        <v>0</v>
      </c>
      <c r="KW14" s="404">
        <v>0</v>
      </c>
      <c r="KX14" s="404">
        <v>1.0046888903139199</v>
      </c>
      <c r="KY14" s="404">
        <v>0.16710577309979999</v>
      </c>
      <c r="KZ14" s="404">
        <v>-0.20275762945598999</v>
      </c>
      <c r="LA14" s="404">
        <v>1.2390474038300001E-2</v>
      </c>
      <c r="LB14" s="404">
        <v>-5.5329298001249999E-2</v>
      </c>
      <c r="LC14" s="404">
        <v>-0.44750344212965998</v>
      </c>
      <c r="LD14" s="404">
        <v>-2.6800558377699998E-3</v>
      </c>
      <c r="LE14" s="404">
        <v>0</v>
      </c>
      <c r="LF14" s="404">
        <v>0</v>
      </c>
      <c r="LG14" s="404">
        <v>0</v>
      </c>
      <c r="LH14" s="404">
        <v>4.3345790606010001E-2</v>
      </c>
      <c r="LI14" s="404">
        <v>0</v>
      </c>
      <c r="LJ14" s="404">
        <v>0</v>
      </c>
      <c r="LK14" s="404">
        <v>0</v>
      </c>
      <c r="LL14" s="404">
        <v>0</v>
      </c>
      <c r="LM14" s="404">
        <v>0</v>
      </c>
      <c r="LN14" s="404">
        <v>0.14138326334163001</v>
      </c>
      <c r="LO14" s="404">
        <v>-6.76163329988798</v>
      </c>
      <c r="LP14" s="404">
        <v>0.12020443037641</v>
      </c>
      <c r="LQ14" s="404">
        <v>0</v>
      </c>
      <c r="LR14" s="404">
        <v>0</v>
      </c>
      <c r="LS14" s="404">
        <v>0</v>
      </c>
      <c r="LT14" s="404">
        <v>0</v>
      </c>
      <c r="LU14" s="404">
        <v>-3.11</v>
      </c>
      <c r="LV14" s="401">
        <v>6.8506595710599999E-3</v>
      </c>
      <c r="LW14" s="401">
        <v>0</v>
      </c>
      <c r="LX14" s="401">
        <v>0</v>
      </c>
      <c r="LY14" s="401">
        <v>0</v>
      </c>
      <c r="LZ14" s="401">
        <v>0</v>
      </c>
      <c r="MA14" s="401">
        <v>-0.43889541996992998</v>
      </c>
      <c r="MB14" s="404">
        <v>0</v>
      </c>
      <c r="MC14" s="404">
        <v>0</v>
      </c>
      <c r="MD14" s="404">
        <v>0</v>
      </c>
      <c r="ME14" s="404">
        <v>0</v>
      </c>
      <c r="MF14" s="404">
        <v>0</v>
      </c>
      <c r="MG14" s="404">
        <v>0</v>
      </c>
    </row>
    <row r="15" spans="1:351" ht="18" customHeight="1">
      <c r="A15" s="10" t="s">
        <v>6</v>
      </c>
      <c r="B15" s="15">
        <v>0.5</v>
      </c>
      <c r="C15" s="15">
        <v>0.3</v>
      </c>
      <c r="D15" s="15">
        <v>0.3</v>
      </c>
      <c r="E15" s="255">
        <v>118.12218649517685</v>
      </c>
      <c r="F15" s="256">
        <v>-2.2999999999999998</v>
      </c>
      <c r="G15" s="16">
        <v>-4.8</v>
      </c>
      <c r="H15" s="16">
        <v>-4.8</v>
      </c>
      <c r="I15" s="5">
        <v>1246.5552690926183</v>
      </c>
      <c r="J15" s="6">
        <v>12</v>
      </c>
      <c r="K15" s="6">
        <v>367.92329999999998</v>
      </c>
      <c r="L15" s="17">
        <v>0.6</v>
      </c>
      <c r="M15" s="17">
        <v>0.2</v>
      </c>
      <c r="N15" s="17">
        <v>0.2</v>
      </c>
      <c r="O15" s="16">
        <v>2.8</v>
      </c>
      <c r="P15" s="16">
        <v>0</v>
      </c>
      <c r="Q15" s="16">
        <v>97.1</v>
      </c>
      <c r="R15" s="16">
        <v>0</v>
      </c>
      <c r="S15" s="252">
        <v>0</v>
      </c>
      <c r="T15" s="303">
        <v>2</v>
      </c>
      <c r="U15" s="304">
        <v>1.5</v>
      </c>
      <c r="V15" s="303">
        <v>1</v>
      </c>
      <c r="W15" s="304">
        <v>0.8</v>
      </c>
      <c r="X15" s="304">
        <v>0.5</v>
      </c>
      <c r="Y15" s="5">
        <v>10619.325978210618</v>
      </c>
      <c r="Z15" s="14">
        <v>1.56</v>
      </c>
      <c r="AA15" s="5">
        <v>164.04390294142229</v>
      </c>
      <c r="AB15" s="17">
        <v>0.7</v>
      </c>
      <c r="AC15" s="17">
        <v>0.3</v>
      </c>
      <c r="AD15" s="17">
        <v>0.3</v>
      </c>
      <c r="AE15" s="254">
        <v>0.17424004435335025</v>
      </c>
      <c r="AF15" s="254">
        <v>0.17685328942052908</v>
      </c>
      <c r="AG15" s="18">
        <v>1.4995555692181729E-4</v>
      </c>
      <c r="AH15" s="18">
        <v>5.2484444922636054E-3</v>
      </c>
      <c r="AI15" s="18">
        <v>0.58973771648427697</v>
      </c>
      <c r="AJ15" s="18">
        <v>67.629056438398067</v>
      </c>
      <c r="AK15" s="18"/>
      <c r="AL15" s="18">
        <v>0.36881569224920963</v>
      </c>
      <c r="AM15" s="18">
        <v>30.822652436384168</v>
      </c>
      <c r="AN15" s="18"/>
      <c r="AO15" s="18"/>
      <c r="AP15" s="18">
        <v>2.8866444707449832E-3</v>
      </c>
      <c r="AQ15" s="18"/>
      <c r="AR15" s="18"/>
      <c r="AS15" s="18"/>
      <c r="AT15" s="18">
        <v>1.1246666769136296E-4</v>
      </c>
      <c r="AU15" s="18">
        <v>0.5813402052966552</v>
      </c>
      <c r="AV15" s="304">
        <v>0.3</v>
      </c>
      <c r="AW15" s="304">
        <v>0.7</v>
      </c>
      <c r="AX15" s="304">
        <v>1.2</v>
      </c>
      <c r="AY15" s="304">
        <v>1.2</v>
      </c>
      <c r="AZ15" s="303">
        <v>3</v>
      </c>
      <c r="BA15" s="6">
        <v>1.6742641157350289</v>
      </c>
      <c r="BB15" s="6">
        <v>18</v>
      </c>
      <c r="BC15" s="5">
        <f t="shared" si="348"/>
        <v>30.136754083230521</v>
      </c>
      <c r="BD15" s="17">
        <v>1.9</v>
      </c>
      <c r="BE15" s="17">
        <v>0.9</v>
      </c>
      <c r="BF15" s="17">
        <v>0.9</v>
      </c>
      <c r="BG15" s="6">
        <v>1.6742641157350289</v>
      </c>
      <c r="BH15" s="6">
        <v>18</v>
      </c>
      <c r="BI15" s="5">
        <v>737.0824437299035</v>
      </c>
      <c r="BJ15" s="17">
        <v>1.9</v>
      </c>
      <c r="BK15" s="17">
        <v>0.9</v>
      </c>
      <c r="BL15" s="17">
        <v>0.9</v>
      </c>
      <c r="BM15" s="5">
        <v>1060.7794974182561</v>
      </c>
      <c r="BN15" s="6">
        <v>179.9</v>
      </c>
      <c r="BO15" s="6">
        <v>2070.0722186495277</v>
      </c>
      <c r="BP15" s="17">
        <v>1.9</v>
      </c>
      <c r="BQ15" s="17">
        <v>0.9</v>
      </c>
      <c r="BR15" s="17">
        <v>0.9</v>
      </c>
      <c r="BS15" s="221">
        <v>2</v>
      </c>
      <c r="BT15" s="54">
        <v>1.5</v>
      </c>
      <c r="BU15" s="54">
        <v>0.7</v>
      </c>
      <c r="BV15" s="54">
        <v>0.7</v>
      </c>
      <c r="BW15" s="54">
        <v>0.5</v>
      </c>
      <c r="BX15" s="5">
        <v>29.98203335761967</v>
      </c>
      <c r="BY15" s="5">
        <v>6256.8327459807479</v>
      </c>
      <c r="BZ15" s="17">
        <v>1.6</v>
      </c>
      <c r="CA15" s="17">
        <v>1.3</v>
      </c>
      <c r="CB15" s="17">
        <v>1.3</v>
      </c>
      <c r="CC15" s="221">
        <v>2</v>
      </c>
      <c r="CD15" s="221">
        <v>2</v>
      </c>
      <c r="CE15" s="221">
        <v>1</v>
      </c>
      <c r="CF15" s="221">
        <v>1</v>
      </c>
      <c r="CG15" s="54">
        <v>0.5</v>
      </c>
      <c r="CH15" s="5">
        <v>232.08785152768519</v>
      </c>
      <c r="CI15" s="5">
        <v>500</v>
      </c>
      <c r="CJ15" s="19">
        <v>1.3</v>
      </c>
      <c r="CK15" s="19">
        <v>1</v>
      </c>
      <c r="CL15" s="19">
        <v>1</v>
      </c>
      <c r="CM15" s="54">
        <v>2</v>
      </c>
      <c r="CN15" s="54">
        <v>1.5</v>
      </c>
      <c r="CO15" s="54">
        <v>0.5</v>
      </c>
      <c r="CP15" s="54">
        <v>1</v>
      </c>
      <c r="CQ15" s="54">
        <v>0.5</v>
      </c>
      <c r="CR15" s="5"/>
      <c r="CS15" s="8">
        <v>29</v>
      </c>
      <c r="CT15" s="17">
        <v>0.9</v>
      </c>
      <c r="CU15" s="19">
        <v>0.9</v>
      </c>
      <c r="CV15" s="19">
        <v>0.9</v>
      </c>
      <c r="CW15" s="54">
        <v>2</v>
      </c>
      <c r="CX15" s="54">
        <v>1</v>
      </c>
      <c r="CY15" s="54">
        <v>0.5</v>
      </c>
      <c r="CZ15" s="54">
        <v>0.7</v>
      </c>
      <c r="DA15" s="54">
        <v>0.2</v>
      </c>
      <c r="DB15" s="403">
        <v>0</v>
      </c>
      <c r="DC15" s="403">
        <v>0</v>
      </c>
      <c r="DD15" s="403">
        <v>0</v>
      </c>
      <c r="DE15" s="403">
        <v>0</v>
      </c>
      <c r="DF15" s="403">
        <v>0</v>
      </c>
      <c r="DG15" s="403">
        <v>0</v>
      </c>
      <c r="DH15" s="403">
        <v>0</v>
      </c>
      <c r="DI15" s="403">
        <v>0</v>
      </c>
      <c r="DJ15" s="403">
        <v>0</v>
      </c>
      <c r="DK15" s="403">
        <v>0</v>
      </c>
      <c r="DL15" s="403">
        <v>0</v>
      </c>
      <c r="DM15" s="403">
        <v>0</v>
      </c>
      <c r="DN15" s="403">
        <v>0</v>
      </c>
      <c r="DO15" s="403">
        <v>0</v>
      </c>
      <c r="DP15" s="403">
        <v>0</v>
      </c>
      <c r="DQ15" s="403">
        <v>0</v>
      </c>
      <c r="DR15" s="403">
        <v>0</v>
      </c>
      <c r="DS15" s="403">
        <v>0</v>
      </c>
      <c r="DT15" s="403">
        <v>0</v>
      </c>
      <c r="DU15" s="403">
        <v>0</v>
      </c>
      <c r="DV15" s="403">
        <v>0</v>
      </c>
      <c r="DW15" s="403">
        <v>0</v>
      </c>
      <c r="DX15" s="403">
        <v>0</v>
      </c>
      <c r="DY15" s="403">
        <v>0</v>
      </c>
      <c r="DZ15" s="404">
        <v>0</v>
      </c>
      <c r="EA15" s="404">
        <v>0</v>
      </c>
      <c r="EB15" s="404">
        <v>0</v>
      </c>
      <c r="EC15" s="404">
        <v>0</v>
      </c>
      <c r="ED15" s="404">
        <v>0</v>
      </c>
      <c r="EE15" s="404">
        <v>0</v>
      </c>
      <c r="EF15" s="404">
        <v>2.3331596698950001</v>
      </c>
      <c r="EG15" s="404">
        <v>0</v>
      </c>
      <c r="EH15" s="404">
        <v>0</v>
      </c>
      <c r="EI15" s="404">
        <v>0.98609088910742004</v>
      </c>
      <c r="EJ15" s="404">
        <v>9.6999770847580005E-2</v>
      </c>
      <c r="EK15" s="404">
        <v>-0.74905005460903995</v>
      </c>
      <c r="EL15" s="404">
        <v>2.3331596698949899</v>
      </c>
      <c r="EM15" s="404">
        <v>0</v>
      </c>
      <c r="EN15" s="404">
        <v>0</v>
      </c>
      <c r="EO15" s="404">
        <v>0.98609088910742004</v>
      </c>
      <c r="EP15" s="404">
        <v>0</v>
      </c>
      <c r="EQ15" s="404">
        <v>-0.74905005460903995</v>
      </c>
      <c r="ER15" s="404">
        <v>0</v>
      </c>
      <c r="ES15" s="404">
        <v>0</v>
      </c>
      <c r="ET15" s="404">
        <v>0</v>
      </c>
      <c r="EU15" s="404">
        <v>0</v>
      </c>
      <c r="EV15" s="404">
        <v>0</v>
      </c>
      <c r="EW15" s="404">
        <v>0</v>
      </c>
      <c r="EX15" s="404">
        <v>0</v>
      </c>
      <c r="EY15" s="404">
        <v>0</v>
      </c>
      <c r="EZ15" s="404">
        <v>0</v>
      </c>
      <c r="FA15" s="404">
        <v>0</v>
      </c>
      <c r="FB15" s="404">
        <v>0</v>
      </c>
      <c r="FC15" s="404">
        <v>0</v>
      </c>
      <c r="FD15" s="404">
        <v>0</v>
      </c>
      <c r="FE15" s="404">
        <v>0</v>
      </c>
      <c r="FF15" s="404">
        <v>0</v>
      </c>
      <c r="FG15" s="404">
        <v>0</v>
      </c>
      <c r="FH15" s="404">
        <v>0</v>
      </c>
      <c r="FI15" s="404">
        <v>0</v>
      </c>
      <c r="FJ15" s="404">
        <v>0</v>
      </c>
      <c r="FK15" s="404">
        <v>0</v>
      </c>
      <c r="FL15" s="404">
        <v>0</v>
      </c>
      <c r="FM15" s="404">
        <v>0</v>
      </c>
      <c r="FN15" s="404">
        <v>0</v>
      </c>
      <c r="FO15" s="404">
        <v>0</v>
      </c>
      <c r="FP15" s="404">
        <v>0</v>
      </c>
      <c r="FQ15" s="404">
        <v>0</v>
      </c>
      <c r="FR15" s="404">
        <v>0</v>
      </c>
      <c r="FS15" s="404">
        <v>0</v>
      </c>
      <c r="FT15" s="404">
        <v>0</v>
      </c>
      <c r="FU15" s="404">
        <v>0</v>
      </c>
      <c r="FV15" s="404">
        <v>0</v>
      </c>
      <c r="FW15" s="404">
        <v>0</v>
      </c>
      <c r="FX15" s="404">
        <v>0</v>
      </c>
      <c r="FY15" s="404">
        <v>0</v>
      </c>
      <c r="FZ15" s="404">
        <v>0</v>
      </c>
      <c r="GA15" s="404">
        <v>0</v>
      </c>
      <c r="GB15" s="404">
        <v>0</v>
      </c>
      <c r="GC15" s="404">
        <v>0</v>
      </c>
      <c r="GD15" s="404">
        <v>0</v>
      </c>
      <c r="GE15" s="404">
        <v>0</v>
      </c>
      <c r="GF15" s="404">
        <v>0</v>
      </c>
      <c r="GG15" s="404">
        <v>0</v>
      </c>
      <c r="GH15" s="404">
        <v>-55.82</v>
      </c>
      <c r="GI15" s="404">
        <v>-11.99</v>
      </c>
      <c r="GJ15" s="404">
        <v>-19.61</v>
      </c>
      <c r="GK15" s="404">
        <v>-12.92</v>
      </c>
      <c r="GL15" s="404">
        <v>4.6060068064949999E-2</v>
      </c>
      <c r="GM15" s="404">
        <v>-3.91</v>
      </c>
      <c r="GN15" s="404">
        <v>0</v>
      </c>
      <c r="GO15" s="404">
        <v>0</v>
      </c>
      <c r="GP15" s="404">
        <v>0</v>
      </c>
      <c r="GQ15" s="404">
        <v>0</v>
      </c>
      <c r="GR15" s="404">
        <v>0</v>
      </c>
      <c r="GS15" s="404">
        <v>0</v>
      </c>
      <c r="GT15" s="404">
        <v>0</v>
      </c>
      <c r="GU15" s="404">
        <v>0</v>
      </c>
      <c r="GV15" s="404">
        <v>0</v>
      </c>
      <c r="GW15" s="404">
        <v>0</v>
      </c>
      <c r="GX15" s="404">
        <v>0</v>
      </c>
      <c r="GY15" s="404">
        <v>0</v>
      </c>
      <c r="GZ15" s="404">
        <v>0</v>
      </c>
      <c r="HA15" s="404">
        <v>0</v>
      </c>
      <c r="HB15" s="404">
        <v>0</v>
      </c>
      <c r="HC15" s="404">
        <v>0</v>
      </c>
      <c r="HD15" s="404">
        <v>0</v>
      </c>
      <c r="HE15" s="404">
        <v>0</v>
      </c>
      <c r="HF15" s="404">
        <v>0</v>
      </c>
      <c r="HG15" s="404">
        <v>0</v>
      </c>
      <c r="HH15" s="404">
        <v>0</v>
      </c>
      <c r="HI15" s="404">
        <v>0</v>
      </c>
      <c r="HJ15" s="404">
        <v>0</v>
      </c>
      <c r="HK15" s="404">
        <v>0</v>
      </c>
      <c r="HL15" s="397">
        <v>-0.6</v>
      </c>
      <c r="HM15" s="405">
        <v>0</v>
      </c>
      <c r="HN15" s="405">
        <v>0</v>
      </c>
      <c r="HO15" s="405">
        <v>0</v>
      </c>
      <c r="HP15" s="405">
        <v>0</v>
      </c>
      <c r="HQ15" s="397">
        <v>-3.1108822695035498</v>
      </c>
      <c r="HR15" s="397">
        <v>0.1</v>
      </c>
      <c r="HS15" s="397">
        <v>0</v>
      </c>
      <c r="HT15" s="397">
        <v>0</v>
      </c>
      <c r="HU15" s="397">
        <v>0</v>
      </c>
      <c r="HV15" s="397">
        <v>0</v>
      </c>
      <c r="HW15" s="397">
        <v>0.23</v>
      </c>
      <c r="HX15" s="397">
        <v>-9.0767508396599993E-3</v>
      </c>
      <c r="HY15" s="397">
        <v>0</v>
      </c>
      <c r="HZ15" s="397">
        <v>0</v>
      </c>
      <c r="IA15" s="397">
        <v>-2.3954794799700002E-3</v>
      </c>
      <c r="IB15" s="397">
        <v>0</v>
      </c>
      <c r="IC15" s="397">
        <v>-0.47</v>
      </c>
      <c r="ID15" s="405">
        <v>0</v>
      </c>
      <c r="IE15" s="405">
        <v>0</v>
      </c>
      <c r="IF15" s="405">
        <v>0</v>
      </c>
      <c r="IG15" s="405">
        <v>0</v>
      </c>
      <c r="IH15" s="405">
        <v>0</v>
      </c>
      <c r="II15" s="405">
        <v>0</v>
      </c>
      <c r="IJ15" s="405">
        <v>0</v>
      </c>
      <c r="IK15" s="405">
        <v>0</v>
      </c>
      <c r="IL15" s="405">
        <v>0</v>
      </c>
      <c r="IM15" s="405">
        <v>0</v>
      </c>
      <c r="IN15" s="405">
        <v>0</v>
      </c>
      <c r="IO15" s="405">
        <v>0</v>
      </c>
      <c r="IP15" s="404">
        <v>-55.82</v>
      </c>
      <c r="IQ15" s="404">
        <v>-11.99</v>
      </c>
      <c r="IR15" s="404">
        <v>-19.61</v>
      </c>
      <c r="IS15" s="404">
        <v>-12.92</v>
      </c>
      <c r="IT15" s="404">
        <v>-1.07225369578546</v>
      </c>
      <c r="IU15" s="404">
        <v>-0.59</v>
      </c>
      <c r="IV15" s="404">
        <v>-0.12913436945737</v>
      </c>
      <c r="IW15" s="404">
        <v>0</v>
      </c>
      <c r="IX15" s="404">
        <v>0</v>
      </c>
      <c r="IY15" s="404">
        <v>0</v>
      </c>
      <c r="IZ15" s="404">
        <v>-0.75737307686747002</v>
      </c>
      <c r="JA15" s="404">
        <v>0</v>
      </c>
      <c r="JB15" s="404">
        <v>-0.15496124334884001</v>
      </c>
      <c r="JC15" s="404">
        <v>0</v>
      </c>
      <c r="JD15" s="404">
        <v>0</v>
      </c>
      <c r="JE15" s="404">
        <v>0</v>
      </c>
      <c r="JF15" s="404">
        <v>-1.39367584496439</v>
      </c>
      <c r="JG15" s="404">
        <v>0</v>
      </c>
      <c r="JH15" s="404">
        <v>0</v>
      </c>
      <c r="JI15" s="404">
        <v>0</v>
      </c>
      <c r="JJ15" s="404">
        <v>0</v>
      </c>
      <c r="JK15" s="404">
        <v>0</v>
      </c>
      <c r="JL15" s="404">
        <v>0</v>
      </c>
      <c r="JM15" s="404">
        <v>0</v>
      </c>
      <c r="JN15" s="404">
        <v>-0.15496124334885</v>
      </c>
      <c r="JO15" s="404">
        <v>0</v>
      </c>
      <c r="JP15" s="404">
        <v>0</v>
      </c>
      <c r="JQ15" s="404">
        <v>0</v>
      </c>
      <c r="JR15" s="404">
        <v>-1.3435541332540599</v>
      </c>
      <c r="JS15" s="404">
        <v>0</v>
      </c>
      <c r="JT15" s="404">
        <v>-55.82</v>
      </c>
      <c r="JU15" s="404">
        <v>-11.99</v>
      </c>
      <c r="JV15" s="404">
        <v>-19.61</v>
      </c>
      <c r="JW15" s="404">
        <v>-12.92</v>
      </c>
      <c r="JX15" s="404">
        <v>-0.84497718120804999</v>
      </c>
      <c r="JY15" s="404">
        <v>-0.9</v>
      </c>
      <c r="JZ15" s="404">
        <v>0</v>
      </c>
      <c r="KA15" s="404">
        <v>0</v>
      </c>
      <c r="KB15" s="404">
        <v>0</v>
      </c>
      <c r="KC15" s="404">
        <v>0</v>
      </c>
      <c r="KD15" s="404">
        <v>0</v>
      </c>
      <c r="KE15" s="404">
        <v>0</v>
      </c>
      <c r="KF15" s="404">
        <v>0</v>
      </c>
      <c r="KG15" s="404">
        <v>0</v>
      </c>
      <c r="KH15" s="404">
        <v>0</v>
      </c>
      <c r="KI15" s="404">
        <v>0</v>
      </c>
      <c r="KJ15" s="404">
        <v>0</v>
      </c>
      <c r="KK15" s="404">
        <v>0</v>
      </c>
      <c r="KL15" s="404">
        <v>0</v>
      </c>
      <c r="KM15" s="404">
        <v>0</v>
      </c>
      <c r="KN15" s="404">
        <v>0</v>
      </c>
      <c r="KO15" s="404">
        <v>0</v>
      </c>
      <c r="KP15" s="404">
        <v>0</v>
      </c>
      <c r="KQ15" s="404">
        <v>0</v>
      </c>
      <c r="KR15" s="404">
        <v>0</v>
      </c>
      <c r="KS15" s="404">
        <v>0</v>
      </c>
      <c r="KT15" s="404">
        <v>0</v>
      </c>
      <c r="KU15" s="404">
        <v>0</v>
      </c>
      <c r="KV15" s="404">
        <v>0</v>
      </c>
      <c r="KW15" s="404">
        <v>0</v>
      </c>
      <c r="KX15" s="404">
        <v>1.0046888903139199</v>
      </c>
      <c r="KY15" s="404">
        <v>0.16710577309979999</v>
      </c>
      <c r="KZ15" s="404">
        <v>-0.20275762945598999</v>
      </c>
      <c r="LA15" s="404">
        <v>1.2390474038300001E-2</v>
      </c>
      <c r="LB15" s="404">
        <v>-5.5329298001249999E-2</v>
      </c>
      <c r="LC15" s="404">
        <v>-0.44750344212965998</v>
      </c>
      <c r="LD15" s="404">
        <v>-2.6800558377699998E-3</v>
      </c>
      <c r="LE15" s="404">
        <v>0</v>
      </c>
      <c r="LF15" s="404">
        <v>0</v>
      </c>
      <c r="LG15" s="404">
        <v>0</v>
      </c>
      <c r="LH15" s="404">
        <v>4.3345790606010001E-2</v>
      </c>
      <c r="LI15" s="404">
        <v>0</v>
      </c>
      <c r="LJ15" s="404">
        <v>0</v>
      </c>
      <c r="LK15" s="404">
        <v>0</v>
      </c>
      <c r="LL15" s="404">
        <v>0</v>
      </c>
      <c r="LM15" s="404">
        <v>0</v>
      </c>
      <c r="LN15" s="404">
        <v>0.14138326334163001</v>
      </c>
      <c r="LO15" s="404">
        <v>-6.76163329988798</v>
      </c>
      <c r="LP15" s="404">
        <v>0.12020443037641</v>
      </c>
      <c r="LQ15" s="404">
        <v>0</v>
      </c>
      <c r="LR15" s="404">
        <v>0</v>
      </c>
      <c r="LS15" s="404">
        <v>0</v>
      </c>
      <c r="LT15" s="404">
        <v>0</v>
      </c>
      <c r="LU15" s="404">
        <v>-3.11</v>
      </c>
      <c r="LV15" s="401">
        <v>6.8506595710599999E-3</v>
      </c>
      <c r="LW15" s="401">
        <v>0</v>
      </c>
      <c r="LX15" s="401">
        <v>0</v>
      </c>
      <c r="LY15" s="401">
        <v>0</v>
      </c>
      <c r="LZ15" s="401">
        <v>0</v>
      </c>
      <c r="MA15" s="401">
        <v>-0.43889541996992998</v>
      </c>
      <c r="MB15" s="404">
        <v>0</v>
      </c>
      <c r="MC15" s="404">
        <v>0</v>
      </c>
      <c r="MD15" s="404">
        <v>0</v>
      </c>
      <c r="ME15" s="404">
        <v>0</v>
      </c>
      <c r="MF15" s="404">
        <v>0</v>
      </c>
      <c r="MG15" s="404">
        <v>0</v>
      </c>
    </row>
    <row r="16" spans="1:351" ht="18" customHeight="1">
      <c r="A16" s="10" t="s">
        <v>7</v>
      </c>
      <c r="B16" s="15">
        <v>-0.6</v>
      </c>
      <c r="C16" s="15">
        <v>-0.3</v>
      </c>
      <c r="D16" s="15">
        <v>-0.3</v>
      </c>
      <c r="E16" s="255">
        <v>710.87615148413511</v>
      </c>
      <c r="F16" s="256">
        <v>-1.3</v>
      </c>
      <c r="G16" s="16">
        <v>-6.1</v>
      </c>
      <c r="H16" s="16">
        <v>-6.1</v>
      </c>
      <c r="I16" s="5">
        <v>2171.6667850440722</v>
      </c>
      <c r="J16" s="6">
        <v>12</v>
      </c>
      <c r="K16" s="6">
        <v>374.51960000000003</v>
      </c>
      <c r="L16" s="17">
        <v>0.6</v>
      </c>
      <c r="M16" s="17">
        <v>0.3</v>
      </c>
      <c r="N16" s="17">
        <v>0.3</v>
      </c>
      <c r="O16" s="16">
        <v>4.2</v>
      </c>
      <c r="P16" s="16">
        <v>0</v>
      </c>
      <c r="Q16" s="16">
        <v>92.4</v>
      </c>
      <c r="R16" s="16">
        <v>3.4</v>
      </c>
      <c r="S16" s="252">
        <v>0</v>
      </c>
      <c r="T16" s="303">
        <v>2</v>
      </c>
      <c r="U16" s="304">
        <v>1.5</v>
      </c>
      <c r="V16" s="303">
        <v>1</v>
      </c>
      <c r="W16" s="304">
        <v>0.8</v>
      </c>
      <c r="X16" s="304">
        <v>0.5</v>
      </c>
      <c r="Y16" s="5">
        <v>10221.459910814488</v>
      </c>
      <c r="Z16" s="14">
        <v>1.45</v>
      </c>
      <c r="AA16" s="5">
        <v>166.11489555454111</v>
      </c>
      <c r="AB16" s="17">
        <v>0.5</v>
      </c>
      <c r="AC16" s="17">
        <v>0.5</v>
      </c>
      <c r="AD16" s="17">
        <v>0.5</v>
      </c>
      <c r="AE16" s="254">
        <v>0.19961001253043553</v>
      </c>
      <c r="AF16" s="254">
        <v>0.18771489791382917</v>
      </c>
      <c r="AG16" s="18">
        <v>3.7611188074745966E-4</v>
      </c>
      <c r="AH16" s="18">
        <v>0.16599071003654553</v>
      </c>
      <c r="AI16" s="18">
        <v>0.33962902831495606</v>
      </c>
      <c r="AJ16" s="18">
        <v>58.709309395901634</v>
      </c>
      <c r="AK16" s="18">
        <v>1.1223178521504196</v>
      </c>
      <c r="AL16" s="18"/>
      <c r="AM16" s="18">
        <v>39.43332476634049</v>
      </c>
      <c r="AN16" s="18">
        <v>5.578992897753985E-2</v>
      </c>
      <c r="AO16" s="18"/>
      <c r="AP16" s="18"/>
      <c r="AQ16" s="18"/>
      <c r="AR16" s="18"/>
      <c r="AS16" s="18"/>
      <c r="AT16" s="18"/>
      <c r="AU16" s="18">
        <v>0.1732622063976631</v>
      </c>
      <c r="AV16" s="304">
        <v>0.3</v>
      </c>
      <c r="AW16" s="304">
        <v>0.7</v>
      </c>
      <c r="AX16" s="304">
        <v>1.2</v>
      </c>
      <c r="AY16" s="304">
        <v>1.2</v>
      </c>
      <c r="AZ16" s="303">
        <v>3</v>
      </c>
      <c r="BA16" s="6">
        <v>0</v>
      </c>
      <c r="BB16" s="6">
        <v>18</v>
      </c>
      <c r="BC16" s="5">
        <f t="shared" si="348"/>
        <v>0</v>
      </c>
      <c r="BD16" s="17">
        <v>2.4</v>
      </c>
      <c r="BE16" s="17">
        <v>1.2</v>
      </c>
      <c r="BF16" s="17">
        <v>1.2</v>
      </c>
      <c r="BG16" s="6">
        <v>5.7196825024484994</v>
      </c>
      <c r="BH16" s="6">
        <v>18</v>
      </c>
      <c r="BI16" s="5">
        <v>5146.7433367451385</v>
      </c>
      <c r="BJ16" s="17">
        <v>2.4</v>
      </c>
      <c r="BK16" s="17">
        <v>1.2</v>
      </c>
      <c r="BL16" s="17">
        <v>1.2</v>
      </c>
      <c r="BM16" s="5">
        <v>313.51780510470144</v>
      </c>
      <c r="BN16" s="6">
        <v>179.9</v>
      </c>
      <c r="BO16" s="6">
        <v>5816.2772773797442</v>
      </c>
      <c r="BP16" s="17">
        <v>2.4</v>
      </c>
      <c r="BQ16" s="17">
        <v>1.2</v>
      </c>
      <c r="BR16" s="17">
        <v>1.2</v>
      </c>
      <c r="BS16" s="221">
        <v>2</v>
      </c>
      <c r="BT16" s="54">
        <v>1.5</v>
      </c>
      <c r="BU16" s="54">
        <v>0.7</v>
      </c>
      <c r="BV16" s="54">
        <v>0.7</v>
      </c>
      <c r="BW16" s="54">
        <v>0.5</v>
      </c>
      <c r="BX16" s="5">
        <v>117.28496305452052</v>
      </c>
      <c r="BY16" s="5">
        <v>9549.5810214944104</v>
      </c>
      <c r="BZ16" s="17">
        <v>2.2000000000000002</v>
      </c>
      <c r="CA16" s="17">
        <v>1.3</v>
      </c>
      <c r="CB16" s="17">
        <v>1.3</v>
      </c>
      <c r="CC16" s="221">
        <v>2</v>
      </c>
      <c r="CD16" s="221">
        <v>2</v>
      </c>
      <c r="CE16" s="221">
        <v>1</v>
      </c>
      <c r="CF16" s="221">
        <v>1</v>
      </c>
      <c r="CG16" s="54">
        <v>0.5</v>
      </c>
      <c r="CH16" s="5">
        <v>162.58874371836629</v>
      </c>
      <c r="CI16" s="5">
        <v>500</v>
      </c>
      <c r="CJ16" s="19">
        <v>1.3</v>
      </c>
      <c r="CK16" s="19">
        <v>0.9</v>
      </c>
      <c r="CL16" s="19">
        <v>0.9</v>
      </c>
      <c r="CM16" s="54">
        <v>2</v>
      </c>
      <c r="CN16" s="54">
        <v>1.5</v>
      </c>
      <c r="CO16" s="54">
        <v>0.5</v>
      </c>
      <c r="CP16" s="54">
        <v>1</v>
      </c>
      <c r="CQ16" s="54">
        <v>0.5</v>
      </c>
      <c r="CR16" s="5"/>
      <c r="CS16" s="8">
        <v>29</v>
      </c>
      <c r="CT16" s="17">
        <v>1.2</v>
      </c>
      <c r="CU16" s="17">
        <v>0.9</v>
      </c>
      <c r="CV16" s="17">
        <v>0.9</v>
      </c>
      <c r="CW16" s="54">
        <v>2</v>
      </c>
      <c r="CX16" s="54">
        <v>1</v>
      </c>
      <c r="CY16" s="54">
        <v>0.5</v>
      </c>
      <c r="CZ16" s="54">
        <v>0.7</v>
      </c>
      <c r="DA16" s="54">
        <v>0.2</v>
      </c>
      <c r="DB16" s="403">
        <v>0</v>
      </c>
      <c r="DC16" s="403">
        <v>0</v>
      </c>
      <c r="DD16" s="403">
        <v>0</v>
      </c>
      <c r="DE16" s="403">
        <v>0</v>
      </c>
      <c r="DF16" s="403">
        <v>0</v>
      </c>
      <c r="DG16" s="403">
        <v>0</v>
      </c>
      <c r="DH16" s="403">
        <v>0</v>
      </c>
      <c r="DI16" s="403">
        <v>0</v>
      </c>
      <c r="DJ16" s="403">
        <v>0</v>
      </c>
      <c r="DK16" s="403">
        <v>0</v>
      </c>
      <c r="DL16" s="403">
        <v>0</v>
      </c>
      <c r="DM16" s="403">
        <v>0</v>
      </c>
      <c r="DN16" s="403">
        <v>0</v>
      </c>
      <c r="DO16" s="403">
        <v>0</v>
      </c>
      <c r="DP16" s="403">
        <v>0</v>
      </c>
      <c r="DQ16" s="403">
        <v>0</v>
      </c>
      <c r="DR16" s="403">
        <v>0</v>
      </c>
      <c r="DS16" s="403">
        <v>0</v>
      </c>
      <c r="DT16" s="403">
        <v>0</v>
      </c>
      <c r="DU16" s="403">
        <v>0</v>
      </c>
      <c r="DV16" s="403">
        <v>0</v>
      </c>
      <c r="DW16" s="403">
        <v>0</v>
      </c>
      <c r="DX16" s="403">
        <v>0</v>
      </c>
      <c r="DY16" s="403">
        <v>0</v>
      </c>
      <c r="DZ16" s="404">
        <v>0</v>
      </c>
      <c r="EA16" s="404">
        <v>0</v>
      </c>
      <c r="EB16" s="404">
        <v>0</v>
      </c>
      <c r="EC16" s="404">
        <v>0</v>
      </c>
      <c r="ED16" s="404">
        <v>0</v>
      </c>
      <c r="EE16" s="404">
        <v>0</v>
      </c>
      <c r="EF16" s="404">
        <v>2.3331596698950001</v>
      </c>
      <c r="EG16" s="404">
        <v>0</v>
      </c>
      <c r="EH16" s="404">
        <v>0</v>
      </c>
      <c r="EI16" s="404">
        <v>0.98609088910742004</v>
      </c>
      <c r="EJ16" s="404">
        <v>9.6999770847580005E-2</v>
      </c>
      <c r="EK16" s="404">
        <v>-0.74905005460903995</v>
      </c>
      <c r="EL16" s="404">
        <v>2.3331596698949899</v>
      </c>
      <c r="EM16" s="404">
        <v>0</v>
      </c>
      <c r="EN16" s="404">
        <v>0</v>
      </c>
      <c r="EO16" s="404">
        <v>0.98609088910742004</v>
      </c>
      <c r="EP16" s="404">
        <v>0</v>
      </c>
      <c r="EQ16" s="404">
        <v>-0.74905005460903995</v>
      </c>
      <c r="ER16" s="404">
        <v>0</v>
      </c>
      <c r="ES16" s="404">
        <v>0</v>
      </c>
      <c r="ET16" s="404">
        <v>0</v>
      </c>
      <c r="EU16" s="404">
        <v>0</v>
      </c>
      <c r="EV16" s="404">
        <v>0</v>
      </c>
      <c r="EW16" s="404">
        <v>0</v>
      </c>
      <c r="EX16" s="404">
        <v>0</v>
      </c>
      <c r="EY16" s="404">
        <v>0</v>
      </c>
      <c r="EZ16" s="404">
        <v>0</v>
      </c>
      <c r="FA16" s="404">
        <v>0</v>
      </c>
      <c r="FB16" s="404">
        <v>0</v>
      </c>
      <c r="FC16" s="404">
        <v>0</v>
      </c>
      <c r="FD16" s="404">
        <v>0</v>
      </c>
      <c r="FE16" s="404">
        <v>0</v>
      </c>
      <c r="FF16" s="404">
        <v>0</v>
      </c>
      <c r="FG16" s="404">
        <v>0</v>
      </c>
      <c r="FH16" s="404">
        <v>0</v>
      </c>
      <c r="FI16" s="404">
        <v>0</v>
      </c>
      <c r="FJ16" s="404">
        <v>0</v>
      </c>
      <c r="FK16" s="404">
        <v>0</v>
      </c>
      <c r="FL16" s="404">
        <v>0</v>
      </c>
      <c r="FM16" s="404">
        <v>0</v>
      </c>
      <c r="FN16" s="404">
        <v>0</v>
      </c>
      <c r="FO16" s="404">
        <v>0</v>
      </c>
      <c r="FP16" s="404">
        <v>0</v>
      </c>
      <c r="FQ16" s="404">
        <v>0</v>
      </c>
      <c r="FR16" s="404">
        <v>0</v>
      </c>
      <c r="FS16" s="404">
        <v>0</v>
      </c>
      <c r="FT16" s="404">
        <v>0</v>
      </c>
      <c r="FU16" s="404">
        <v>0</v>
      </c>
      <c r="FV16" s="404">
        <v>0</v>
      </c>
      <c r="FW16" s="404">
        <v>0</v>
      </c>
      <c r="FX16" s="404">
        <v>0</v>
      </c>
      <c r="FY16" s="404">
        <v>0</v>
      </c>
      <c r="FZ16" s="404">
        <v>0</v>
      </c>
      <c r="GA16" s="404">
        <v>0</v>
      </c>
      <c r="GB16" s="404">
        <v>0</v>
      </c>
      <c r="GC16" s="404">
        <v>0</v>
      </c>
      <c r="GD16" s="404">
        <v>0</v>
      </c>
      <c r="GE16" s="404">
        <v>0</v>
      </c>
      <c r="GF16" s="404">
        <v>0</v>
      </c>
      <c r="GG16" s="404">
        <v>0</v>
      </c>
      <c r="GH16" s="404">
        <v>-55.82</v>
      </c>
      <c r="GI16" s="404">
        <v>-11.99</v>
      </c>
      <c r="GJ16" s="404">
        <v>-19.61</v>
      </c>
      <c r="GK16" s="404">
        <v>-12.92</v>
      </c>
      <c r="GL16" s="404">
        <v>4.6060068064949999E-2</v>
      </c>
      <c r="GM16" s="404">
        <v>-3.91</v>
      </c>
      <c r="GN16" s="404">
        <v>0</v>
      </c>
      <c r="GO16" s="404">
        <v>0</v>
      </c>
      <c r="GP16" s="404">
        <v>0</v>
      </c>
      <c r="GQ16" s="404">
        <v>0</v>
      </c>
      <c r="GR16" s="404">
        <v>0</v>
      </c>
      <c r="GS16" s="404">
        <v>0</v>
      </c>
      <c r="GT16" s="404">
        <v>0</v>
      </c>
      <c r="GU16" s="404">
        <v>0</v>
      </c>
      <c r="GV16" s="404">
        <v>0</v>
      </c>
      <c r="GW16" s="404">
        <v>0</v>
      </c>
      <c r="GX16" s="404">
        <v>0</v>
      </c>
      <c r="GY16" s="404">
        <v>0</v>
      </c>
      <c r="GZ16" s="404">
        <v>0</v>
      </c>
      <c r="HA16" s="404">
        <v>0</v>
      </c>
      <c r="HB16" s="404">
        <v>0</v>
      </c>
      <c r="HC16" s="404">
        <v>0</v>
      </c>
      <c r="HD16" s="404">
        <v>0</v>
      </c>
      <c r="HE16" s="404">
        <v>0</v>
      </c>
      <c r="HF16" s="404">
        <v>0</v>
      </c>
      <c r="HG16" s="404">
        <v>0</v>
      </c>
      <c r="HH16" s="404">
        <v>0</v>
      </c>
      <c r="HI16" s="404">
        <v>0</v>
      </c>
      <c r="HJ16" s="404">
        <v>0</v>
      </c>
      <c r="HK16" s="404">
        <v>0</v>
      </c>
      <c r="HL16" s="397">
        <v>-0.6</v>
      </c>
      <c r="HM16" s="405">
        <v>0</v>
      </c>
      <c r="HN16" s="405">
        <v>0</v>
      </c>
      <c r="HO16" s="405">
        <v>0</v>
      </c>
      <c r="HP16" s="405">
        <v>0</v>
      </c>
      <c r="HQ16" s="397">
        <v>-3.1108822695035498</v>
      </c>
      <c r="HR16" s="397">
        <v>0.1</v>
      </c>
      <c r="HS16" s="397">
        <v>0</v>
      </c>
      <c r="HT16" s="397">
        <v>0</v>
      </c>
      <c r="HU16" s="397">
        <v>0</v>
      </c>
      <c r="HV16" s="397">
        <v>0</v>
      </c>
      <c r="HW16" s="397">
        <v>0.23</v>
      </c>
      <c r="HX16" s="397">
        <v>-9.0767508396599993E-3</v>
      </c>
      <c r="HY16" s="397">
        <v>0</v>
      </c>
      <c r="HZ16" s="397">
        <v>0</v>
      </c>
      <c r="IA16" s="397">
        <v>-2.3954794799700002E-3</v>
      </c>
      <c r="IB16" s="397">
        <v>0</v>
      </c>
      <c r="IC16" s="397">
        <v>-0.47</v>
      </c>
      <c r="ID16" s="405">
        <v>0</v>
      </c>
      <c r="IE16" s="405">
        <v>0</v>
      </c>
      <c r="IF16" s="405">
        <v>0</v>
      </c>
      <c r="IG16" s="405">
        <v>0</v>
      </c>
      <c r="IH16" s="405">
        <v>0</v>
      </c>
      <c r="II16" s="405">
        <v>0</v>
      </c>
      <c r="IJ16" s="405">
        <v>0</v>
      </c>
      <c r="IK16" s="405">
        <v>0</v>
      </c>
      <c r="IL16" s="405">
        <v>0</v>
      </c>
      <c r="IM16" s="405">
        <v>0</v>
      </c>
      <c r="IN16" s="405">
        <v>0</v>
      </c>
      <c r="IO16" s="405">
        <v>0</v>
      </c>
      <c r="IP16" s="404">
        <v>-55.82</v>
      </c>
      <c r="IQ16" s="404">
        <v>-11.99</v>
      </c>
      <c r="IR16" s="404">
        <v>-19.61</v>
      </c>
      <c r="IS16" s="404">
        <v>-12.92</v>
      </c>
      <c r="IT16" s="404">
        <v>-1.07225369578546</v>
      </c>
      <c r="IU16" s="404">
        <v>-0.59</v>
      </c>
      <c r="IV16" s="404">
        <v>-0.12913436945737</v>
      </c>
      <c r="IW16" s="404">
        <v>0</v>
      </c>
      <c r="IX16" s="404">
        <v>0</v>
      </c>
      <c r="IY16" s="404">
        <v>0</v>
      </c>
      <c r="IZ16" s="404">
        <v>-0.75737307686747002</v>
      </c>
      <c r="JA16" s="404">
        <v>0</v>
      </c>
      <c r="JB16" s="404">
        <v>-0.15496124334884001</v>
      </c>
      <c r="JC16" s="404">
        <v>0</v>
      </c>
      <c r="JD16" s="404">
        <v>0</v>
      </c>
      <c r="JE16" s="404">
        <v>0</v>
      </c>
      <c r="JF16" s="404">
        <v>-1.39367584496439</v>
      </c>
      <c r="JG16" s="404">
        <v>0</v>
      </c>
      <c r="JH16" s="404">
        <v>0</v>
      </c>
      <c r="JI16" s="404">
        <v>0</v>
      </c>
      <c r="JJ16" s="404">
        <v>0</v>
      </c>
      <c r="JK16" s="404">
        <v>0</v>
      </c>
      <c r="JL16" s="404">
        <v>0</v>
      </c>
      <c r="JM16" s="404">
        <v>0</v>
      </c>
      <c r="JN16" s="404">
        <v>-0.15496124334885</v>
      </c>
      <c r="JO16" s="404">
        <v>0</v>
      </c>
      <c r="JP16" s="404">
        <v>0</v>
      </c>
      <c r="JQ16" s="404">
        <v>0</v>
      </c>
      <c r="JR16" s="404">
        <v>-1.3435541332540599</v>
      </c>
      <c r="JS16" s="404">
        <v>0</v>
      </c>
      <c r="JT16" s="404">
        <v>-55.82</v>
      </c>
      <c r="JU16" s="404">
        <v>-11.99</v>
      </c>
      <c r="JV16" s="404">
        <v>-19.61</v>
      </c>
      <c r="JW16" s="404">
        <v>-12.92</v>
      </c>
      <c r="JX16" s="404">
        <v>-0.84497718120804999</v>
      </c>
      <c r="JY16" s="404">
        <v>-0.9</v>
      </c>
      <c r="JZ16" s="404">
        <v>0</v>
      </c>
      <c r="KA16" s="404">
        <v>0</v>
      </c>
      <c r="KB16" s="404">
        <v>0</v>
      </c>
      <c r="KC16" s="404">
        <v>0</v>
      </c>
      <c r="KD16" s="404">
        <v>0</v>
      </c>
      <c r="KE16" s="404">
        <v>0</v>
      </c>
      <c r="KF16" s="404">
        <v>0</v>
      </c>
      <c r="KG16" s="404">
        <v>0</v>
      </c>
      <c r="KH16" s="404">
        <v>0</v>
      </c>
      <c r="KI16" s="404">
        <v>0</v>
      </c>
      <c r="KJ16" s="404">
        <v>0</v>
      </c>
      <c r="KK16" s="404">
        <v>0</v>
      </c>
      <c r="KL16" s="404">
        <v>0</v>
      </c>
      <c r="KM16" s="404">
        <v>0</v>
      </c>
      <c r="KN16" s="404">
        <v>0</v>
      </c>
      <c r="KO16" s="404">
        <v>0</v>
      </c>
      <c r="KP16" s="404">
        <v>0</v>
      </c>
      <c r="KQ16" s="404">
        <v>0</v>
      </c>
      <c r="KR16" s="404">
        <v>0</v>
      </c>
      <c r="KS16" s="404">
        <v>0</v>
      </c>
      <c r="KT16" s="404">
        <v>0</v>
      </c>
      <c r="KU16" s="404">
        <v>0</v>
      </c>
      <c r="KV16" s="404">
        <v>0</v>
      </c>
      <c r="KW16" s="404">
        <v>0</v>
      </c>
      <c r="KX16" s="404">
        <v>1.0046888903139199</v>
      </c>
      <c r="KY16" s="404">
        <v>0.16710577309979999</v>
      </c>
      <c r="KZ16" s="404">
        <v>-0.20275762945598999</v>
      </c>
      <c r="LA16" s="404">
        <v>1.2390474038300001E-2</v>
      </c>
      <c r="LB16" s="404">
        <v>-5.5329298001249999E-2</v>
      </c>
      <c r="LC16" s="404">
        <v>-0.44750344212965998</v>
      </c>
      <c r="LD16" s="404">
        <v>-2.6800558377699998E-3</v>
      </c>
      <c r="LE16" s="404">
        <v>0</v>
      </c>
      <c r="LF16" s="404">
        <v>0</v>
      </c>
      <c r="LG16" s="404">
        <v>0</v>
      </c>
      <c r="LH16" s="404">
        <v>4.3345790606010001E-2</v>
      </c>
      <c r="LI16" s="404">
        <v>0</v>
      </c>
      <c r="LJ16" s="404">
        <v>0</v>
      </c>
      <c r="LK16" s="404">
        <v>0</v>
      </c>
      <c r="LL16" s="404">
        <v>0</v>
      </c>
      <c r="LM16" s="404">
        <v>0</v>
      </c>
      <c r="LN16" s="404">
        <v>0.14138326334163001</v>
      </c>
      <c r="LO16" s="404">
        <v>-6.76163329988798</v>
      </c>
      <c r="LP16" s="404">
        <v>0.12020443037641</v>
      </c>
      <c r="LQ16" s="404">
        <v>0</v>
      </c>
      <c r="LR16" s="404">
        <v>0</v>
      </c>
      <c r="LS16" s="404">
        <v>0</v>
      </c>
      <c r="LT16" s="404">
        <v>0</v>
      </c>
      <c r="LU16" s="404">
        <v>-3.11</v>
      </c>
      <c r="LV16" s="401">
        <v>6.8506595710599999E-3</v>
      </c>
      <c r="LW16" s="401">
        <v>0</v>
      </c>
      <c r="LX16" s="401">
        <v>0</v>
      </c>
      <c r="LY16" s="401">
        <v>0</v>
      </c>
      <c r="LZ16" s="401">
        <v>0</v>
      </c>
      <c r="MA16" s="401">
        <v>-0.43889541996992998</v>
      </c>
      <c r="MB16" s="404">
        <v>0</v>
      </c>
      <c r="MC16" s="404">
        <v>0</v>
      </c>
      <c r="MD16" s="404">
        <v>0</v>
      </c>
      <c r="ME16" s="404">
        <v>0</v>
      </c>
      <c r="MF16" s="404">
        <v>0</v>
      </c>
      <c r="MG16" s="404">
        <v>0</v>
      </c>
    </row>
    <row r="17" spans="1:345" ht="18" customHeight="1">
      <c r="A17" s="10" t="s">
        <v>0</v>
      </c>
      <c r="B17" s="15">
        <v>0.5</v>
      </c>
      <c r="C17" s="15">
        <v>0.2</v>
      </c>
      <c r="D17" s="15">
        <v>0.2</v>
      </c>
      <c r="E17" s="255">
        <v>100.05590062111801</v>
      </c>
      <c r="F17" s="253">
        <v>-1</v>
      </c>
      <c r="G17" s="20">
        <v>-5.5</v>
      </c>
      <c r="H17" s="20">
        <v>-5.5</v>
      </c>
      <c r="I17" s="5">
        <v>1458.7130772690623</v>
      </c>
      <c r="J17" s="6">
        <v>12</v>
      </c>
      <c r="K17" s="6">
        <v>369.21589999999998</v>
      </c>
      <c r="L17" s="17">
        <v>0.3</v>
      </c>
      <c r="M17" s="17">
        <v>0.3</v>
      </c>
      <c r="N17" s="17">
        <v>0.3</v>
      </c>
      <c r="O17" s="16">
        <v>0.2</v>
      </c>
      <c r="P17" s="16">
        <v>0</v>
      </c>
      <c r="Q17" s="16">
        <v>99.3</v>
      </c>
      <c r="R17" s="16">
        <v>0.5</v>
      </c>
      <c r="S17" s="252">
        <v>0</v>
      </c>
      <c r="T17" s="303">
        <v>2</v>
      </c>
      <c r="U17" s="304">
        <v>1.5</v>
      </c>
      <c r="V17" s="303">
        <v>1</v>
      </c>
      <c r="W17" s="304">
        <v>0.8</v>
      </c>
      <c r="X17" s="304">
        <v>0.5</v>
      </c>
      <c r="Y17" s="5">
        <v>12289.839372885832</v>
      </c>
      <c r="Z17" s="14">
        <v>1.4</v>
      </c>
      <c r="AA17" s="5">
        <v>162.60882379589421</v>
      </c>
      <c r="AB17" s="17">
        <v>0.4</v>
      </c>
      <c r="AC17" s="17">
        <v>0.2</v>
      </c>
      <c r="AD17" s="17">
        <v>0.2</v>
      </c>
      <c r="AE17" s="254">
        <v>0.19114158509188137</v>
      </c>
      <c r="AF17" s="254">
        <v>0.18505357455305277</v>
      </c>
      <c r="AG17" s="18">
        <v>5.6039534770990237E-5</v>
      </c>
      <c r="AH17" s="18">
        <v>8.8962761448946992E-2</v>
      </c>
      <c r="AI17" s="18">
        <v>0.53534567566726976</v>
      </c>
      <c r="AJ17" s="18">
        <v>70.801132783155865</v>
      </c>
      <c r="AK17" s="18">
        <v>1.5043813109272328</v>
      </c>
      <c r="AL17" s="18">
        <v>0.64453870916854428</v>
      </c>
      <c r="AM17" s="18">
        <v>25.859835596816843</v>
      </c>
      <c r="AN17" s="18">
        <v>5.5955475468833754E-2</v>
      </c>
      <c r="AO17" s="18">
        <v>5.884151150953975E-2</v>
      </c>
      <c r="AP17" s="18">
        <v>2.8019767385495118E-5</v>
      </c>
      <c r="AQ17" s="18">
        <v>0.12541647881747614</v>
      </c>
      <c r="AR17" s="18"/>
      <c r="AS17" s="18">
        <v>0.18554689962674867</v>
      </c>
      <c r="AT17" s="18">
        <v>4.6232616186066946E-3</v>
      </c>
      <c r="AU17" s="18">
        <v>0.13533547647194144</v>
      </c>
      <c r="AV17" s="304">
        <v>0.3</v>
      </c>
      <c r="AW17" s="304">
        <v>0.7</v>
      </c>
      <c r="AX17" s="304">
        <v>1.2</v>
      </c>
      <c r="AY17" s="304">
        <v>1.2</v>
      </c>
      <c r="AZ17" s="303">
        <v>3</v>
      </c>
      <c r="BA17" s="6">
        <v>3.2864804877400982</v>
      </c>
      <c r="BB17" s="6">
        <v>18</v>
      </c>
      <c r="BC17" s="5">
        <f t="shared" si="348"/>
        <v>59.15664877932177</v>
      </c>
      <c r="BD17" s="17">
        <v>1.1000000000000001</v>
      </c>
      <c r="BE17" s="17">
        <v>0.9</v>
      </c>
      <c r="BF17" s="17">
        <v>0.9</v>
      </c>
      <c r="BG17" s="6">
        <v>3.2864804877400982</v>
      </c>
      <c r="BH17" s="6">
        <v>18</v>
      </c>
      <c r="BI17" s="5">
        <v>824.46062111801245</v>
      </c>
      <c r="BJ17" s="17">
        <v>1.1000000000000001</v>
      </c>
      <c r="BK17" s="17">
        <v>0.9</v>
      </c>
      <c r="BL17" s="17">
        <v>0.9</v>
      </c>
      <c r="BM17" s="5">
        <v>819.51023466183142</v>
      </c>
      <c r="BN17" s="6">
        <v>179.9</v>
      </c>
      <c r="BO17" s="6">
        <v>1347.7038941542869</v>
      </c>
      <c r="BP17" s="17">
        <v>1.1000000000000001</v>
      </c>
      <c r="BQ17" s="17">
        <v>0.9</v>
      </c>
      <c r="BR17" s="17">
        <v>0.9</v>
      </c>
      <c r="BS17" s="221">
        <v>2</v>
      </c>
      <c r="BT17" s="54">
        <v>1.5</v>
      </c>
      <c r="BU17" s="54">
        <v>0.7</v>
      </c>
      <c r="BV17" s="54">
        <v>0.7</v>
      </c>
      <c r="BW17" s="54">
        <v>0.5</v>
      </c>
      <c r="BX17" s="5">
        <v>100.26078134111631</v>
      </c>
      <c r="BY17" s="5">
        <v>1717.4042171843203</v>
      </c>
      <c r="BZ17" s="17">
        <v>1.5</v>
      </c>
      <c r="CA17" s="17">
        <v>1.4</v>
      </c>
      <c r="CB17" s="17">
        <v>1.4</v>
      </c>
      <c r="CC17" s="221">
        <v>2</v>
      </c>
      <c r="CD17" s="221">
        <v>2</v>
      </c>
      <c r="CE17" s="221">
        <v>1</v>
      </c>
      <c r="CF17" s="221">
        <v>1</v>
      </c>
      <c r="CG17" s="54">
        <v>0.5</v>
      </c>
      <c r="CH17" s="5">
        <v>269.20068727688226</v>
      </c>
      <c r="CI17" s="5">
        <v>500</v>
      </c>
      <c r="CJ17" s="19">
        <v>1.3</v>
      </c>
      <c r="CK17" s="19">
        <v>0.7</v>
      </c>
      <c r="CL17" s="19">
        <v>0.7</v>
      </c>
      <c r="CM17" s="54">
        <v>2</v>
      </c>
      <c r="CN17" s="54">
        <v>1.5</v>
      </c>
      <c r="CO17" s="54">
        <v>0.5</v>
      </c>
      <c r="CP17" s="54">
        <v>1</v>
      </c>
      <c r="CQ17" s="54">
        <v>0.5</v>
      </c>
      <c r="CR17" s="5">
        <v>22.949900728126259</v>
      </c>
      <c r="CS17" s="8">
        <v>29</v>
      </c>
      <c r="CT17" s="17">
        <v>0.9</v>
      </c>
      <c r="CU17" s="17">
        <v>1.1000000000000001</v>
      </c>
      <c r="CV17" s="17">
        <v>1.1000000000000001</v>
      </c>
      <c r="CW17" s="54">
        <v>2</v>
      </c>
      <c r="CX17" s="54">
        <v>1</v>
      </c>
      <c r="CY17" s="54">
        <v>0.5</v>
      </c>
      <c r="CZ17" s="54">
        <v>0.7</v>
      </c>
      <c r="DA17" s="54">
        <v>0.2</v>
      </c>
      <c r="DB17" s="403">
        <v>0</v>
      </c>
      <c r="DC17" s="403">
        <v>0</v>
      </c>
      <c r="DD17" s="403">
        <v>0</v>
      </c>
      <c r="DE17" s="403">
        <v>0</v>
      </c>
      <c r="DF17" s="403">
        <v>0</v>
      </c>
      <c r="DG17" s="403">
        <v>0</v>
      </c>
      <c r="DH17" s="403">
        <v>0</v>
      </c>
      <c r="DI17" s="403">
        <v>0</v>
      </c>
      <c r="DJ17" s="403">
        <v>0</v>
      </c>
      <c r="DK17" s="403">
        <v>0</v>
      </c>
      <c r="DL17" s="403">
        <v>0</v>
      </c>
      <c r="DM17" s="403">
        <v>0</v>
      </c>
      <c r="DN17" s="403">
        <v>0</v>
      </c>
      <c r="DO17" s="403">
        <v>0</v>
      </c>
      <c r="DP17" s="403">
        <v>0</v>
      </c>
      <c r="DQ17" s="403">
        <v>0</v>
      </c>
      <c r="DR17" s="403">
        <v>0</v>
      </c>
      <c r="DS17" s="403">
        <v>0</v>
      </c>
      <c r="DT17" s="403">
        <v>0</v>
      </c>
      <c r="DU17" s="403">
        <v>0</v>
      </c>
      <c r="DV17" s="403">
        <v>0</v>
      </c>
      <c r="DW17" s="403">
        <v>0</v>
      </c>
      <c r="DX17" s="403">
        <v>0</v>
      </c>
      <c r="DY17" s="403">
        <v>0</v>
      </c>
      <c r="DZ17" s="404">
        <v>0</v>
      </c>
      <c r="EA17" s="404">
        <v>0</v>
      </c>
      <c r="EB17" s="404">
        <v>0</v>
      </c>
      <c r="EC17" s="404">
        <v>0</v>
      </c>
      <c r="ED17" s="404">
        <v>0</v>
      </c>
      <c r="EE17" s="404">
        <v>0</v>
      </c>
      <c r="EF17" s="404">
        <v>2.3331596698950001</v>
      </c>
      <c r="EG17" s="404">
        <v>0</v>
      </c>
      <c r="EH17" s="404">
        <v>0</v>
      </c>
      <c r="EI17" s="404">
        <v>0.98609088910742004</v>
      </c>
      <c r="EJ17" s="404">
        <v>9.6999770847580005E-2</v>
      </c>
      <c r="EK17" s="404">
        <v>-0.74905005460903995</v>
      </c>
      <c r="EL17" s="404">
        <v>2.3331596698949899</v>
      </c>
      <c r="EM17" s="404">
        <v>0</v>
      </c>
      <c r="EN17" s="404">
        <v>0</v>
      </c>
      <c r="EO17" s="404">
        <v>0.98609088910742004</v>
      </c>
      <c r="EP17" s="404">
        <v>0</v>
      </c>
      <c r="EQ17" s="404">
        <v>-0.74905005460903995</v>
      </c>
      <c r="ER17" s="404">
        <v>0</v>
      </c>
      <c r="ES17" s="404">
        <v>0</v>
      </c>
      <c r="ET17" s="404">
        <v>0</v>
      </c>
      <c r="EU17" s="404">
        <v>0</v>
      </c>
      <c r="EV17" s="404">
        <v>0</v>
      </c>
      <c r="EW17" s="404">
        <v>0</v>
      </c>
      <c r="EX17" s="404">
        <v>0</v>
      </c>
      <c r="EY17" s="404">
        <v>0</v>
      </c>
      <c r="EZ17" s="404">
        <v>0</v>
      </c>
      <c r="FA17" s="404">
        <v>0</v>
      </c>
      <c r="FB17" s="404">
        <v>0</v>
      </c>
      <c r="FC17" s="404">
        <v>0</v>
      </c>
      <c r="FD17" s="404">
        <v>0</v>
      </c>
      <c r="FE17" s="404">
        <v>0</v>
      </c>
      <c r="FF17" s="404">
        <v>0</v>
      </c>
      <c r="FG17" s="404">
        <v>0</v>
      </c>
      <c r="FH17" s="404">
        <v>0</v>
      </c>
      <c r="FI17" s="404">
        <v>0</v>
      </c>
      <c r="FJ17" s="404">
        <v>0</v>
      </c>
      <c r="FK17" s="404">
        <v>0</v>
      </c>
      <c r="FL17" s="404">
        <v>0</v>
      </c>
      <c r="FM17" s="404">
        <v>0</v>
      </c>
      <c r="FN17" s="404">
        <v>0</v>
      </c>
      <c r="FO17" s="404">
        <v>0</v>
      </c>
      <c r="FP17" s="404">
        <v>0</v>
      </c>
      <c r="FQ17" s="404">
        <v>0</v>
      </c>
      <c r="FR17" s="404">
        <v>0</v>
      </c>
      <c r="FS17" s="404">
        <v>0</v>
      </c>
      <c r="FT17" s="404">
        <v>0</v>
      </c>
      <c r="FU17" s="404">
        <v>0</v>
      </c>
      <c r="FV17" s="404">
        <v>0</v>
      </c>
      <c r="FW17" s="404">
        <v>0</v>
      </c>
      <c r="FX17" s="404">
        <v>0</v>
      </c>
      <c r="FY17" s="404">
        <v>0</v>
      </c>
      <c r="FZ17" s="404">
        <v>0</v>
      </c>
      <c r="GA17" s="404">
        <v>0</v>
      </c>
      <c r="GB17" s="404">
        <v>0</v>
      </c>
      <c r="GC17" s="404">
        <v>0</v>
      </c>
      <c r="GD17" s="404">
        <v>0</v>
      </c>
      <c r="GE17" s="404">
        <v>0</v>
      </c>
      <c r="GF17" s="404">
        <v>0</v>
      </c>
      <c r="GG17" s="404">
        <v>0</v>
      </c>
      <c r="GH17" s="404">
        <v>-55.82</v>
      </c>
      <c r="GI17" s="404">
        <v>-11.99</v>
      </c>
      <c r="GJ17" s="404">
        <v>-19.61</v>
      </c>
      <c r="GK17" s="404">
        <v>-12.92</v>
      </c>
      <c r="GL17" s="404">
        <v>4.6060068064949999E-2</v>
      </c>
      <c r="GM17" s="404">
        <v>-3.91</v>
      </c>
      <c r="GN17" s="404">
        <v>0</v>
      </c>
      <c r="GO17" s="404">
        <v>0</v>
      </c>
      <c r="GP17" s="404">
        <v>0</v>
      </c>
      <c r="GQ17" s="404">
        <v>0</v>
      </c>
      <c r="GR17" s="404">
        <v>0</v>
      </c>
      <c r="GS17" s="404">
        <v>0</v>
      </c>
      <c r="GT17" s="404">
        <v>0</v>
      </c>
      <c r="GU17" s="404">
        <v>0</v>
      </c>
      <c r="GV17" s="404">
        <v>0</v>
      </c>
      <c r="GW17" s="404">
        <v>0</v>
      </c>
      <c r="GX17" s="404">
        <v>0</v>
      </c>
      <c r="GY17" s="404">
        <v>0</v>
      </c>
      <c r="GZ17" s="404">
        <v>0</v>
      </c>
      <c r="HA17" s="404">
        <v>0</v>
      </c>
      <c r="HB17" s="404">
        <v>0</v>
      </c>
      <c r="HC17" s="404">
        <v>0</v>
      </c>
      <c r="HD17" s="404">
        <v>0</v>
      </c>
      <c r="HE17" s="404">
        <v>0</v>
      </c>
      <c r="HF17" s="404">
        <v>0</v>
      </c>
      <c r="HG17" s="404">
        <v>0</v>
      </c>
      <c r="HH17" s="404">
        <v>0</v>
      </c>
      <c r="HI17" s="404">
        <v>0</v>
      </c>
      <c r="HJ17" s="404">
        <v>0</v>
      </c>
      <c r="HK17" s="404">
        <v>0</v>
      </c>
      <c r="HL17" s="397">
        <v>-0.6</v>
      </c>
      <c r="HM17" s="405">
        <v>0</v>
      </c>
      <c r="HN17" s="405">
        <v>0</v>
      </c>
      <c r="HO17" s="405">
        <v>0</v>
      </c>
      <c r="HP17" s="405">
        <v>0</v>
      </c>
      <c r="HQ17" s="397">
        <v>-3.1108822695035498</v>
      </c>
      <c r="HR17" s="397">
        <v>0.1</v>
      </c>
      <c r="HS17" s="397">
        <v>0</v>
      </c>
      <c r="HT17" s="397">
        <v>0</v>
      </c>
      <c r="HU17" s="397">
        <v>0</v>
      </c>
      <c r="HV17" s="397">
        <v>0</v>
      </c>
      <c r="HW17" s="397">
        <v>0.23</v>
      </c>
      <c r="HX17" s="397">
        <v>-9.0767508396599993E-3</v>
      </c>
      <c r="HY17" s="397">
        <v>0</v>
      </c>
      <c r="HZ17" s="397">
        <v>0</v>
      </c>
      <c r="IA17" s="397">
        <v>-2.3954794799700002E-3</v>
      </c>
      <c r="IB17" s="397">
        <v>0</v>
      </c>
      <c r="IC17" s="397">
        <v>-0.47</v>
      </c>
      <c r="ID17" s="405">
        <v>0</v>
      </c>
      <c r="IE17" s="405">
        <v>0</v>
      </c>
      <c r="IF17" s="405">
        <v>0</v>
      </c>
      <c r="IG17" s="405">
        <v>0</v>
      </c>
      <c r="IH17" s="405">
        <v>0</v>
      </c>
      <c r="II17" s="405">
        <v>0</v>
      </c>
      <c r="IJ17" s="405">
        <v>0</v>
      </c>
      <c r="IK17" s="405">
        <v>0</v>
      </c>
      <c r="IL17" s="405">
        <v>0</v>
      </c>
      <c r="IM17" s="405">
        <v>0</v>
      </c>
      <c r="IN17" s="405">
        <v>0</v>
      </c>
      <c r="IO17" s="405">
        <v>0</v>
      </c>
      <c r="IP17" s="404">
        <v>-55.82</v>
      </c>
      <c r="IQ17" s="404">
        <v>-11.99</v>
      </c>
      <c r="IR17" s="404">
        <v>-19.61</v>
      </c>
      <c r="IS17" s="404">
        <v>-12.92</v>
      </c>
      <c r="IT17" s="404">
        <v>-1.07225369578546</v>
      </c>
      <c r="IU17" s="404">
        <v>-0.59</v>
      </c>
      <c r="IV17" s="404">
        <v>-0.12913436945737</v>
      </c>
      <c r="IW17" s="404">
        <v>0</v>
      </c>
      <c r="IX17" s="404">
        <v>0</v>
      </c>
      <c r="IY17" s="404">
        <v>0</v>
      </c>
      <c r="IZ17" s="404">
        <v>-0.75737307686747002</v>
      </c>
      <c r="JA17" s="404">
        <v>0</v>
      </c>
      <c r="JB17" s="404">
        <v>-0.15496124334884001</v>
      </c>
      <c r="JC17" s="404">
        <v>0</v>
      </c>
      <c r="JD17" s="404">
        <v>0</v>
      </c>
      <c r="JE17" s="404">
        <v>0</v>
      </c>
      <c r="JF17" s="404">
        <v>-1.39367584496439</v>
      </c>
      <c r="JG17" s="404">
        <v>0</v>
      </c>
      <c r="JH17" s="404">
        <v>0</v>
      </c>
      <c r="JI17" s="404">
        <v>0</v>
      </c>
      <c r="JJ17" s="404">
        <v>0</v>
      </c>
      <c r="JK17" s="404">
        <v>0</v>
      </c>
      <c r="JL17" s="404">
        <v>0</v>
      </c>
      <c r="JM17" s="404">
        <v>0</v>
      </c>
      <c r="JN17" s="404">
        <v>-0.15496124334885</v>
      </c>
      <c r="JO17" s="404">
        <v>0</v>
      </c>
      <c r="JP17" s="404">
        <v>0</v>
      </c>
      <c r="JQ17" s="404">
        <v>0</v>
      </c>
      <c r="JR17" s="404">
        <v>-1.3435541332540599</v>
      </c>
      <c r="JS17" s="404">
        <v>0</v>
      </c>
      <c r="JT17" s="404">
        <v>-55.82</v>
      </c>
      <c r="JU17" s="404">
        <v>-11.99</v>
      </c>
      <c r="JV17" s="404">
        <v>-19.61</v>
      </c>
      <c r="JW17" s="404">
        <v>-12.92</v>
      </c>
      <c r="JX17" s="404">
        <v>-0.84497718120804999</v>
      </c>
      <c r="JY17" s="404">
        <v>-0.9</v>
      </c>
      <c r="JZ17" s="404">
        <v>0</v>
      </c>
      <c r="KA17" s="404">
        <v>0</v>
      </c>
      <c r="KB17" s="404">
        <v>0</v>
      </c>
      <c r="KC17" s="404">
        <v>0</v>
      </c>
      <c r="KD17" s="404">
        <v>0</v>
      </c>
      <c r="KE17" s="404">
        <v>0</v>
      </c>
      <c r="KF17" s="404">
        <v>0</v>
      </c>
      <c r="KG17" s="404">
        <v>0</v>
      </c>
      <c r="KH17" s="404">
        <v>0</v>
      </c>
      <c r="KI17" s="404">
        <v>0</v>
      </c>
      <c r="KJ17" s="404">
        <v>0</v>
      </c>
      <c r="KK17" s="404">
        <v>0</v>
      </c>
      <c r="KL17" s="404">
        <v>0</v>
      </c>
      <c r="KM17" s="404">
        <v>0</v>
      </c>
      <c r="KN17" s="404">
        <v>0</v>
      </c>
      <c r="KO17" s="404">
        <v>0</v>
      </c>
      <c r="KP17" s="404">
        <v>0</v>
      </c>
      <c r="KQ17" s="404">
        <v>0</v>
      </c>
      <c r="KR17" s="404">
        <v>0</v>
      </c>
      <c r="KS17" s="404">
        <v>0</v>
      </c>
      <c r="KT17" s="404">
        <v>0</v>
      </c>
      <c r="KU17" s="404">
        <v>0</v>
      </c>
      <c r="KV17" s="404">
        <v>0</v>
      </c>
      <c r="KW17" s="404">
        <v>0</v>
      </c>
      <c r="KX17" s="404">
        <v>1.0046888903139199</v>
      </c>
      <c r="KY17" s="404">
        <v>0.16710577309979999</v>
      </c>
      <c r="KZ17" s="404">
        <v>-0.20275762945598999</v>
      </c>
      <c r="LA17" s="404">
        <v>1.2390474038300001E-2</v>
      </c>
      <c r="LB17" s="404">
        <v>-5.5329298001249999E-2</v>
      </c>
      <c r="LC17" s="404">
        <v>-0.44750344212965998</v>
      </c>
      <c r="LD17" s="404">
        <v>-2.6800558377699998E-3</v>
      </c>
      <c r="LE17" s="404">
        <v>0</v>
      </c>
      <c r="LF17" s="404">
        <v>0</v>
      </c>
      <c r="LG17" s="404">
        <v>0</v>
      </c>
      <c r="LH17" s="404">
        <v>4.3345790606010001E-2</v>
      </c>
      <c r="LI17" s="404">
        <v>0</v>
      </c>
      <c r="LJ17" s="404">
        <v>0</v>
      </c>
      <c r="LK17" s="404">
        <v>0</v>
      </c>
      <c r="LL17" s="404">
        <v>0</v>
      </c>
      <c r="LM17" s="404">
        <v>0</v>
      </c>
      <c r="LN17" s="404">
        <v>0.14138326334163001</v>
      </c>
      <c r="LO17" s="404">
        <v>-6.76163329988798</v>
      </c>
      <c r="LP17" s="404">
        <v>0.12020443037641</v>
      </c>
      <c r="LQ17" s="404">
        <v>0</v>
      </c>
      <c r="LR17" s="404">
        <v>0</v>
      </c>
      <c r="LS17" s="404">
        <v>0</v>
      </c>
      <c r="LT17" s="404">
        <v>0</v>
      </c>
      <c r="LU17" s="404">
        <v>-3.11</v>
      </c>
      <c r="LV17" s="401">
        <v>6.8506595710599999E-3</v>
      </c>
      <c r="LW17" s="401">
        <v>0</v>
      </c>
      <c r="LX17" s="401">
        <v>0</v>
      </c>
      <c r="LY17" s="401">
        <v>0</v>
      </c>
      <c r="LZ17" s="401">
        <v>0</v>
      </c>
      <c r="MA17" s="401">
        <v>-0.43889541996992998</v>
      </c>
      <c r="MB17" s="404">
        <v>0</v>
      </c>
      <c r="MC17" s="404">
        <v>0</v>
      </c>
      <c r="MD17" s="404">
        <v>0</v>
      </c>
      <c r="ME17" s="404">
        <v>0</v>
      </c>
      <c r="MF17" s="404">
        <v>0</v>
      </c>
      <c r="MG17" s="404">
        <v>0</v>
      </c>
    </row>
    <row r="18" spans="1:345" ht="18" customHeight="1">
      <c r="A18" s="10" t="s">
        <v>9</v>
      </c>
      <c r="B18" s="15">
        <v>0.4</v>
      </c>
      <c r="C18" s="15">
        <v>0.3</v>
      </c>
      <c r="D18" s="15">
        <v>0.3</v>
      </c>
      <c r="E18" s="255">
        <v>87.843137254901961</v>
      </c>
      <c r="F18" s="253">
        <v>-8</v>
      </c>
      <c r="G18" s="16">
        <v>1.7</v>
      </c>
      <c r="H18" s="16">
        <v>1.7</v>
      </c>
      <c r="I18" s="5">
        <v>895.19880529538739</v>
      </c>
      <c r="J18" s="6">
        <v>12</v>
      </c>
      <c r="K18" s="6">
        <v>368.3</v>
      </c>
      <c r="L18" s="17">
        <v>0.8</v>
      </c>
      <c r="M18" s="17">
        <v>0.7</v>
      </c>
      <c r="N18" s="17">
        <v>0.7</v>
      </c>
      <c r="O18" s="16">
        <v>0</v>
      </c>
      <c r="P18" s="16">
        <v>0</v>
      </c>
      <c r="Q18" s="16">
        <v>100</v>
      </c>
      <c r="R18" s="16">
        <v>0</v>
      </c>
      <c r="S18" s="252">
        <v>0</v>
      </c>
      <c r="T18" s="303">
        <v>2</v>
      </c>
      <c r="U18" s="304">
        <v>1.5</v>
      </c>
      <c r="V18" s="303">
        <v>1</v>
      </c>
      <c r="W18" s="304">
        <v>0.8</v>
      </c>
      <c r="X18" s="304">
        <v>0.5</v>
      </c>
      <c r="Y18" s="5">
        <v>11452.017290637184</v>
      </c>
      <c r="Z18" s="14">
        <v>1.83</v>
      </c>
      <c r="AA18" s="5">
        <v>166.137579831435</v>
      </c>
      <c r="AB18" s="17">
        <v>0.6</v>
      </c>
      <c r="AC18" s="17">
        <v>0.4</v>
      </c>
      <c r="AD18" s="17">
        <v>0.4</v>
      </c>
      <c r="AE18" s="254">
        <v>0.16481681552762376</v>
      </c>
      <c r="AF18" s="254">
        <v>0.17073463250837553</v>
      </c>
      <c r="AG18" s="18">
        <v>4.2128321585382765E-4</v>
      </c>
      <c r="AH18" s="18">
        <v>1.9720938945041499E-3</v>
      </c>
      <c r="AI18" s="18">
        <v>1.0406336514744103</v>
      </c>
      <c r="AJ18" s="18">
        <v>33.827219725237256</v>
      </c>
      <c r="AK18" s="18">
        <v>1.3576309547428567</v>
      </c>
      <c r="AL18" s="18">
        <v>0.23152260210401657</v>
      </c>
      <c r="AM18" s="18">
        <v>62.279146471656908</v>
      </c>
      <c r="AN18" s="18">
        <v>0.21675326733372083</v>
      </c>
      <c r="AO18" s="18">
        <v>6.4596759764253579E-3</v>
      </c>
      <c r="AP18" s="18">
        <v>6.105553852954025E-4</v>
      </c>
      <c r="AQ18" s="18">
        <v>0.128283792004417</v>
      </c>
      <c r="AR18" s="18"/>
      <c r="AS18" s="18">
        <v>0.42297445427109592</v>
      </c>
      <c r="AT18" s="18">
        <v>1.2809451983497542E-2</v>
      </c>
      <c r="AU18" s="18">
        <v>0.47356202071974651</v>
      </c>
      <c r="AV18" s="304">
        <v>0.3</v>
      </c>
      <c r="AW18" s="304">
        <v>0.7</v>
      </c>
      <c r="AX18" s="304">
        <v>1.2</v>
      </c>
      <c r="AY18" s="304">
        <v>1.2</v>
      </c>
      <c r="AZ18" s="303">
        <v>3</v>
      </c>
      <c r="BA18" s="6">
        <v>4.4481834076484992</v>
      </c>
      <c r="BB18" s="6">
        <v>18</v>
      </c>
      <c r="BC18" s="5">
        <f t="shared" si="348"/>
        <v>80.067301337672987</v>
      </c>
      <c r="BD18" s="17">
        <v>1.4</v>
      </c>
      <c r="BE18" s="17">
        <v>1.5</v>
      </c>
      <c r="BF18" s="17">
        <v>1.5</v>
      </c>
      <c r="BG18" s="6">
        <v>4.4481834076484992</v>
      </c>
      <c r="BH18" s="6">
        <v>18</v>
      </c>
      <c r="BI18" s="5">
        <v>811.67058823529419</v>
      </c>
      <c r="BJ18" s="17">
        <v>1.4</v>
      </c>
      <c r="BK18" s="17">
        <v>1.5</v>
      </c>
      <c r="BL18" s="17">
        <v>1.5</v>
      </c>
      <c r="BM18" s="5">
        <v>1439.8069003939363</v>
      </c>
      <c r="BN18" s="6">
        <v>179.9</v>
      </c>
      <c r="BO18" s="6">
        <v>1878.7086274509904</v>
      </c>
      <c r="BP18" s="17">
        <v>1.4</v>
      </c>
      <c r="BQ18" s="17">
        <v>1.5</v>
      </c>
      <c r="BR18" s="17">
        <v>1.5</v>
      </c>
      <c r="BS18" s="221">
        <v>2</v>
      </c>
      <c r="BT18" s="54">
        <v>1.5</v>
      </c>
      <c r="BU18" s="54">
        <v>0.7</v>
      </c>
      <c r="BV18" s="54">
        <v>0.7</v>
      </c>
      <c r="BW18" s="54">
        <v>0.5</v>
      </c>
      <c r="BX18" s="5">
        <v>26.35122266081386</v>
      </c>
      <c r="BY18" s="5">
        <v>6088.6326274510211</v>
      </c>
      <c r="BZ18" s="17">
        <v>3.1</v>
      </c>
      <c r="CA18" s="17">
        <v>1.6</v>
      </c>
      <c r="CB18" s="17">
        <v>1.6</v>
      </c>
      <c r="CC18" s="221">
        <v>2</v>
      </c>
      <c r="CD18" s="221">
        <v>2</v>
      </c>
      <c r="CE18" s="221">
        <v>1</v>
      </c>
      <c r="CF18" s="221">
        <v>1</v>
      </c>
      <c r="CG18" s="54">
        <v>0.5</v>
      </c>
      <c r="CH18" s="5">
        <v>232.81921603432133</v>
      </c>
      <c r="CI18" s="5">
        <v>500</v>
      </c>
      <c r="CJ18" s="19">
        <v>2.1</v>
      </c>
      <c r="CK18" s="19">
        <v>0.8</v>
      </c>
      <c r="CL18" s="19">
        <v>0.8</v>
      </c>
      <c r="CM18" s="54">
        <v>2</v>
      </c>
      <c r="CN18" s="54">
        <v>1.5</v>
      </c>
      <c r="CO18" s="54">
        <v>0.5</v>
      </c>
      <c r="CP18" s="54">
        <v>1</v>
      </c>
      <c r="CQ18" s="54">
        <v>0.5</v>
      </c>
      <c r="CR18" s="5">
        <v>103.61864696140913</v>
      </c>
      <c r="CS18" s="8">
        <v>29</v>
      </c>
      <c r="CT18" s="17">
        <v>1.1000000000000001</v>
      </c>
      <c r="CU18" s="17">
        <v>0.4</v>
      </c>
      <c r="CV18" s="17">
        <v>0.4</v>
      </c>
      <c r="CW18" s="54">
        <v>2</v>
      </c>
      <c r="CX18" s="54">
        <v>1</v>
      </c>
      <c r="CY18" s="54">
        <v>0.5</v>
      </c>
      <c r="CZ18" s="54">
        <v>0.7</v>
      </c>
      <c r="DA18" s="54">
        <v>0.2</v>
      </c>
      <c r="DB18" s="403">
        <v>0</v>
      </c>
      <c r="DC18" s="403">
        <v>0</v>
      </c>
      <c r="DD18" s="403">
        <v>0</v>
      </c>
      <c r="DE18" s="403">
        <v>0</v>
      </c>
      <c r="DF18" s="403">
        <v>0</v>
      </c>
      <c r="DG18" s="403">
        <v>0</v>
      </c>
      <c r="DH18" s="403">
        <v>0</v>
      </c>
      <c r="DI18" s="403">
        <v>0</v>
      </c>
      <c r="DJ18" s="403">
        <v>0</v>
      </c>
      <c r="DK18" s="403">
        <v>0</v>
      </c>
      <c r="DL18" s="403">
        <v>0</v>
      </c>
      <c r="DM18" s="403">
        <v>0</v>
      </c>
      <c r="DN18" s="403">
        <v>0</v>
      </c>
      <c r="DO18" s="403">
        <v>0</v>
      </c>
      <c r="DP18" s="403">
        <v>0</v>
      </c>
      <c r="DQ18" s="403">
        <v>0</v>
      </c>
      <c r="DR18" s="403">
        <v>0</v>
      </c>
      <c r="DS18" s="403">
        <v>0</v>
      </c>
      <c r="DT18" s="403">
        <v>0</v>
      </c>
      <c r="DU18" s="403">
        <v>0</v>
      </c>
      <c r="DV18" s="403">
        <v>0</v>
      </c>
      <c r="DW18" s="403">
        <v>0</v>
      </c>
      <c r="DX18" s="403">
        <v>0</v>
      </c>
      <c r="DY18" s="403">
        <v>0</v>
      </c>
      <c r="DZ18" s="404">
        <v>0</v>
      </c>
      <c r="EA18" s="404">
        <v>0</v>
      </c>
      <c r="EB18" s="404">
        <v>0</v>
      </c>
      <c r="EC18" s="404">
        <v>0</v>
      </c>
      <c r="ED18" s="404">
        <v>0</v>
      </c>
      <c r="EE18" s="404">
        <v>0</v>
      </c>
      <c r="EF18" s="404">
        <v>2.3331596698950001</v>
      </c>
      <c r="EG18" s="404">
        <v>0</v>
      </c>
      <c r="EH18" s="404">
        <v>0</v>
      </c>
      <c r="EI18" s="404">
        <v>0.98609088910742004</v>
      </c>
      <c r="EJ18" s="404">
        <v>9.6999770847580005E-2</v>
      </c>
      <c r="EK18" s="404">
        <v>-0.74905005460903995</v>
      </c>
      <c r="EL18" s="404">
        <v>2.3331596698949899</v>
      </c>
      <c r="EM18" s="404">
        <v>0</v>
      </c>
      <c r="EN18" s="404">
        <v>0</v>
      </c>
      <c r="EO18" s="404">
        <v>0.98609088910742004</v>
      </c>
      <c r="EP18" s="404">
        <v>0</v>
      </c>
      <c r="EQ18" s="404">
        <v>-0.74905005460903995</v>
      </c>
      <c r="ER18" s="404">
        <v>0</v>
      </c>
      <c r="ES18" s="404">
        <v>0</v>
      </c>
      <c r="ET18" s="404">
        <v>0</v>
      </c>
      <c r="EU18" s="404">
        <v>0</v>
      </c>
      <c r="EV18" s="404">
        <v>0</v>
      </c>
      <c r="EW18" s="404">
        <v>0</v>
      </c>
      <c r="EX18" s="404">
        <v>0</v>
      </c>
      <c r="EY18" s="404">
        <v>0</v>
      </c>
      <c r="EZ18" s="404">
        <v>0</v>
      </c>
      <c r="FA18" s="404">
        <v>0</v>
      </c>
      <c r="FB18" s="404">
        <v>0</v>
      </c>
      <c r="FC18" s="404">
        <v>0</v>
      </c>
      <c r="FD18" s="404">
        <v>0</v>
      </c>
      <c r="FE18" s="404">
        <v>0</v>
      </c>
      <c r="FF18" s="404">
        <v>0</v>
      </c>
      <c r="FG18" s="404">
        <v>0</v>
      </c>
      <c r="FH18" s="404">
        <v>0</v>
      </c>
      <c r="FI18" s="404">
        <v>0</v>
      </c>
      <c r="FJ18" s="404">
        <v>0</v>
      </c>
      <c r="FK18" s="404">
        <v>0</v>
      </c>
      <c r="FL18" s="404">
        <v>0</v>
      </c>
      <c r="FM18" s="404">
        <v>0</v>
      </c>
      <c r="FN18" s="404">
        <v>0</v>
      </c>
      <c r="FO18" s="404">
        <v>0</v>
      </c>
      <c r="FP18" s="404">
        <v>0</v>
      </c>
      <c r="FQ18" s="404">
        <v>0</v>
      </c>
      <c r="FR18" s="404">
        <v>0</v>
      </c>
      <c r="FS18" s="404">
        <v>0</v>
      </c>
      <c r="FT18" s="404">
        <v>0</v>
      </c>
      <c r="FU18" s="404">
        <v>0</v>
      </c>
      <c r="FV18" s="404">
        <v>0</v>
      </c>
      <c r="FW18" s="404">
        <v>0</v>
      </c>
      <c r="FX18" s="404">
        <v>0</v>
      </c>
      <c r="FY18" s="404">
        <v>0</v>
      </c>
      <c r="FZ18" s="404">
        <v>0</v>
      </c>
      <c r="GA18" s="404">
        <v>0</v>
      </c>
      <c r="GB18" s="404">
        <v>0</v>
      </c>
      <c r="GC18" s="404">
        <v>0</v>
      </c>
      <c r="GD18" s="404">
        <v>0</v>
      </c>
      <c r="GE18" s="404">
        <v>0</v>
      </c>
      <c r="GF18" s="404">
        <v>0</v>
      </c>
      <c r="GG18" s="404">
        <v>0</v>
      </c>
      <c r="GH18" s="404">
        <v>-55.82</v>
      </c>
      <c r="GI18" s="404">
        <v>-11.99</v>
      </c>
      <c r="GJ18" s="404">
        <v>-19.61</v>
      </c>
      <c r="GK18" s="404">
        <v>-12.92</v>
      </c>
      <c r="GL18" s="404">
        <v>4.6060068064949999E-2</v>
      </c>
      <c r="GM18" s="404">
        <v>-3.91</v>
      </c>
      <c r="GN18" s="404">
        <v>0</v>
      </c>
      <c r="GO18" s="404">
        <v>0</v>
      </c>
      <c r="GP18" s="404">
        <v>0</v>
      </c>
      <c r="GQ18" s="404">
        <v>0</v>
      </c>
      <c r="GR18" s="404">
        <v>0</v>
      </c>
      <c r="GS18" s="404">
        <v>0</v>
      </c>
      <c r="GT18" s="404">
        <v>0</v>
      </c>
      <c r="GU18" s="404">
        <v>0</v>
      </c>
      <c r="GV18" s="404">
        <v>0</v>
      </c>
      <c r="GW18" s="404">
        <v>0</v>
      </c>
      <c r="GX18" s="404">
        <v>0</v>
      </c>
      <c r="GY18" s="404">
        <v>0</v>
      </c>
      <c r="GZ18" s="404">
        <v>0</v>
      </c>
      <c r="HA18" s="404">
        <v>0</v>
      </c>
      <c r="HB18" s="404">
        <v>0</v>
      </c>
      <c r="HC18" s="404">
        <v>0</v>
      </c>
      <c r="HD18" s="404">
        <v>0</v>
      </c>
      <c r="HE18" s="404">
        <v>0</v>
      </c>
      <c r="HF18" s="404">
        <v>0</v>
      </c>
      <c r="HG18" s="404">
        <v>0</v>
      </c>
      <c r="HH18" s="404">
        <v>0</v>
      </c>
      <c r="HI18" s="404">
        <v>0</v>
      </c>
      <c r="HJ18" s="404">
        <v>0</v>
      </c>
      <c r="HK18" s="404">
        <v>0</v>
      </c>
      <c r="HL18" s="397">
        <v>-0.6</v>
      </c>
      <c r="HM18" s="405">
        <v>0</v>
      </c>
      <c r="HN18" s="405">
        <v>0</v>
      </c>
      <c r="HO18" s="405">
        <v>0</v>
      </c>
      <c r="HP18" s="405">
        <v>0</v>
      </c>
      <c r="HQ18" s="397">
        <v>-3.1108822695035498</v>
      </c>
      <c r="HR18" s="397">
        <v>0.1</v>
      </c>
      <c r="HS18" s="397">
        <v>0</v>
      </c>
      <c r="HT18" s="397">
        <v>0</v>
      </c>
      <c r="HU18" s="397">
        <v>0</v>
      </c>
      <c r="HV18" s="397">
        <v>0</v>
      </c>
      <c r="HW18" s="397">
        <v>0.23</v>
      </c>
      <c r="HX18" s="397">
        <v>-9.0767508396599993E-3</v>
      </c>
      <c r="HY18" s="397">
        <v>0</v>
      </c>
      <c r="HZ18" s="397">
        <v>0</v>
      </c>
      <c r="IA18" s="397">
        <v>-2.3954794799700002E-3</v>
      </c>
      <c r="IB18" s="397">
        <v>0</v>
      </c>
      <c r="IC18" s="397">
        <v>-0.47</v>
      </c>
      <c r="ID18" s="405">
        <v>0</v>
      </c>
      <c r="IE18" s="405">
        <v>0</v>
      </c>
      <c r="IF18" s="405">
        <v>0</v>
      </c>
      <c r="IG18" s="405">
        <v>0</v>
      </c>
      <c r="IH18" s="405">
        <v>0</v>
      </c>
      <c r="II18" s="405">
        <v>0</v>
      </c>
      <c r="IJ18" s="405">
        <v>0</v>
      </c>
      <c r="IK18" s="405">
        <v>0</v>
      </c>
      <c r="IL18" s="405">
        <v>0</v>
      </c>
      <c r="IM18" s="405">
        <v>0</v>
      </c>
      <c r="IN18" s="405">
        <v>0</v>
      </c>
      <c r="IO18" s="405">
        <v>0</v>
      </c>
      <c r="IP18" s="404">
        <v>-55.82</v>
      </c>
      <c r="IQ18" s="404">
        <v>-11.99</v>
      </c>
      <c r="IR18" s="404">
        <v>-19.61</v>
      </c>
      <c r="IS18" s="404">
        <v>-12.92</v>
      </c>
      <c r="IT18" s="404">
        <v>-1.07225369578546</v>
      </c>
      <c r="IU18" s="404">
        <v>-0.59</v>
      </c>
      <c r="IV18" s="404">
        <v>-0.12913436945737</v>
      </c>
      <c r="IW18" s="404">
        <v>0</v>
      </c>
      <c r="IX18" s="404">
        <v>0</v>
      </c>
      <c r="IY18" s="404">
        <v>0</v>
      </c>
      <c r="IZ18" s="404">
        <v>-0.75737307686747002</v>
      </c>
      <c r="JA18" s="404">
        <v>0</v>
      </c>
      <c r="JB18" s="404">
        <v>-0.15496124334884001</v>
      </c>
      <c r="JC18" s="404">
        <v>0</v>
      </c>
      <c r="JD18" s="404">
        <v>0</v>
      </c>
      <c r="JE18" s="404">
        <v>0</v>
      </c>
      <c r="JF18" s="404">
        <v>-1.39367584496439</v>
      </c>
      <c r="JG18" s="404">
        <v>0</v>
      </c>
      <c r="JH18" s="404">
        <v>0</v>
      </c>
      <c r="JI18" s="404">
        <v>0</v>
      </c>
      <c r="JJ18" s="404">
        <v>0</v>
      </c>
      <c r="JK18" s="404">
        <v>0</v>
      </c>
      <c r="JL18" s="404">
        <v>0</v>
      </c>
      <c r="JM18" s="404">
        <v>0</v>
      </c>
      <c r="JN18" s="404">
        <v>-0.15496124334885</v>
      </c>
      <c r="JO18" s="404">
        <v>0</v>
      </c>
      <c r="JP18" s="404">
        <v>0</v>
      </c>
      <c r="JQ18" s="404">
        <v>0</v>
      </c>
      <c r="JR18" s="404">
        <v>-1.3435541332540599</v>
      </c>
      <c r="JS18" s="404">
        <v>0</v>
      </c>
      <c r="JT18" s="404">
        <v>-55.82</v>
      </c>
      <c r="JU18" s="404">
        <v>-11.99</v>
      </c>
      <c r="JV18" s="404">
        <v>-19.61</v>
      </c>
      <c r="JW18" s="404">
        <v>-12.92</v>
      </c>
      <c r="JX18" s="404">
        <v>-0.84497718120804999</v>
      </c>
      <c r="JY18" s="404">
        <v>-0.9</v>
      </c>
      <c r="JZ18" s="404">
        <v>0</v>
      </c>
      <c r="KA18" s="404">
        <v>0</v>
      </c>
      <c r="KB18" s="404">
        <v>0</v>
      </c>
      <c r="KC18" s="404">
        <v>0</v>
      </c>
      <c r="KD18" s="404">
        <v>0</v>
      </c>
      <c r="KE18" s="404">
        <v>0</v>
      </c>
      <c r="KF18" s="404">
        <v>0</v>
      </c>
      <c r="KG18" s="404">
        <v>0</v>
      </c>
      <c r="KH18" s="404">
        <v>0</v>
      </c>
      <c r="KI18" s="404">
        <v>0</v>
      </c>
      <c r="KJ18" s="404">
        <v>0</v>
      </c>
      <c r="KK18" s="404">
        <v>0</v>
      </c>
      <c r="KL18" s="404">
        <v>0</v>
      </c>
      <c r="KM18" s="404">
        <v>0</v>
      </c>
      <c r="KN18" s="404">
        <v>0</v>
      </c>
      <c r="KO18" s="404">
        <v>0</v>
      </c>
      <c r="KP18" s="404">
        <v>0</v>
      </c>
      <c r="KQ18" s="404">
        <v>0</v>
      </c>
      <c r="KR18" s="404">
        <v>0</v>
      </c>
      <c r="KS18" s="404">
        <v>0</v>
      </c>
      <c r="KT18" s="404">
        <v>0</v>
      </c>
      <c r="KU18" s="404">
        <v>0</v>
      </c>
      <c r="KV18" s="404">
        <v>0</v>
      </c>
      <c r="KW18" s="404">
        <v>0</v>
      </c>
      <c r="KX18" s="404">
        <v>1.0046888903139199</v>
      </c>
      <c r="KY18" s="404">
        <v>0.16710577309979999</v>
      </c>
      <c r="KZ18" s="404">
        <v>-0.20275762945598999</v>
      </c>
      <c r="LA18" s="404">
        <v>1.2390474038300001E-2</v>
      </c>
      <c r="LB18" s="404">
        <v>-5.5329298001249999E-2</v>
      </c>
      <c r="LC18" s="404">
        <v>-0.44750344212965998</v>
      </c>
      <c r="LD18" s="404">
        <v>-2.6800558377699998E-3</v>
      </c>
      <c r="LE18" s="404">
        <v>0</v>
      </c>
      <c r="LF18" s="404">
        <v>0</v>
      </c>
      <c r="LG18" s="404">
        <v>0</v>
      </c>
      <c r="LH18" s="404">
        <v>4.3345790606010001E-2</v>
      </c>
      <c r="LI18" s="404">
        <v>0</v>
      </c>
      <c r="LJ18" s="404">
        <v>0</v>
      </c>
      <c r="LK18" s="404">
        <v>0</v>
      </c>
      <c r="LL18" s="404">
        <v>0</v>
      </c>
      <c r="LM18" s="404">
        <v>0</v>
      </c>
      <c r="LN18" s="404">
        <v>0.14138326334163001</v>
      </c>
      <c r="LO18" s="404">
        <v>-6.76163329988798</v>
      </c>
      <c r="LP18" s="404">
        <v>0.12020443037641</v>
      </c>
      <c r="LQ18" s="404">
        <v>0</v>
      </c>
      <c r="LR18" s="404">
        <v>0</v>
      </c>
      <c r="LS18" s="404">
        <v>0</v>
      </c>
      <c r="LT18" s="404">
        <v>0</v>
      </c>
      <c r="LU18" s="404">
        <v>-3.11</v>
      </c>
      <c r="LV18" s="401">
        <v>6.8506595710599999E-3</v>
      </c>
      <c r="LW18" s="401">
        <v>0</v>
      </c>
      <c r="LX18" s="401">
        <v>0</v>
      </c>
      <c r="LY18" s="401">
        <v>0</v>
      </c>
      <c r="LZ18" s="401">
        <v>0</v>
      </c>
      <c r="MA18" s="401">
        <v>-0.43889541996992998</v>
      </c>
      <c r="MB18" s="404">
        <v>0</v>
      </c>
      <c r="MC18" s="404">
        <v>0</v>
      </c>
      <c r="MD18" s="404">
        <v>0</v>
      </c>
      <c r="ME18" s="404">
        <v>0</v>
      </c>
      <c r="MF18" s="404">
        <v>0</v>
      </c>
      <c r="MG18" s="404">
        <v>0</v>
      </c>
    </row>
    <row r="19" spans="1:345" ht="18" customHeight="1">
      <c r="A19" s="10" t="s">
        <v>27</v>
      </c>
      <c r="B19" s="15">
        <v>-0.1</v>
      </c>
      <c r="C19" s="15">
        <v>-0.3</v>
      </c>
      <c r="D19" s="15">
        <v>-0.3</v>
      </c>
      <c r="E19" s="255">
        <v>389.82035928143716</v>
      </c>
      <c r="F19" s="256">
        <v>-1.2</v>
      </c>
      <c r="G19" s="16">
        <v>-4.7</v>
      </c>
      <c r="H19" s="16">
        <v>-4.7</v>
      </c>
      <c r="I19" s="5">
        <v>765.97304136655305</v>
      </c>
      <c r="J19" s="6">
        <v>12</v>
      </c>
      <c r="K19" s="6">
        <v>370.3143</v>
      </c>
      <c r="L19" s="17">
        <v>0.3</v>
      </c>
      <c r="M19" s="17">
        <v>0.3</v>
      </c>
      <c r="N19" s="17">
        <v>0.3</v>
      </c>
      <c r="O19" s="16">
        <v>0.1</v>
      </c>
      <c r="P19" s="16">
        <v>0</v>
      </c>
      <c r="Q19" s="16">
        <v>98.5</v>
      </c>
      <c r="R19" s="16">
        <v>1.3</v>
      </c>
      <c r="S19" s="252">
        <v>0</v>
      </c>
      <c r="T19" s="303">
        <v>2</v>
      </c>
      <c r="U19" s="304">
        <v>1.5</v>
      </c>
      <c r="V19" s="303">
        <v>1</v>
      </c>
      <c r="W19" s="304">
        <v>0.8</v>
      </c>
      <c r="X19" s="304">
        <v>0.5</v>
      </c>
      <c r="Y19" s="5">
        <v>11266.430787082507</v>
      </c>
      <c r="Z19" s="14">
        <v>1.49</v>
      </c>
      <c r="AA19" s="5">
        <v>163.89255817300975</v>
      </c>
      <c r="AB19" s="17">
        <v>0.4</v>
      </c>
      <c r="AC19" s="17">
        <v>0.2</v>
      </c>
      <c r="AD19" s="17">
        <v>0.2</v>
      </c>
      <c r="AE19" s="254">
        <v>0.17869986518280181</v>
      </c>
      <c r="AF19" s="254">
        <v>0.18051752683176164</v>
      </c>
      <c r="AG19" s="18">
        <v>0.76263477223833032</v>
      </c>
      <c r="AH19" s="18">
        <v>0.16875310389059275</v>
      </c>
      <c r="AI19" s="18">
        <v>2.0387451772289449</v>
      </c>
      <c r="AJ19" s="18">
        <v>64.597221500818222</v>
      </c>
      <c r="AK19" s="18"/>
      <c r="AL19" s="18"/>
      <c r="AM19" s="18">
        <v>31.023779369041016</v>
      </c>
      <c r="AN19" s="18"/>
      <c r="AO19" s="18"/>
      <c r="AP19" s="18"/>
      <c r="AQ19" s="18"/>
      <c r="AR19" s="18"/>
      <c r="AS19" s="18"/>
      <c r="AT19" s="18">
        <v>1.1283903621156077</v>
      </c>
      <c r="AU19" s="18">
        <v>0.28047571466728038</v>
      </c>
      <c r="AV19" s="304">
        <v>0.3</v>
      </c>
      <c r="AW19" s="304">
        <v>0.7</v>
      </c>
      <c r="AX19" s="304">
        <v>1.2</v>
      </c>
      <c r="AY19" s="304">
        <v>1.2</v>
      </c>
      <c r="AZ19" s="303">
        <v>3</v>
      </c>
      <c r="BA19" s="6">
        <v>5.8792460661687311</v>
      </c>
      <c r="BB19" s="6">
        <v>18</v>
      </c>
      <c r="BC19" s="5">
        <f t="shared" si="348"/>
        <v>105.82642919103716</v>
      </c>
      <c r="BD19" s="17">
        <v>1.2</v>
      </c>
      <c r="BE19" s="17">
        <v>1.2</v>
      </c>
      <c r="BF19" s="17">
        <v>1.2</v>
      </c>
      <c r="BG19" s="6">
        <v>5.8792460661687311</v>
      </c>
      <c r="BH19" s="6">
        <v>18</v>
      </c>
      <c r="BI19" s="5">
        <v>3991.7604790419168</v>
      </c>
      <c r="BJ19" s="17">
        <v>1.2</v>
      </c>
      <c r="BK19" s="17">
        <v>1.2</v>
      </c>
      <c r="BL19" s="17">
        <v>1.2</v>
      </c>
      <c r="BM19" s="5">
        <v>1179.7241708682666</v>
      </c>
      <c r="BN19" s="6">
        <v>179.9</v>
      </c>
      <c r="BO19" s="6">
        <v>3787.204670658693</v>
      </c>
      <c r="BP19" s="17">
        <v>1.2</v>
      </c>
      <c r="BQ19" s="17">
        <v>1.2</v>
      </c>
      <c r="BR19" s="17">
        <v>1.2</v>
      </c>
      <c r="BS19" s="221">
        <v>2</v>
      </c>
      <c r="BT19" s="54">
        <v>1.5</v>
      </c>
      <c r="BU19" s="54">
        <v>0.7</v>
      </c>
      <c r="BV19" s="54">
        <v>0.7</v>
      </c>
      <c r="BW19" s="54">
        <v>0.5</v>
      </c>
      <c r="BX19" s="5">
        <v>69.551851532831478</v>
      </c>
      <c r="BY19" s="5">
        <v>7766.1160958084238</v>
      </c>
      <c r="BZ19" s="17">
        <v>1.1000000000000001</v>
      </c>
      <c r="CA19" s="17">
        <v>0.8</v>
      </c>
      <c r="CB19" s="17">
        <v>0.8</v>
      </c>
      <c r="CC19" s="221">
        <v>2</v>
      </c>
      <c r="CD19" s="221">
        <v>2</v>
      </c>
      <c r="CE19" s="221">
        <v>1</v>
      </c>
      <c r="CF19" s="221">
        <v>1</v>
      </c>
      <c r="CG19" s="54">
        <v>0.5</v>
      </c>
      <c r="CH19" s="5">
        <v>273.00191030750739</v>
      </c>
      <c r="CI19" s="5">
        <v>500</v>
      </c>
      <c r="CJ19" s="19">
        <v>1.3</v>
      </c>
      <c r="CK19" s="19">
        <v>0.4</v>
      </c>
      <c r="CL19" s="19">
        <v>0.4</v>
      </c>
      <c r="CM19" s="54">
        <v>2</v>
      </c>
      <c r="CN19" s="54">
        <v>1.5</v>
      </c>
      <c r="CO19" s="54">
        <v>0.5</v>
      </c>
      <c r="CP19" s="54">
        <v>1</v>
      </c>
      <c r="CQ19" s="54">
        <v>0.5</v>
      </c>
      <c r="CR19" s="5">
        <v>557.24830407435002</v>
      </c>
      <c r="CS19" s="8">
        <v>29</v>
      </c>
      <c r="CT19" s="17">
        <v>0.7</v>
      </c>
      <c r="CU19" s="17">
        <v>0.5</v>
      </c>
      <c r="CV19" s="17">
        <v>0.5</v>
      </c>
      <c r="CW19" s="54">
        <v>2</v>
      </c>
      <c r="CX19" s="54">
        <v>1</v>
      </c>
      <c r="CY19" s="54">
        <v>0.5</v>
      </c>
      <c r="CZ19" s="54">
        <v>0.7</v>
      </c>
      <c r="DA19" s="54">
        <v>0.2</v>
      </c>
      <c r="DB19" s="403">
        <v>0</v>
      </c>
      <c r="DC19" s="403">
        <v>0</v>
      </c>
      <c r="DD19" s="403">
        <v>0</v>
      </c>
      <c r="DE19" s="403">
        <v>0</v>
      </c>
      <c r="DF19" s="403">
        <v>0</v>
      </c>
      <c r="DG19" s="403">
        <v>0</v>
      </c>
      <c r="DH19" s="403">
        <v>0</v>
      </c>
      <c r="DI19" s="403">
        <v>0</v>
      </c>
      <c r="DJ19" s="403">
        <v>0</v>
      </c>
      <c r="DK19" s="403">
        <v>0</v>
      </c>
      <c r="DL19" s="403">
        <v>0</v>
      </c>
      <c r="DM19" s="403">
        <v>0</v>
      </c>
      <c r="DN19" s="403">
        <v>0</v>
      </c>
      <c r="DO19" s="403">
        <v>0</v>
      </c>
      <c r="DP19" s="403">
        <v>0</v>
      </c>
      <c r="DQ19" s="403">
        <v>0</v>
      </c>
      <c r="DR19" s="403">
        <v>0</v>
      </c>
      <c r="DS19" s="403">
        <v>0</v>
      </c>
      <c r="DT19" s="403">
        <v>0</v>
      </c>
      <c r="DU19" s="403">
        <v>0</v>
      </c>
      <c r="DV19" s="403">
        <v>0</v>
      </c>
      <c r="DW19" s="403">
        <v>0</v>
      </c>
      <c r="DX19" s="403">
        <v>0</v>
      </c>
      <c r="DY19" s="403">
        <v>0</v>
      </c>
      <c r="DZ19" s="404">
        <v>0</v>
      </c>
      <c r="EA19" s="404">
        <v>0</v>
      </c>
      <c r="EB19" s="404">
        <v>0</v>
      </c>
      <c r="EC19" s="404">
        <v>0</v>
      </c>
      <c r="ED19" s="404">
        <v>0</v>
      </c>
      <c r="EE19" s="404">
        <v>0</v>
      </c>
      <c r="EF19" s="404">
        <v>2.3331596698950001</v>
      </c>
      <c r="EG19" s="404">
        <v>0</v>
      </c>
      <c r="EH19" s="404">
        <v>0</v>
      </c>
      <c r="EI19" s="404">
        <v>0.98609088910742004</v>
      </c>
      <c r="EJ19" s="404">
        <v>9.6999770847580005E-2</v>
      </c>
      <c r="EK19" s="404">
        <v>-0.74905005460903995</v>
      </c>
      <c r="EL19" s="404">
        <v>2.3331596698949899</v>
      </c>
      <c r="EM19" s="404">
        <v>0</v>
      </c>
      <c r="EN19" s="404">
        <v>0</v>
      </c>
      <c r="EO19" s="404">
        <v>0.98609088910742004</v>
      </c>
      <c r="EP19" s="404">
        <v>0</v>
      </c>
      <c r="EQ19" s="404">
        <v>-0.74905005460903995</v>
      </c>
      <c r="ER19" s="404">
        <v>0</v>
      </c>
      <c r="ES19" s="404">
        <v>0</v>
      </c>
      <c r="ET19" s="404">
        <v>0</v>
      </c>
      <c r="EU19" s="404">
        <v>0</v>
      </c>
      <c r="EV19" s="404">
        <v>0</v>
      </c>
      <c r="EW19" s="404">
        <v>0</v>
      </c>
      <c r="EX19" s="404">
        <v>0</v>
      </c>
      <c r="EY19" s="404">
        <v>0</v>
      </c>
      <c r="EZ19" s="404">
        <v>0</v>
      </c>
      <c r="FA19" s="404">
        <v>0</v>
      </c>
      <c r="FB19" s="404">
        <v>0</v>
      </c>
      <c r="FC19" s="404">
        <v>0</v>
      </c>
      <c r="FD19" s="404">
        <v>0</v>
      </c>
      <c r="FE19" s="404">
        <v>0</v>
      </c>
      <c r="FF19" s="404">
        <v>0</v>
      </c>
      <c r="FG19" s="404">
        <v>0</v>
      </c>
      <c r="FH19" s="404">
        <v>0</v>
      </c>
      <c r="FI19" s="404">
        <v>0</v>
      </c>
      <c r="FJ19" s="404">
        <v>0</v>
      </c>
      <c r="FK19" s="404">
        <v>0</v>
      </c>
      <c r="FL19" s="404">
        <v>0</v>
      </c>
      <c r="FM19" s="404">
        <v>0</v>
      </c>
      <c r="FN19" s="404">
        <v>0</v>
      </c>
      <c r="FO19" s="404">
        <v>0</v>
      </c>
      <c r="FP19" s="404">
        <v>0</v>
      </c>
      <c r="FQ19" s="404">
        <v>0</v>
      </c>
      <c r="FR19" s="404">
        <v>0</v>
      </c>
      <c r="FS19" s="404">
        <v>0</v>
      </c>
      <c r="FT19" s="404">
        <v>0</v>
      </c>
      <c r="FU19" s="404">
        <v>0</v>
      </c>
      <c r="FV19" s="404">
        <v>0</v>
      </c>
      <c r="FW19" s="404">
        <v>0</v>
      </c>
      <c r="FX19" s="404">
        <v>0</v>
      </c>
      <c r="FY19" s="404">
        <v>0</v>
      </c>
      <c r="FZ19" s="404">
        <v>0</v>
      </c>
      <c r="GA19" s="404">
        <v>0</v>
      </c>
      <c r="GB19" s="404">
        <v>0</v>
      </c>
      <c r="GC19" s="404">
        <v>0</v>
      </c>
      <c r="GD19" s="404">
        <v>0</v>
      </c>
      <c r="GE19" s="404">
        <v>0</v>
      </c>
      <c r="GF19" s="404">
        <v>0</v>
      </c>
      <c r="GG19" s="404">
        <v>0</v>
      </c>
      <c r="GH19" s="404">
        <v>-55.82</v>
      </c>
      <c r="GI19" s="404">
        <v>-11.99</v>
      </c>
      <c r="GJ19" s="404">
        <v>-19.61</v>
      </c>
      <c r="GK19" s="404">
        <v>-12.92</v>
      </c>
      <c r="GL19" s="404">
        <v>4.6060068064949999E-2</v>
      </c>
      <c r="GM19" s="404">
        <v>-3.91</v>
      </c>
      <c r="GN19" s="404">
        <v>0</v>
      </c>
      <c r="GO19" s="404">
        <v>0</v>
      </c>
      <c r="GP19" s="404">
        <v>0</v>
      </c>
      <c r="GQ19" s="404">
        <v>0</v>
      </c>
      <c r="GR19" s="404">
        <v>0</v>
      </c>
      <c r="GS19" s="404">
        <v>0</v>
      </c>
      <c r="GT19" s="404">
        <v>0</v>
      </c>
      <c r="GU19" s="404">
        <v>0</v>
      </c>
      <c r="GV19" s="404">
        <v>0</v>
      </c>
      <c r="GW19" s="404">
        <v>0</v>
      </c>
      <c r="GX19" s="404">
        <v>0</v>
      </c>
      <c r="GY19" s="404">
        <v>0</v>
      </c>
      <c r="GZ19" s="404">
        <v>0</v>
      </c>
      <c r="HA19" s="404">
        <v>0</v>
      </c>
      <c r="HB19" s="404">
        <v>0</v>
      </c>
      <c r="HC19" s="404">
        <v>0</v>
      </c>
      <c r="HD19" s="404">
        <v>0</v>
      </c>
      <c r="HE19" s="404">
        <v>0</v>
      </c>
      <c r="HF19" s="404">
        <v>0</v>
      </c>
      <c r="HG19" s="404">
        <v>0</v>
      </c>
      <c r="HH19" s="404">
        <v>0</v>
      </c>
      <c r="HI19" s="404">
        <v>0</v>
      </c>
      <c r="HJ19" s="404">
        <v>0</v>
      </c>
      <c r="HK19" s="404">
        <v>0</v>
      </c>
      <c r="HL19" s="397">
        <v>-0.6</v>
      </c>
      <c r="HM19" s="405">
        <v>0</v>
      </c>
      <c r="HN19" s="405">
        <v>0</v>
      </c>
      <c r="HO19" s="405">
        <v>0</v>
      </c>
      <c r="HP19" s="405">
        <v>0</v>
      </c>
      <c r="HQ19" s="397">
        <v>-3.1108822695035498</v>
      </c>
      <c r="HR19" s="397">
        <v>0.1</v>
      </c>
      <c r="HS19" s="397">
        <v>0</v>
      </c>
      <c r="HT19" s="397">
        <v>0</v>
      </c>
      <c r="HU19" s="397">
        <v>0</v>
      </c>
      <c r="HV19" s="397">
        <v>0</v>
      </c>
      <c r="HW19" s="397">
        <v>0.23</v>
      </c>
      <c r="HX19" s="397">
        <v>-9.0767508396599993E-3</v>
      </c>
      <c r="HY19" s="397">
        <v>0</v>
      </c>
      <c r="HZ19" s="397">
        <v>0</v>
      </c>
      <c r="IA19" s="397">
        <v>-2.3954794799700002E-3</v>
      </c>
      <c r="IB19" s="397">
        <v>0</v>
      </c>
      <c r="IC19" s="397">
        <v>-0.47</v>
      </c>
      <c r="ID19" s="405">
        <v>0</v>
      </c>
      <c r="IE19" s="405">
        <v>0</v>
      </c>
      <c r="IF19" s="405">
        <v>0</v>
      </c>
      <c r="IG19" s="405">
        <v>0</v>
      </c>
      <c r="IH19" s="405">
        <v>0</v>
      </c>
      <c r="II19" s="405">
        <v>0</v>
      </c>
      <c r="IJ19" s="405">
        <v>0</v>
      </c>
      <c r="IK19" s="405">
        <v>0</v>
      </c>
      <c r="IL19" s="405">
        <v>0</v>
      </c>
      <c r="IM19" s="405">
        <v>0</v>
      </c>
      <c r="IN19" s="405">
        <v>0</v>
      </c>
      <c r="IO19" s="405">
        <v>0</v>
      </c>
      <c r="IP19" s="404">
        <v>-55.82</v>
      </c>
      <c r="IQ19" s="404">
        <v>-11.99</v>
      </c>
      <c r="IR19" s="404">
        <v>-19.61</v>
      </c>
      <c r="IS19" s="404">
        <v>-12.92</v>
      </c>
      <c r="IT19" s="404">
        <v>-1.07225369578546</v>
      </c>
      <c r="IU19" s="404">
        <v>-0.59</v>
      </c>
      <c r="IV19" s="404">
        <v>-0.12913436945737</v>
      </c>
      <c r="IW19" s="404">
        <v>0</v>
      </c>
      <c r="IX19" s="404">
        <v>0</v>
      </c>
      <c r="IY19" s="404">
        <v>0</v>
      </c>
      <c r="IZ19" s="404">
        <v>-0.75737307686747002</v>
      </c>
      <c r="JA19" s="404">
        <v>0</v>
      </c>
      <c r="JB19" s="404">
        <v>-0.15496124334884001</v>
      </c>
      <c r="JC19" s="404">
        <v>0</v>
      </c>
      <c r="JD19" s="404">
        <v>0</v>
      </c>
      <c r="JE19" s="404">
        <v>0</v>
      </c>
      <c r="JF19" s="404">
        <v>-1.39367584496439</v>
      </c>
      <c r="JG19" s="404">
        <v>0</v>
      </c>
      <c r="JH19" s="404">
        <v>0</v>
      </c>
      <c r="JI19" s="404">
        <v>0</v>
      </c>
      <c r="JJ19" s="404">
        <v>0</v>
      </c>
      <c r="JK19" s="404">
        <v>0</v>
      </c>
      <c r="JL19" s="404">
        <v>0</v>
      </c>
      <c r="JM19" s="404">
        <v>0</v>
      </c>
      <c r="JN19" s="404">
        <v>-0.15496124334885</v>
      </c>
      <c r="JO19" s="404">
        <v>0</v>
      </c>
      <c r="JP19" s="404">
        <v>0</v>
      </c>
      <c r="JQ19" s="404">
        <v>0</v>
      </c>
      <c r="JR19" s="404">
        <v>-1.3435541332540599</v>
      </c>
      <c r="JS19" s="404">
        <v>0</v>
      </c>
      <c r="JT19" s="404">
        <v>-55.82</v>
      </c>
      <c r="JU19" s="404">
        <v>-11.99</v>
      </c>
      <c r="JV19" s="404">
        <v>-19.61</v>
      </c>
      <c r="JW19" s="404">
        <v>-12.92</v>
      </c>
      <c r="JX19" s="404">
        <v>-0.84497718120804999</v>
      </c>
      <c r="JY19" s="404">
        <v>-0.9</v>
      </c>
      <c r="JZ19" s="404">
        <v>0</v>
      </c>
      <c r="KA19" s="404">
        <v>0</v>
      </c>
      <c r="KB19" s="404">
        <v>0</v>
      </c>
      <c r="KC19" s="404">
        <v>0</v>
      </c>
      <c r="KD19" s="404">
        <v>0</v>
      </c>
      <c r="KE19" s="404">
        <v>0</v>
      </c>
      <c r="KF19" s="404">
        <v>0</v>
      </c>
      <c r="KG19" s="404">
        <v>0</v>
      </c>
      <c r="KH19" s="404">
        <v>0</v>
      </c>
      <c r="KI19" s="404">
        <v>0</v>
      </c>
      <c r="KJ19" s="404">
        <v>0</v>
      </c>
      <c r="KK19" s="404">
        <v>0</v>
      </c>
      <c r="KL19" s="404">
        <v>0</v>
      </c>
      <c r="KM19" s="404">
        <v>0</v>
      </c>
      <c r="KN19" s="404">
        <v>0</v>
      </c>
      <c r="KO19" s="404">
        <v>0</v>
      </c>
      <c r="KP19" s="404">
        <v>0</v>
      </c>
      <c r="KQ19" s="404">
        <v>0</v>
      </c>
      <c r="KR19" s="404">
        <v>0</v>
      </c>
      <c r="KS19" s="404">
        <v>0</v>
      </c>
      <c r="KT19" s="404">
        <v>0</v>
      </c>
      <c r="KU19" s="404">
        <v>0</v>
      </c>
      <c r="KV19" s="404">
        <v>0</v>
      </c>
      <c r="KW19" s="404">
        <v>0</v>
      </c>
      <c r="KX19" s="404">
        <v>1.0046888903139199</v>
      </c>
      <c r="KY19" s="404">
        <v>0.16710577309979999</v>
      </c>
      <c r="KZ19" s="404">
        <v>-0.20275762945598999</v>
      </c>
      <c r="LA19" s="404">
        <v>1.2390474038300001E-2</v>
      </c>
      <c r="LB19" s="404">
        <v>-5.5329298001249999E-2</v>
      </c>
      <c r="LC19" s="404">
        <v>-0.44750344212965998</v>
      </c>
      <c r="LD19" s="404">
        <v>-2.6800558377699998E-3</v>
      </c>
      <c r="LE19" s="404">
        <v>0</v>
      </c>
      <c r="LF19" s="404">
        <v>0</v>
      </c>
      <c r="LG19" s="404">
        <v>0</v>
      </c>
      <c r="LH19" s="404">
        <v>4.3345790606010001E-2</v>
      </c>
      <c r="LI19" s="404">
        <v>0</v>
      </c>
      <c r="LJ19" s="404">
        <v>0</v>
      </c>
      <c r="LK19" s="404">
        <v>0</v>
      </c>
      <c r="LL19" s="404">
        <v>0</v>
      </c>
      <c r="LM19" s="404">
        <v>0</v>
      </c>
      <c r="LN19" s="404">
        <v>0.14138326334163001</v>
      </c>
      <c r="LO19" s="404">
        <v>-6.76163329988798</v>
      </c>
      <c r="LP19" s="404">
        <v>0.12020443037641</v>
      </c>
      <c r="LQ19" s="404">
        <v>0</v>
      </c>
      <c r="LR19" s="404">
        <v>0</v>
      </c>
      <c r="LS19" s="404">
        <v>0</v>
      </c>
      <c r="LT19" s="404">
        <v>0</v>
      </c>
      <c r="LU19" s="404">
        <v>-3.11</v>
      </c>
      <c r="LV19" s="401">
        <v>6.8506595710599999E-3</v>
      </c>
      <c r="LW19" s="401">
        <v>0</v>
      </c>
      <c r="LX19" s="401">
        <v>0</v>
      </c>
      <c r="LY19" s="401">
        <v>0</v>
      </c>
      <c r="LZ19" s="401">
        <v>0</v>
      </c>
      <c r="MA19" s="401">
        <v>-0.43889541996992998</v>
      </c>
      <c r="MB19" s="404">
        <v>0</v>
      </c>
      <c r="MC19" s="404">
        <v>0</v>
      </c>
      <c r="MD19" s="404">
        <v>0</v>
      </c>
      <c r="ME19" s="404">
        <v>0</v>
      </c>
      <c r="MF19" s="404">
        <v>0</v>
      </c>
      <c r="MG19" s="404">
        <v>0</v>
      </c>
    </row>
    <row r="20" spans="1:345" ht="18" customHeight="1">
      <c r="A20" s="10" t="s">
        <v>10</v>
      </c>
      <c r="B20" s="15">
        <v>-0.6</v>
      </c>
      <c r="C20" s="15">
        <v>-0.5</v>
      </c>
      <c r="D20" s="15">
        <v>-0.5</v>
      </c>
      <c r="E20" s="255">
        <v>542.25</v>
      </c>
      <c r="F20" s="253">
        <v>-6</v>
      </c>
      <c r="G20" s="20">
        <v>-7.5</v>
      </c>
      <c r="H20" s="20">
        <v>-7.5</v>
      </c>
      <c r="I20" s="5">
        <v>1950.6284309645287</v>
      </c>
      <c r="J20" s="6">
        <v>12</v>
      </c>
      <c r="K20" s="6">
        <v>375.44870000000003</v>
      </c>
      <c r="L20" s="17">
        <v>0.2</v>
      </c>
      <c r="M20" s="17">
        <v>0.2</v>
      </c>
      <c r="N20" s="17">
        <v>0.2</v>
      </c>
      <c r="O20" s="16">
        <v>0</v>
      </c>
      <c r="P20" s="16">
        <v>0</v>
      </c>
      <c r="Q20" s="16">
        <v>96.1</v>
      </c>
      <c r="R20" s="16">
        <v>3.9</v>
      </c>
      <c r="S20" s="252">
        <v>0</v>
      </c>
      <c r="T20" s="303">
        <v>2</v>
      </c>
      <c r="U20" s="304">
        <v>1.5</v>
      </c>
      <c r="V20" s="303">
        <v>1</v>
      </c>
      <c r="W20" s="304">
        <v>0.8</v>
      </c>
      <c r="X20" s="304">
        <v>0.5</v>
      </c>
      <c r="Y20" s="5">
        <v>9834.5134190144236</v>
      </c>
      <c r="Z20" s="14">
        <v>1.5</v>
      </c>
      <c r="AA20" s="5">
        <v>163.09728573894137</v>
      </c>
      <c r="AB20" s="17">
        <v>0.2</v>
      </c>
      <c r="AC20" s="17">
        <v>0.2</v>
      </c>
      <c r="AD20" s="17">
        <v>0.2</v>
      </c>
      <c r="AE20" s="254">
        <v>0.17719020114452594</v>
      </c>
      <c r="AF20" s="254">
        <v>0.18538934885511546</v>
      </c>
      <c r="AG20" s="18"/>
      <c r="AH20" s="18">
        <v>0.1</v>
      </c>
      <c r="AI20" s="18"/>
      <c r="AJ20" s="18">
        <v>91.1</v>
      </c>
      <c r="AK20" s="18">
        <v>0.5</v>
      </c>
      <c r="AL20" s="18"/>
      <c r="AM20" s="18">
        <v>8.1</v>
      </c>
      <c r="AN20" s="18"/>
      <c r="AO20" s="18"/>
      <c r="AP20" s="18"/>
      <c r="AQ20" s="18"/>
      <c r="AR20" s="18"/>
      <c r="AS20" s="18"/>
      <c r="AT20" s="18"/>
      <c r="AU20" s="18"/>
      <c r="AV20" s="304">
        <v>0.3</v>
      </c>
      <c r="AW20" s="304">
        <v>0.7</v>
      </c>
      <c r="AX20" s="304">
        <v>1.2</v>
      </c>
      <c r="AY20" s="304">
        <v>1.2</v>
      </c>
      <c r="AZ20" s="303">
        <v>3</v>
      </c>
      <c r="BA20" s="6">
        <v>4.3907240591433698</v>
      </c>
      <c r="BB20" s="6">
        <v>18</v>
      </c>
      <c r="BC20" s="5">
        <f t="shared" si="348"/>
        <v>79.03303306458065</v>
      </c>
      <c r="BD20" s="17">
        <v>1.4</v>
      </c>
      <c r="BE20" s="17">
        <v>1.3</v>
      </c>
      <c r="BF20" s="17">
        <v>1.3</v>
      </c>
      <c r="BG20" s="6">
        <v>4.3907240591433698</v>
      </c>
      <c r="BH20" s="6">
        <v>18</v>
      </c>
      <c r="BI20" s="5">
        <v>6094.89</v>
      </c>
      <c r="BJ20" s="17">
        <v>1.4</v>
      </c>
      <c r="BK20" s="17">
        <v>1.3</v>
      </c>
      <c r="BL20" s="17">
        <v>1.3</v>
      </c>
      <c r="BM20" s="5">
        <v>103.3461402042041</v>
      </c>
      <c r="BN20" s="6">
        <v>179.9</v>
      </c>
      <c r="BO20" s="6">
        <v>4750.5600000000104</v>
      </c>
      <c r="BP20" s="17">
        <v>1.4</v>
      </c>
      <c r="BQ20" s="17">
        <v>1.3</v>
      </c>
      <c r="BR20" s="17">
        <v>1.3</v>
      </c>
      <c r="BS20" s="221">
        <v>2</v>
      </c>
      <c r="BT20" s="54">
        <v>1.5</v>
      </c>
      <c r="BU20" s="54">
        <v>0.7</v>
      </c>
      <c r="BV20" s="54">
        <v>0.7</v>
      </c>
      <c r="BW20" s="54">
        <v>0.5</v>
      </c>
      <c r="BX20" s="5">
        <v>6.0124328776648497</v>
      </c>
      <c r="BY20" s="5">
        <v>8612.8627500000403</v>
      </c>
      <c r="BZ20" s="17">
        <v>0.9</v>
      </c>
      <c r="CA20" s="17">
        <v>0.8</v>
      </c>
      <c r="CB20" s="17">
        <v>0.8</v>
      </c>
      <c r="CC20" s="221">
        <v>2</v>
      </c>
      <c r="CD20" s="221">
        <v>2</v>
      </c>
      <c r="CE20" s="221">
        <v>1</v>
      </c>
      <c r="CF20" s="221">
        <v>1</v>
      </c>
      <c r="CG20" s="54">
        <v>0.5</v>
      </c>
      <c r="CH20" s="5">
        <v>233.32360716503285</v>
      </c>
      <c r="CI20" s="5">
        <v>500</v>
      </c>
      <c r="CJ20" s="19">
        <v>0.7</v>
      </c>
      <c r="CK20" s="19">
        <v>0.5</v>
      </c>
      <c r="CL20" s="19">
        <v>0.5</v>
      </c>
      <c r="CM20" s="54">
        <v>2</v>
      </c>
      <c r="CN20" s="54">
        <v>1.5</v>
      </c>
      <c r="CO20" s="54">
        <v>0.5</v>
      </c>
      <c r="CP20" s="54">
        <v>1</v>
      </c>
      <c r="CQ20" s="54">
        <v>0.5</v>
      </c>
      <c r="CR20" s="5"/>
      <c r="CS20" s="8">
        <v>29</v>
      </c>
      <c r="CT20" s="17">
        <v>0.7</v>
      </c>
      <c r="CU20" s="17">
        <v>1.2</v>
      </c>
      <c r="CV20" s="17">
        <v>1.2</v>
      </c>
      <c r="CW20" s="54">
        <v>2</v>
      </c>
      <c r="CX20" s="54">
        <v>1</v>
      </c>
      <c r="CY20" s="54">
        <v>0.5</v>
      </c>
      <c r="CZ20" s="54">
        <v>0.7</v>
      </c>
      <c r="DA20" s="54">
        <v>0.2</v>
      </c>
      <c r="DB20" s="403">
        <v>0</v>
      </c>
      <c r="DC20" s="403">
        <v>0</v>
      </c>
      <c r="DD20" s="403">
        <v>0</v>
      </c>
      <c r="DE20" s="403">
        <v>0</v>
      </c>
      <c r="DF20" s="403">
        <v>0</v>
      </c>
      <c r="DG20" s="403">
        <v>0</v>
      </c>
      <c r="DH20" s="403">
        <v>0</v>
      </c>
      <c r="DI20" s="403">
        <v>0</v>
      </c>
      <c r="DJ20" s="403">
        <v>0</v>
      </c>
      <c r="DK20" s="403">
        <v>0</v>
      </c>
      <c r="DL20" s="403">
        <v>0</v>
      </c>
      <c r="DM20" s="403">
        <v>0</v>
      </c>
      <c r="DN20" s="403">
        <v>0</v>
      </c>
      <c r="DO20" s="403">
        <v>0</v>
      </c>
      <c r="DP20" s="403">
        <v>0</v>
      </c>
      <c r="DQ20" s="403">
        <v>0</v>
      </c>
      <c r="DR20" s="403">
        <v>0</v>
      </c>
      <c r="DS20" s="403">
        <v>0</v>
      </c>
      <c r="DT20" s="403">
        <v>0</v>
      </c>
      <c r="DU20" s="403">
        <v>0</v>
      </c>
      <c r="DV20" s="403">
        <v>0</v>
      </c>
      <c r="DW20" s="403">
        <v>0</v>
      </c>
      <c r="DX20" s="403">
        <v>0</v>
      </c>
      <c r="DY20" s="403">
        <v>0</v>
      </c>
      <c r="DZ20" s="404">
        <v>0</v>
      </c>
      <c r="EA20" s="404">
        <v>0</v>
      </c>
      <c r="EB20" s="404">
        <v>0</v>
      </c>
      <c r="EC20" s="404">
        <v>0</v>
      </c>
      <c r="ED20" s="404">
        <v>0</v>
      </c>
      <c r="EE20" s="404">
        <v>0</v>
      </c>
      <c r="EF20" s="404">
        <v>2.3331596698950001</v>
      </c>
      <c r="EG20" s="404">
        <v>0</v>
      </c>
      <c r="EH20" s="404">
        <v>0</v>
      </c>
      <c r="EI20" s="404">
        <v>0.98609088910742004</v>
      </c>
      <c r="EJ20" s="404">
        <v>9.6999770847580005E-2</v>
      </c>
      <c r="EK20" s="404">
        <v>-0.74905005460903995</v>
      </c>
      <c r="EL20" s="404">
        <v>2.3331596698949899</v>
      </c>
      <c r="EM20" s="404">
        <v>0</v>
      </c>
      <c r="EN20" s="404">
        <v>0</v>
      </c>
      <c r="EO20" s="404">
        <v>0.98609088910742004</v>
      </c>
      <c r="EP20" s="404">
        <v>0</v>
      </c>
      <c r="EQ20" s="404">
        <v>-0.74905005460903995</v>
      </c>
      <c r="ER20" s="404">
        <v>0</v>
      </c>
      <c r="ES20" s="404">
        <v>0</v>
      </c>
      <c r="ET20" s="404">
        <v>0</v>
      </c>
      <c r="EU20" s="404">
        <v>0</v>
      </c>
      <c r="EV20" s="404">
        <v>0</v>
      </c>
      <c r="EW20" s="404">
        <v>0</v>
      </c>
      <c r="EX20" s="404">
        <v>0</v>
      </c>
      <c r="EY20" s="404">
        <v>0</v>
      </c>
      <c r="EZ20" s="404">
        <v>0</v>
      </c>
      <c r="FA20" s="404">
        <v>0</v>
      </c>
      <c r="FB20" s="404">
        <v>0</v>
      </c>
      <c r="FC20" s="404">
        <v>0</v>
      </c>
      <c r="FD20" s="404">
        <v>0</v>
      </c>
      <c r="FE20" s="404">
        <v>0</v>
      </c>
      <c r="FF20" s="404">
        <v>0</v>
      </c>
      <c r="FG20" s="404">
        <v>0</v>
      </c>
      <c r="FH20" s="404">
        <v>0</v>
      </c>
      <c r="FI20" s="404">
        <v>0</v>
      </c>
      <c r="FJ20" s="404">
        <v>0</v>
      </c>
      <c r="FK20" s="404">
        <v>0</v>
      </c>
      <c r="FL20" s="404">
        <v>0</v>
      </c>
      <c r="FM20" s="404">
        <v>0</v>
      </c>
      <c r="FN20" s="404">
        <v>0</v>
      </c>
      <c r="FO20" s="404">
        <v>0</v>
      </c>
      <c r="FP20" s="404">
        <v>0</v>
      </c>
      <c r="FQ20" s="404">
        <v>0</v>
      </c>
      <c r="FR20" s="404">
        <v>0</v>
      </c>
      <c r="FS20" s="404">
        <v>0</v>
      </c>
      <c r="FT20" s="404">
        <v>0</v>
      </c>
      <c r="FU20" s="404">
        <v>0</v>
      </c>
      <c r="FV20" s="404">
        <v>0</v>
      </c>
      <c r="FW20" s="404">
        <v>0</v>
      </c>
      <c r="FX20" s="404">
        <v>0</v>
      </c>
      <c r="FY20" s="404">
        <v>0</v>
      </c>
      <c r="FZ20" s="404">
        <v>0</v>
      </c>
      <c r="GA20" s="404">
        <v>0</v>
      </c>
      <c r="GB20" s="404">
        <v>0</v>
      </c>
      <c r="GC20" s="404">
        <v>0</v>
      </c>
      <c r="GD20" s="404">
        <v>0</v>
      </c>
      <c r="GE20" s="404">
        <v>0</v>
      </c>
      <c r="GF20" s="404">
        <v>0</v>
      </c>
      <c r="GG20" s="404">
        <v>0</v>
      </c>
      <c r="GH20" s="404">
        <v>-55.82</v>
      </c>
      <c r="GI20" s="404">
        <v>-11.99</v>
      </c>
      <c r="GJ20" s="404">
        <v>-19.61</v>
      </c>
      <c r="GK20" s="404">
        <v>-12.92</v>
      </c>
      <c r="GL20" s="404">
        <v>4.6060068064949999E-2</v>
      </c>
      <c r="GM20" s="404">
        <v>-3.91</v>
      </c>
      <c r="GN20" s="404">
        <v>0</v>
      </c>
      <c r="GO20" s="404">
        <v>0</v>
      </c>
      <c r="GP20" s="404">
        <v>0</v>
      </c>
      <c r="GQ20" s="404">
        <v>0</v>
      </c>
      <c r="GR20" s="404">
        <v>0</v>
      </c>
      <c r="GS20" s="404">
        <v>0</v>
      </c>
      <c r="GT20" s="404">
        <v>0</v>
      </c>
      <c r="GU20" s="404">
        <v>0</v>
      </c>
      <c r="GV20" s="404">
        <v>0</v>
      </c>
      <c r="GW20" s="404">
        <v>0</v>
      </c>
      <c r="GX20" s="404">
        <v>0</v>
      </c>
      <c r="GY20" s="404">
        <v>0</v>
      </c>
      <c r="GZ20" s="404">
        <v>0</v>
      </c>
      <c r="HA20" s="404">
        <v>0</v>
      </c>
      <c r="HB20" s="404">
        <v>0</v>
      </c>
      <c r="HC20" s="404">
        <v>0</v>
      </c>
      <c r="HD20" s="404">
        <v>0</v>
      </c>
      <c r="HE20" s="404">
        <v>0</v>
      </c>
      <c r="HF20" s="404">
        <v>0</v>
      </c>
      <c r="HG20" s="404">
        <v>0</v>
      </c>
      <c r="HH20" s="404">
        <v>0</v>
      </c>
      <c r="HI20" s="404">
        <v>0</v>
      </c>
      <c r="HJ20" s="404">
        <v>0</v>
      </c>
      <c r="HK20" s="404">
        <v>0</v>
      </c>
      <c r="HL20" s="397">
        <v>-0.6</v>
      </c>
      <c r="HM20" s="405">
        <v>0</v>
      </c>
      <c r="HN20" s="405">
        <v>0</v>
      </c>
      <c r="HO20" s="405">
        <v>0</v>
      </c>
      <c r="HP20" s="405">
        <v>0</v>
      </c>
      <c r="HQ20" s="397">
        <v>-3.1108822695035498</v>
      </c>
      <c r="HR20" s="397">
        <v>0.1</v>
      </c>
      <c r="HS20" s="397">
        <v>0</v>
      </c>
      <c r="HT20" s="397">
        <v>0</v>
      </c>
      <c r="HU20" s="397">
        <v>0</v>
      </c>
      <c r="HV20" s="397">
        <v>0</v>
      </c>
      <c r="HW20" s="397">
        <v>0.23</v>
      </c>
      <c r="HX20" s="397">
        <v>-9.0767508396599993E-3</v>
      </c>
      <c r="HY20" s="397">
        <v>0</v>
      </c>
      <c r="HZ20" s="397">
        <v>0</v>
      </c>
      <c r="IA20" s="397">
        <v>-2.3954794799700002E-3</v>
      </c>
      <c r="IB20" s="397">
        <v>0</v>
      </c>
      <c r="IC20" s="397">
        <v>-0.47</v>
      </c>
      <c r="ID20" s="405">
        <v>0</v>
      </c>
      <c r="IE20" s="405">
        <v>0</v>
      </c>
      <c r="IF20" s="405">
        <v>0</v>
      </c>
      <c r="IG20" s="405">
        <v>0</v>
      </c>
      <c r="IH20" s="405">
        <v>0</v>
      </c>
      <c r="II20" s="405">
        <v>0</v>
      </c>
      <c r="IJ20" s="405">
        <v>0</v>
      </c>
      <c r="IK20" s="405">
        <v>0</v>
      </c>
      <c r="IL20" s="405">
        <v>0</v>
      </c>
      <c r="IM20" s="405">
        <v>0</v>
      </c>
      <c r="IN20" s="405">
        <v>0</v>
      </c>
      <c r="IO20" s="405">
        <v>0</v>
      </c>
      <c r="IP20" s="404">
        <v>-55.82</v>
      </c>
      <c r="IQ20" s="404">
        <v>-11.99</v>
      </c>
      <c r="IR20" s="404">
        <v>-19.61</v>
      </c>
      <c r="IS20" s="404">
        <v>-12.92</v>
      </c>
      <c r="IT20" s="404">
        <v>-1.07225369578546</v>
      </c>
      <c r="IU20" s="404">
        <v>-0.59</v>
      </c>
      <c r="IV20" s="404">
        <v>-0.12913436945737</v>
      </c>
      <c r="IW20" s="404">
        <v>0</v>
      </c>
      <c r="IX20" s="404">
        <v>0</v>
      </c>
      <c r="IY20" s="404">
        <v>0</v>
      </c>
      <c r="IZ20" s="404">
        <v>-0.75737307686747002</v>
      </c>
      <c r="JA20" s="404">
        <v>0</v>
      </c>
      <c r="JB20" s="404">
        <v>-0.15496124334884001</v>
      </c>
      <c r="JC20" s="404">
        <v>0</v>
      </c>
      <c r="JD20" s="404">
        <v>0</v>
      </c>
      <c r="JE20" s="404">
        <v>0</v>
      </c>
      <c r="JF20" s="404">
        <v>-1.39367584496439</v>
      </c>
      <c r="JG20" s="404">
        <v>0</v>
      </c>
      <c r="JH20" s="404">
        <v>0</v>
      </c>
      <c r="JI20" s="404">
        <v>0</v>
      </c>
      <c r="JJ20" s="404">
        <v>0</v>
      </c>
      <c r="JK20" s="404">
        <v>0</v>
      </c>
      <c r="JL20" s="404">
        <v>0</v>
      </c>
      <c r="JM20" s="404">
        <v>0</v>
      </c>
      <c r="JN20" s="404">
        <v>-0.15496124334885</v>
      </c>
      <c r="JO20" s="404">
        <v>0</v>
      </c>
      <c r="JP20" s="404">
        <v>0</v>
      </c>
      <c r="JQ20" s="404">
        <v>0</v>
      </c>
      <c r="JR20" s="404">
        <v>-1.3435541332540599</v>
      </c>
      <c r="JS20" s="404">
        <v>0</v>
      </c>
      <c r="JT20" s="404">
        <v>-55.82</v>
      </c>
      <c r="JU20" s="404">
        <v>-11.99</v>
      </c>
      <c r="JV20" s="404">
        <v>-19.61</v>
      </c>
      <c r="JW20" s="404">
        <v>-12.92</v>
      </c>
      <c r="JX20" s="404">
        <v>-0.84497718120804999</v>
      </c>
      <c r="JY20" s="404">
        <v>-0.9</v>
      </c>
      <c r="JZ20" s="404">
        <v>0</v>
      </c>
      <c r="KA20" s="404">
        <v>0</v>
      </c>
      <c r="KB20" s="404">
        <v>0</v>
      </c>
      <c r="KC20" s="404">
        <v>0</v>
      </c>
      <c r="KD20" s="404">
        <v>0</v>
      </c>
      <c r="KE20" s="404">
        <v>0</v>
      </c>
      <c r="KF20" s="404">
        <v>0</v>
      </c>
      <c r="KG20" s="404">
        <v>0</v>
      </c>
      <c r="KH20" s="404">
        <v>0</v>
      </c>
      <c r="KI20" s="404">
        <v>0</v>
      </c>
      <c r="KJ20" s="404">
        <v>0</v>
      </c>
      <c r="KK20" s="404">
        <v>0</v>
      </c>
      <c r="KL20" s="404">
        <v>0</v>
      </c>
      <c r="KM20" s="404">
        <v>0</v>
      </c>
      <c r="KN20" s="404">
        <v>0</v>
      </c>
      <c r="KO20" s="404">
        <v>0</v>
      </c>
      <c r="KP20" s="404">
        <v>0</v>
      </c>
      <c r="KQ20" s="404">
        <v>0</v>
      </c>
      <c r="KR20" s="404">
        <v>0</v>
      </c>
      <c r="KS20" s="404">
        <v>0</v>
      </c>
      <c r="KT20" s="404">
        <v>0</v>
      </c>
      <c r="KU20" s="404">
        <v>0</v>
      </c>
      <c r="KV20" s="404">
        <v>0</v>
      </c>
      <c r="KW20" s="404">
        <v>0</v>
      </c>
      <c r="KX20" s="404">
        <v>1.0046888903139199</v>
      </c>
      <c r="KY20" s="404">
        <v>0.16710577309979999</v>
      </c>
      <c r="KZ20" s="404">
        <v>-0.20275762945598999</v>
      </c>
      <c r="LA20" s="404">
        <v>1.2390474038300001E-2</v>
      </c>
      <c r="LB20" s="404">
        <v>-5.5329298001249999E-2</v>
      </c>
      <c r="LC20" s="404">
        <v>-0.44750344212965998</v>
      </c>
      <c r="LD20" s="404">
        <v>-2.6800558377699998E-3</v>
      </c>
      <c r="LE20" s="404">
        <v>0</v>
      </c>
      <c r="LF20" s="404">
        <v>0</v>
      </c>
      <c r="LG20" s="404">
        <v>0</v>
      </c>
      <c r="LH20" s="404">
        <v>4.3345790606010001E-2</v>
      </c>
      <c r="LI20" s="404">
        <v>0</v>
      </c>
      <c r="LJ20" s="404">
        <v>0</v>
      </c>
      <c r="LK20" s="404">
        <v>0</v>
      </c>
      <c r="LL20" s="404">
        <v>0</v>
      </c>
      <c r="LM20" s="404">
        <v>0</v>
      </c>
      <c r="LN20" s="404">
        <v>0.14138326334163001</v>
      </c>
      <c r="LO20" s="404">
        <v>-6.76163329988798</v>
      </c>
      <c r="LP20" s="404">
        <v>0.12020443037641</v>
      </c>
      <c r="LQ20" s="404">
        <v>0</v>
      </c>
      <c r="LR20" s="404">
        <v>0</v>
      </c>
      <c r="LS20" s="404">
        <v>0</v>
      </c>
      <c r="LT20" s="404">
        <v>0</v>
      </c>
      <c r="LU20" s="404">
        <v>-3.11</v>
      </c>
      <c r="LV20" s="401">
        <v>6.8506595710599999E-3</v>
      </c>
      <c r="LW20" s="401">
        <v>0</v>
      </c>
      <c r="LX20" s="401">
        <v>0</v>
      </c>
      <c r="LY20" s="401">
        <v>0</v>
      </c>
      <c r="LZ20" s="401">
        <v>0</v>
      </c>
      <c r="MA20" s="401">
        <v>-0.43889541996992998</v>
      </c>
      <c r="MB20" s="404">
        <v>0</v>
      </c>
      <c r="MC20" s="404">
        <v>0</v>
      </c>
      <c r="MD20" s="404">
        <v>0</v>
      </c>
      <c r="ME20" s="404">
        <v>0</v>
      </c>
      <c r="MF20" s="404">
        <v>0</v>
      </c>
      <c r="MG20" s="404">
        <v>0</v>
      </c>
    </row>
    <row r="21" spans="1:345" ht="18" customHeight="1">
      <c r="A21" s="10" t="s">
        <v>11</v>
      </c>
      <c r="B21" s="15">
        <v>-0.1</v>
      </c>
      <c r="C21" s="15">
        <v>-0.2</v>
      </c>
      <c r="D21" s="15">
        <v>-0.2</v>
      </c>
      <c r="E21" s="255">
        <v>286.42361111111109</v>
      </c>
      <c r="F21" s="256">
        <v>-9.4</v>
      </c>
      <c r="G21" s="16">
        <v>-0.9</v>
      </c>
      <c r="H21" s="16">
        <v>-0.9</v>
      </c>
      <c r="I21" s="5">
        <v>1985.8601373210677</v>
      </c>
      <c r="J21" s="6">
        <v>12</v>
      </c>
      <c r="K21" s="6">
        <v>370.68169999999998</v>
      </c>
      <c r="L21" s="17">
        <v>0.8</v>
      </c>
      <c r="M21" s="17">
        <v>0.7</v>
      </c>
      <c r="N21" s="17">
        <v>0.7</v>
      </c>
      <c r="O21" s="16">
        <v>0.4</v>
      </c>
      <c r="P21" s="16">
        <v>0</v>
      </c>
      <c r="Q21" s="16">
        <v>98.3</v>
      </c>
      <c r="R21" s="16">
        <v>1.3</v>
      </c>
      <c r="S21" s="252">
        <v>0</v>
      </c>
      <c r="T21" s="303">
        <v>2</v>
      </c>
      <c r="U21" s="304">
        <v>1.5</v>
      </c>
      <c r="V21" s="303">
        <v>1</v>
      </c>
      <c r="W21" s="304">
        <v>0.8</v>
      </c>
      <c r="X21" s="304">
        <v>0.5</v>
      </c>
      <c r="Y21" s="5">
        <v>6743.9187866940065</v>
      </c>
      <c r="Z21" s="14">
        <v>1.84</v>
      </c>
      <c r="AA21" s="5">
        <v>162.5548856348608</v>
      </c>
      <c r="AB21" s="17">
        <v>1.2</v>
      </c>
      <c r="AC21" s="17">
        <v>1.1000000000000001</v>
      </c>
      <c r="AD21" s="17">
        <v>1.1000000000000001</v>
      </c>
      <c r="AE21" s="254">
        <v>0.16992019951201232</v>
      </c>
      <c r="AF21" s="254">
        <v>0.17709225342845586</v>
      </c>
      <c r="AG21" s="18">
        <v>4.9365677032073144E-4</v>
      </c>
      <c r="AH21" s="18">
        <v>2.8268345584681883E-2</v>
      </c>
      <c r="AI21" s="18">
        <v>2.1639314617332861</v>
      </c>
      <c r="AJ21" s="18">
        <v>65.723175990197532</v>
      </c>
      <c r="AK21" s="18">
        <v>0</v>
      </c>
      <c r="AL21" s="18">
        <v>0</v>
      </c>
      <c r="AM21" s="18">
        <v>31.156367600734562</v>
      </c>
      <c r="AN21" s="18">
        <v>0</v>
      </c>
      <c r="AO21" s="18">
        <v>0</v>
      </c>
      <c r="AP21" s="18">
        <v>0</v>
      </c>
      <c r="AQ21" s="18">
        <v>0</v>
      </c>
      <c r="AR21" s="18">
        <v>0</v>
      </c>
      <c r="AS21" s="18">
        <v>0.75194318893959411</v>
      </c>
      <c r="AT21" s="18">
        <v>4.4688928681666214E-3</v>
      </c>
      <c r="AU21" s="18">
        <v>0.17135086317185386</v>
      </c>
      <c r="AV21" s="304">
        <v>0.3</v>
      </c>
      <c r="AW21" s="304">
        <v>0.7</v>
      </c>
      <c r="AX21" s="304">
        <v>1.2</v>
      </c>
      <c r="AY21" s="304">
        <v>1.2</v>
      </c>
      <c r="AZ21" s="303">
        <v>3</v>
      </c>
      <c r="BA21" s="6">
        <v>7.7294883580551366</v>
      </c>
      <c r="BB21" s="6">
        <v>18</v>
      </c>
      <c r="BC21" s="5">
        <f t="shared" si="348"/>
        <v>139.13079044499247</v>
      </c>
      <c r="BD21" s="17">
        <v>2.1</v>
      </c>
      <c r="BE21" s="17">
        <v>1.6</v>
      </c>
      <c r="BF21" s="17">
        <v>1.6</v>
      </c>
      <c r="BG21" s="6">
        <v>7.7294883580551366</v>
      </c>
      <c r="BH21" s="6">
        <v>18</v>
      </c>
      <c r="BI21" s="5">
        <v>3505.8249999999998</v>
      </c>
      <c r="BJ21" s="17">
        <v>2.1</v>
      </c>
      <c r="BK21" s="17">
        <v>1.6</v>
      </c>
      <c r="BL21" s="17">
        <v>1.6</v>
      </c>
      <c r="BM21" s="5">
        <v>798.4977964749354</v>
      </c>
      <c r="BN21" s="6">
        <v>179.9</v>
      </c>
      <c r="BO21" s="6">
        <v>3330.7749997316441</v>
      </c>
      <c r="BP21" s="17">
        <v>2.1</v>
      </c>
      <c r="BQ21" s="17">
        <v>1.6</v>
      </c>
      <c r="BR21" s="17">
        <v>1.6</v>
      </c>
      <c r="BS21" s="221">
        <v>2</v>
      </c>
      <c r="BT21" s="54">
        <v>1.5</v>
      </c>
      <c r="BU21" s="54">
        <v>0.7</v>
      </c>
      <c r="BV21" s="54">
        <v>0.7</v>
      </c>
      <c r="BW21" s="54">
        <v>0.5</v>
      </c>
      <c r="BX21" s="5">
        <v>92.622139891881119</v>
      </c>
      <c r="BY21" s="5">
        <v>5568.3480577730043</v>
      </c>
      <c r="BZ21" s="17">
        <v>2.4</v>
      </c>
      <c r="CA21" s="17">
        <v>1.4</v>
      </c>
      <c r="CB21" s="17">
        <v>1.4</v>
      </c>
      <c r="CC21" s="221">
        <v>2</v>
      </c>
      <c r="CD21" s="221">
        <v>2</v>
      </c>
      <c r="CE21" s="221">
        <v>1</v>
      </c>
      <c r="CF21" s="221">
        <v>1</v>
      </c>
      <c r="CG21" s="54">
        <v>0.5</v>
      </c>
      <c r="CH21" s="5">
        <v>236.30672398860028</v>
      </c>
      <c r="CI21" s="5">
        <v>500</v>
      </c>
      <c r="CJ21" s="19">
        <v>1.5</v>
      </c>
      <c r="CK21" s="19">
        <v>0.9</v>
      </c>
      <c r="CL21" s="19">
        <v>0.9</v>
      </c>
      <c r="CM21" s="54">
        <v>2</v>
      </c>
      <c r="CN21" s="54">
        <v>1.5</v>
      </c>
      <c r="CO21" s="54">
        <v>0.5</v>
      </c>
      <c r="CP21" s="54">
        <v>1</v>
      </c>
      <c r="CQ21" s="54">
        <v>0.5</v>
      </c>
      <c r="CR21" s="5">
        <v>205.32800480784053</v>
      </c>
      <c r="CS21" s="8">
        <v>29</v>
      </c>
      <c r="CT21" s="17">
        <v>1.7</v>
      </c>
      <c r="CU21" s="19">
        <v>1</v>
      </c>
      <c r="CV21" s="19">
        <v>1</v>
      </c>
      <c r="CW21" s="54">
        <v>2</v>
      </c>
      <c r="CX21" s="54">
        <v>1</v>
      </c>
      <c r="CY21" s="54">
        <v>0.5</v>
      </c>
      <c r="CZ21" s="54">
        <v>0.7</v>
      </c>
      <c r="DA21" s="54">
        <v>0.2</v>
      </c>
      <c r="DB21" s="403">
        <v>0</v>
      </c>
      <c r="DC21" s="403">
        <v>0</v>
      </c>
      <c r="DD21" s="403">
        <v>0</v>
      </c>
      <c r="DE21" s="403">
        <v>0</v>
      </c>
      <c r="DF21" s="403">
        <v>0</v>
      </c>
      <c r="DG21" s="403">
        <v>0</v>
      </c>
      <c r="DH21" s="403">
        <v>0</v>
      </c>
      <c r="DI21" s="403">
        <v>0</v>
      </c>
      <c r="DJ21" s="403">
        <v>0</v>
      </c>
      <c r="DK21" s="403">
        <v>0</v>
      </c>
      <c r="DL21" s="403">
        <v>0</v>
      </c>
      <c r="DM21" s="403">
        <v>0</v>
      </c>
      <c r="DN21" s="403">
        <v>0</v>
      </c>
      <c r="DO21" s="403">
        <v>0</v>
      </c>
      <c r="DP21" s="403">
        <v>0</v>
      </c>
      <c r="DQ21" s="403">
        <v>0</v>
      </c>
      <c r="DR21" s="403">
        <v>0</v>
      </c>
      <c r="DS21" s="403">
        <v>0</v>
      </c>
      <c r="DT21" s="403">
        <v>0</v>
      </c>
      <c r="DU21" s="403">
        <v>0</v>
      </c>
      <c r="DV21" s="403">
        <v>0</v>
      </c>
      <c r="DW21" s="403">
        <v>0</v>
      </c>
      <c r="DX21" s="403">
        <v>0</v>
      </c>
      <c r="DY21" s="403">
        <v>0</v>
      </c>
      <c r="DZ21" s="404">
        <v>0</v>
      </c>
      <c r="EA21" s="404">
        <v>0</v>
      </c>
      <c r="EB21" s="404">
        <v>0</v>
      </c>
      <c r="EC21" s="404">
        <v>0</v>
      </c>
      <c r="ED21" s="404">
        <v>0</v>
      </c>
      <c r="EE21" s="404">
        <v>0</v>
      </c>
      <c r="EF21" s="404">
        <v>2.3331596698950001</v>
      </c>
      <c r="EG21" s="404">
        <v>0</v>
      </c>
      <c r="EH21" s="404">
        <v>0</v>
      </c>
      <c r="EI21" s="404">
        <v>0.98609088910742004</v>
      </c>
      <c r="EJ21" s="404">
        <v>9.6999770847580005E-2</v>
      </c>
      <c r="EK21" s="404">
        <v>-0.74905005460903995</v>
      </c>
      <c r="EL21" s="404">
        <v>2.3331596698949899</v>
      </c>
      <c r="EM21" s="404">
        <v>0</v>
      </c>
      <c r="EN21" s="404">
        <v>0</v>
      </c>
      <c r="EO21" s="404">
        <v>0.98609088910742004</v>
      </c>
      <c r="EP21" s="404">
        <v>0</v>
      </c>
      <c r="EQ21" s="404">
        <v>-0.74905005460903995</v>
      </c>
      <c r="ER21" s="404">
        <v>0</v>
      </c>
      <c r="ES21" s="404">
        <v>0</v>
      </c>
      <c r="ET21" s="404">
        <v>0</v>
      </c>
      <c r="EU21" s="404">
        <v>0</v>
      </c>
      <c r="EV21" s="404">
        <v>0</v>
      </c>
      <c r="EW21" s="404">
        <v>0</v>
      </c>
      <c r="EX21" s="404">
        <v>0</v>
      </c>
      <c r="EY21" s="404">
        <v>0</v>
      </c>
      <c r="EZ21" s="404">
        <v>0</v>
      </c>
      <c r="FA21" s="404">
        <v>0</v>
      </c>
      <c r="FB21" s="404">
        <v>0</v>
      </c>
      <c r="FC21" s="404">
        <v>0</v>
      </c>
      <c r="FD21" s="404">
        <v>0</v>
      </c>
      <c r="FE21" s="404">
        <v>0</v>
      </c>
      <c r="FF21" s="404">
        <v>0</v>
      </c>
      <c r="FG21" s="404">
        <v>0</v>
      </c>
      <c r="FH21" s="404">
        <v>0</v>
      </c>
      <c r="FI21" s="404">
        <v>0</v>
      </c>
      <c r="FJ21" s="404">
        <v>0</v>
      </c>
      <c r="FK21" s="404">
        <v>0</v>
      </c>
      <c r="FL21" s="404">
        <v>0</v>
      </c>
      <c r="FM21" s="404">
        <v>0</v>
      </c>
      <c r="FN21" s="404">
        <v>0</v>
      </c>
      <c r="FO21" s="404">
        <v>0</v>
      </c>
      <c r="FP21" s="404">
        <v>0</v>
      </c>
      <c r="FQ21" s="404">
        <v>0</v>
      </c>
      <c r="FR21" s="404">
        <v>0</v>
      </c>
      <c r="FS21" s="404">
        <v>0</v>
      </c>
      <c r="FT21" s="404">
        <v>0</v>
      </c>
      <c r="FU21" s="404">
        <v>0</v>
      </c>
      <c r="FV21" s="404">
        <v>0</v>
      </c>
      <c r="FW21" s="404">
        <v>0</v>
      </c>
      <c r="FX21" s="404">
        <v>0</v>
      </c>
      <c r="FY21" s="404">
        <v>0</v>
      </c>
      <c r="FZ21" s="404">
        <v>0</v>
      </c>
      <c r="GA21" s="404">
        <v>0</v>
      </c>
      <c r="GB21" s="404">
        <v>0</v>
      </c>
      <c r="GC21" s="404">
        <v>0</v>
      </c>
      <c r="GD21" s="404">
        <v>0</v>
      </c>
      <c r="GE21" s="404">
        <v>0</v>
      </c>
      <c r="GF21" s="404">
        <v>0</v>
      </c>
      <c r="GG21" s="404">
        <v>0</v>
      </c>
      <c r="GH21" s="404">
        <v>-55.82</v>
      </c>
      <c r="GI21" s="404">
        <v>-11.99</v>
      </c>
      <c r="GJ21" s="404">
        <v>-19.61</v>
      </c>
      <c r="GK21" s="404">
        <v>-12.92</v>
      </c>
      <c r="GL21" s="404">
        <v>4.6060068064949999E-2</v>
      </c>
      <c r="GM21" s="404">
        <v>-3.91</v>
      </c>
      <c r="GN21" s="404">
        <v>0</v>
      </c>
      <c r="GO21" s="404">
        <v>0</v>
      </c>
      <c r="GP21" s="404">
        <v>0</v>
      </c>
      <c r="GQ21" s="404">
        <v>0</v>
      </c>
      <c r="GR21" s="404">
        <v>0</v>
      </c>
      <c r="GS21" s="404">
        <v>0</v>
      </c>
      <c r="GT21" s="404">
        <v>0</v>
      </c>
      <c r="GU21" s="404">
        <v>0</v>
      </c>
      <c r="GV21" s="404">
        <v>0</v>
      </c>
      <c r="GW21" s="404">
        <v>0</v>
      </c>
      <c r="GX21" s="404">
        <v>0</v>
      </c>
      <c r="GY21" s="404">
        <v>0</v>
      </c>
      <c r="GZ21" s="404">
        <v>0</v>
      </c>
      <c r="HA21" s="404">
        <v>0</v>
      </c>
      <c r="HB21" s="404">
        <v>0</v>
      </c>
      <c r="HC21" s="404">
        <v>0</v>
      </c>
      <c r="HD21" s="404">
        <v>0</v>
      </c>
      <c r="HE21" s="404">
        <v>0</v>
      </c>
      <c r="HF21" s="404">
        <v>0</v>
      </c>
      <c r="HG21" s="404">
        <v>0</v>
      </c>
      <c r="HH21" s="404">
        <v>0</v>
      </c>
      <c r="HI21" s="404">
        <v>0</v>
      </c>
      <c r="HJ21" s="404">
        <v>0</v>
      </c>
      <c r="HK21" s="404">
        <v>0</v>
      </c>
      <c r="HL21" s="397">
        <v>-0.6</v>
      </c>
      <c r="HM21" s="405">
        <v>0</v>
      </c>
      <c r="HN21" s="405">
        <v>0</v>
      </c>
      <c r="HO21" s="405">
        <v>0</v>
      </c>
      <c r="HP21" s="405">
        <v>0</v>
      </c>
      <c r="HQ21" s="397">
        <v>-3.1108822695035498</v>
      </c>
      <c r="HR21" s="397">
        <v>0.1</v>
      </c>
      <c r="HS21" s="397">
        <v>0</v>
      </c>
      <c r="HT21" s="397">
        <v>0</v>
      </c>
      <c r="HU21" s="397">
        <v>0</v>
      </c>
      <c r="HV21" s="397">
        <v>0</v>
      </c>
      <c r="HW21" s="397">
        <v>0.23</v>
      </c>
      <c r="HX21" s="397">
        <v>-9.0767508396599993E-3</v>
      </c>
      <c r="HY21" s="397">
        <v>0</v>
      </c>
      <c r="HZ21" s="397">
        <v>0</v>
      </c>
      <c r="IA21" s="397">
        <v>-2.3954794799700002E-3</v>
      </c>
      <c r="IB21" s="397">
        <v>0</v>
      </c>
      <c r="IC21" s="397">
        <v>-0.47</v>
      </c>
      <c r="ID21" s="405">
        <v>0</v>
      </c>
      <c r="IE21" s="405">
        <v>0</v>
      </c>
      <c r="IF21" s="405">
        <v>0</v>
      </c>
      <c r="IG21" s="405">
        <v>0</v>
      </c>
      <c r="IH21" s="405">
        <v>0</v>
      </c>
      <c r="II21" s="405">
        <v>0</v>
      </c>
      <c r="IJ21" s="405">
        <v>0</v>
      </c>
      <c r="IK21" s="405">
        <v>0</v>
      </c>
      <c r="IL21" s="405">
        <v>0</v>
      </c>
      <c r="IM21" s="405">
        <v>0</v>
      </c>
      <c r="IN21" s="405">
        <v>0</v>
      </c>
      <c r="IO21" s="405">
        <v>0</v>
      </c>
      <c r="IP21" s="404">
        <v>-55.82</v>
      </c>
      <c r="IQ21" s="404">
        <v>-11.99</v>
      </c>
      <c r="IR21" s="404">
        <v>-19.61</v>
      </c>
      <c r="IS21" s="404">
        <v>-12.92</v>
      </c>
      <c r="IT21" s="404">
        <v>-1.07225369578546</v>
      </c>
      <c r="IU21" s="404">
        <v>-0.59</v>
      </c>
      <c r="IV21" s="404">
        <v>-0.12913436945737</v>
      </c>
      <c r="IW21" s="404">
        <v>0</v>
      </c>
      <c r="IX21" s="404">
        <v>0</v>
      </c>
      <c r="IY21" s="404">
        <v>0</v>
      </c>
      <c r="IZ21" s="404">
        <v>-0.75737307686747002</v>
      </c>
      <c r="JA21" s="404">
        <v>0</v>
      </c>
      <c r="JB21" s="404">
        <v>-0.15496124334884001</v>
      </c>
      <c r="JC21" s="404">
        <v>0</v>
      </c>
      <c r="JD21" s="404">
        <v>0</v>
      </c>
      <c r="JE21" s="404">
        <v>0</v>
      </c>
      <c r="JF21" s="404">
        <v>-1.39367584496439</v>
      </c>
      <c r="JG21" s="404">
        <v>0</v>
      </c>
      <c r="JH21" s="404">
        <v>0</v>
      </c>
      <c r="JI21" s="404">
        <v>0</v>
      </c>
      <c r="JJ21" s="404">
        <v>0</v>
      </c>
      <c r="JK21" s="404">
        <v>0</v>
      </c>
      <c r="JL21" s="404">
        <v>0</v>
      </c>
      <c r="JM21" s="404">
        <v>0</v>
      </c>
      <c r="JN21" s="404">
        <v>-0.15496124334885</v>
      </c>
      <c r="JO21" s="404">
        <v>0</v>
      </c>
      <c r="JP21" s="404">
        <v>0</v>
      </c>
      <c r="JQ21" s="404">
        <v>0</v>
      </c>
      <c r="JR21" s="404">
        <v>-1.3435541332540599</v>
      </c>
      <c r="JS21" s="404">
        <v>0</v>
      </c>
      <c r="JT21" s="404">
        <v>-55.82</v>
      </c>
      <c r="JU21" s="404">
        <v>-11.99</v>
      </c>
      <c r="JV21" s="404">
        <v>-19.61</v>
      </c>
      <c r="JW21" s="404">
        <v>-12.92</v>
      </c>
      <c r="JX21" s="404">
        <v>-0.84497718120804999</v>
      </c>
      <c r="JY21" s="404">
        <v>-0.9</v>
      </c>
      <c r="JZ21" s="404">
        <v>0</v>
      </c>
      <c r="KA21" s="404">
        <v>0</v>
      </c>
      <c r="KB21" s="404">
        <v>0</v>
      </c>
      <c r="KC21" s="404">
        <v>0</v>
      </c>
      <c r="KD21" s="404">
        <v>0</v>
      </c>
      <c r="KE21" s="404">
        <v>0</v>
      </c>
      <c r="KF21" s="404">
        <v>0</v>
      </c>
      <c r="KG21" s="404">
        <v>0</v>
      </c>
      <c r="KH21" s="404">
        <v>0</v>
      </c>
      <c r="KI21" s="404">
        <v>0</v>
      </c>
      <c r="KJ21" s="404">
        <v>0</v>
      </c>
      <c r="KK21" s="404">
        <v>0</v>
      </c>
      <c r="KL21" s="404">
        <v>0</v>
      </c>
      <c r="KM21" s="404">
        <v>0</v>
      </c>
      <c r="KN21" s="404">
        <v>0</v>
      </c>
      <c r="KO21" s="404">
        <v>0</v>
      </c>
      <c r="KP21" s="404">
        <v>0</v>
      </c>
      <c r="KQ21" s="404">
        <v>0</v>
      </c>
      <c r="KR21" s="404">
        <v>0</v>
      </c>
      <c r="KS21" s="404">
        <v>0</v>
      </c>
      <c r="KT21" s="404">
        <v>0</v>
      </c>
      <c r="KU21" s="404">
        <v>0</v>
      </c>
      <c r="KV21" s="404">
        <v>0</v>
      </c>
      <c r="KW21" s="404">
        <v>0</v>
      </c>
      <c r="KX21" s="404">
        <v>1.0046888903139199</v>
      </c>
      <c r="KY21" s="404">
        <v>0.16710577309979999</v>
      </c>
      <c r="KZ21" s="404">
        <v>-0.20275762945598999</v>
      </c>
      <c r="LA21" s="404">
        <v>1.2390474038300001E-2</v>
      </c>
      <c r="LB21" s="404">
        <v>-5.5329298001249999E-2</v>
      </c>
      <c r="LC21" s="404">
        <v>-0.44750344212965998</v>
      </c>
      <c r="LD21" s="404">
        <v>-2.6800558377699998E-3</v>
      </c>
      <c r="LE21" s="404">
        <v>0</v>
      </c>
      <c r="LF21" s="404">
        <v>0</v>
      </c>
      <c r="LG21" s="404">
        <v>0</v>
      </c>
      <c r="LH21" s="404">
        <v>4.3345790606010001E-2</v>
      </c>
      <c r="LI21" s="404">
        <v>0</v>
      </c>
      <c r="LJ21" s="404">
        <v>0</v>
      </c>
      <c r="LK21" s="404">
        <v>0</v>
      </c>
      <c r="LL21" s="404">
        <v>0</v>
      </c>
      <c r="LM21" s="404">
        <v>0</v>
      </c>
      <c r="LN21" s="404">
        <v>0.14138326334163001</v>
      </c>
      <c r="LO21" s="404">
        <v>-6.76163329988798</v>
      </c>
      <c r="LP21" s="404">
        <v>0.12020443037641</v>
      </c>
      <c r="LQ21" s="404">
        <v>0</v>
      </c>
      <c r="LR21" s="404">
        <v>0</v>
      </c>
      <c r="LS21" s="404">
        <v>0</v>
      </c>
      <c r="LT21" s="404">
        <v>0</v>
      </c>
      <c r="LU21" s="404">
        <v>-3.11</v>
      </c>
      <c r="LV21" s="401">
        <v>6.8506595710599999E-3</v>
      </c>
      <c r="LW21" s="401">
        <v>0</v>
      </c>
      <c r="LX21" s="401">
        <v>0</v>
      </c>
      <c r="LY21" s="401">
        <v>0</v>
      </c>
      <c r="LZ21" s="401">
        <v>0</v>
      </c>
      <c r="MA21" s="401">
        <v>-0.43889541996992998</v>
      </c>
      <c r="MB21" s="404">
        <v>0</v>
      </c>
      <c r="MC21" s="404">
        <v>0</v>
      </c>
      <c r="MD21" s="404">
        <v>0</v>
      </c>
      <c r="ME21" s="404">
        <v>0</v>
      </c>
      <c r="MF21" s="404">
        <v>0</v>
      </c>
      <c r="MG21" s="404">
        <v>0</v>
      </c>
    </row>
    <row r="22" spans="1:345" ht="18" customHeight="1">
      <c r="A22" s="10" t="s">
        <v>29</v>
      </c>
      <c r="B22" s="17">
        <v>0.1</v>
      </c>
      <c r="C22" s="17">
        <v>0.1</v>
      </c>
      <c r="D22" s="17">
        <v>0.1</v>
      </c>
      <c r="E22" s="255">
        <v>0</v>
      </c>
      <c r="F22" s="253">
        <v>-3.5</v>
      </c>
      <c r="G22" s="20">
        <v>-4.5</v>
      </c>
      <c r="H22" s="20">
        <v>-4.5</v>
      </c>
      <c r="I22" s="5">
        <v>2536.3380231691531</v>
      </c>
      <c r="J22" s="6">
        <v>12</v>
      </c>
      <c r="K22" s="6">
        <v>378.19599999999997</v>
      </c>
      <c r="L22" s="17">
        <v>0.6</v>
      </c>
      <c r="M22" s="17">
        <v>0.5</v>
      </c>
      <c r="N22" s="17">
        <v>0.5</v>
      </c>
      <c r="O22" s="16">
        <v>1.3</v>
      </c>
      <c r="P22" s="16">
        <v>0</v>
      </c>
      <c r="Q22" s="16">
        <v>93.6</v>
      </c>
      <c r="R22" s="16">
        <v>5.2</v>
      </c>
      <c r="S22" s="252">
        <v>0</v>
      </c>
      <c r="T22" s="303">
        <v>2</v>
      </c>
      <c r="U22" s="304">
        <v>1.5</v>
      </c>
      <c r="V22" s="303">
        <v>1</v>
      </c>
      <c r="W22" s="304">
        <v>0.8</v>
      </c>
      <c r="X22" s="304">
        <v>0.5</v>
      </c>
      <c r="Y22" s="5">
        <v>16080.5781381099</v>
      </c>
      <c r="Z22" s="14">
        <v>2.06</v>
      </c>
      <c r="AA22" s="5">
        <v>136.29521361682038</v>
      </c>
      <c r="AB22" s="17">
        <v>0.8</v>
      </c>
      <c r="AC22" s="17">
        <v>0.5</v>
      </c>
      <c r="AD22" s="17">
        <v>0.5</v>
      </c>
      <c r="AE22" s="254">
        <v>0.19156923089066447</v>
      </c>
      <c r="AF22" s="254">
        <v>0.1807891790858096</v>
      </c>
      <c r="AG22" s="18">
        <v>0</v>
      </c>
      <c r="AH22" s="18">
        <v>0</v>
      </c>
      <c r="AI22" s="18">
        <v>8.6</v>
      </c>
      <c r="AJ22" s="18">
        <v>33.700000000000003</v>
      </c>
      <c r="AK22" s="18">
        <v>3.5</v>
      </c>
      <c r="AL22" s="18">
        <v>3.5</v>
      </c>
      <c r="AM22" s="18">
        <v>41.9</v>
      </c>
      <c r="AN22" s="18">
        <v>0.1</v>
      </c>
      <c r="AO22" s="18">
        <v>0.2</v>
      </c>
      <c r="AP22" s="18">
        <v>0</v>
      </c>
      <c r="AQ22" s="18">
        <v>0</v>
      </c>
      <c r="AR22" s="18">
        <v>0</v>
      </c>
      <c r="AS22" s="18">
        <v>0</v>
      </c>
      <c r="AT22" s="18">
        <v>0</v>
      </c>
      <c r="AU22" s="18">
        <v>8.5</v>
      </c>
      <c r="AV22" s="304">
        <v>0.3</v>
      </c>
      <c r="AW22" s="304">
        <v>0.7</v>
      </c>
      <c r="AX22" s="304">
        <v>1.2</v>
      </c>
      <c r="AY22" s="304">
        <v>1.2</v>
      </c>
      <c r="AZ22" s="303">
        <v>3</v>
      </c>
      <c r="BA22" s="6">
        <v>0</v>
      </c>
      <c r="BB22" s="6">
        <v>18</v>
      </c>
      <c r="BC22" s="5">
        <f t="shared" si="348"/>
        <v>0</v>
      </c>
      <c r="BD22" s="19">
        <v>0</v>
      </c>
      <c r="BE22" s="19">
        <v>0</v>
      </c>
      <c r="BF22" s="19">
        <v>0</v>
      </c>
      <c r="BG22" s="6">
        <v>0</v>
      </c>
      <c r="BH22" s="6">
        <v>18</v>
      </c>
      <c r="BI22" s="5">
        <v>0</v>
      </c>
      <c r="BJ22" s="19">
        <v>0</v>
      </c>
      <c r="BK22" s="19">
        <v>0</v>
      </c>
      <c r="BL22" s="19">
        <v>0</v>
      </c>
      <c r="BM22" s="5">
        <v>0</v>
      </c>
      <c r="BN22" s="6">
        <v>179.9</v>
      </c>
      <c r="BO22" s="6">
        <v>1323.54000000001</v>
      </c>
      <c r="BP22" s="19">
        <v>0</v>
      </c>
      <c r="BQ22" s="19">
        <v>0</v>
      </c>
      <c r="BR22" s="19">
        <v>0</v>
      </c>
      <c r="BS22" s="221">
        <v>2</v>
      </c>
      <c r="BT22" s="54">
        <v>1.5</v>
      </c>
      <c r="BU22" s="54">
        <v>0.7</v>
      </c>
      <c r="BV22" s="54">
        <v>0.7</v>
      </c>
      <c r="BW22" s="54">
        <v>0.5</v>
      </c>
      <c r="BX22" s="5">
        <v>0</v>
      </c>
      <c r="BY22" s="5">
        <v>5600.6640000000407</v>
      </c>
      <c r="BZ22" s="19">
        <v>0</v>
      </c>
      <c r="CA22" s="19">
        <v>0</v>
      </c>
      <c r="CB22" s="19">
        <v>0</v>
      </c>
      <c r="CC22" s="221">
        <v>2</v>
      </c>
      <c r="CD22" s="221">
        <v>2</v>
      </c>
      <c r="CE22" s="221">
        <v>1</v>
      </c>
      <c r="CF22" s="221">
        <v>1</v>
      </c>
      <c r="CG22" s="54">
        <v>0.5</v>
      </c>
      <c r="CH22" s="5"/>
      <c r="CI22" s="5">
        <v>500</v>
      </c>
      <c r="CJ22" s="19">
        <v>1.5</v>
      </c>
      <c r="CK22" s="19">
        <v>0.7</v>
      </c>
      <c r="CL22" s="19">
        <v>0.7</v>
      </c>
      <c r="CM22" s="54">
        <v>2</v>
      </c>
      <c r="CN22" s="54">
        <v>1.5</v>
      </c>
      <c r="CO22" s="54">
        <v>0.5</v>
      </c>
      <c r="CP22" s="54">
        <v>1</v>
      </c>
      <c r="CQ22" s="54">
        <v>0.5</v>
      </c>
      <c r="CR22" s="5"/>
      <c r="CS22" s="8">
        <v>29</v>
      </c>
      <c r="CT22" s="19">
        <v>1</v>
      </c>
      <c r="CU22" s="17">
        <v>0.7</v>
      </c>
      <c r="CV22" s="17">
        <v>0.7</v>
      </c>
      <c r="CW22" s="54">
        <v>2</v>
      </c>
      <c r="CX22" s="54">
        <v>1</v>
      </c>
      <c r="CY22" s="54">
        <v>0.5</v>
      </c>
      <c r="CZ22" s="54">
        <v>0.7</v>
      </c>
      <c r="DA22" s="54">
        <v>0.2</v>
      </c>
      <c r="DB22" s="403">
        <v>0</v>
      </c>
      <c r="DC22" s="403">
        <v>0</v>
      </c>
      <c r="DD22" s="403">
        <v>0</v>
      </c>
      <c r="DE22" s="403">
        <v>0</v>
      </c>
      <c r="DF22" s="403">
        <v>0</v>
      </c>
      <c r="DG22" s="403">
        <v>0</v>
      </c>
      <c r="DH22" s="403">
        <v>0</v>
      </c>
      <c r="DI22" s="403">
        <v>0</v>
      </c>
      <c r="DJ22" s="403">
        <v>0</v>
      </c>
      <c r="DK22" s="403">
        <v>0</v>
      </c>
      <c r="DL22" s="403">
        <v>0</v>
      </c>
      <c r="DM22" s="403">
        <v>0</v>
      </c>
      <c r="DN22" s="403">
        <v>0</v>
      </c>
      <c r="DO22" s="403">
        <v>0</v>
      </c>
      <c r="DP22" s="403">
        <v>0</v>
      </c>
      <c r="DQ22" s="403">
        <v>0</v>
      </c>
      <c r="DR22" s="403">
        <v>0</v>
      </c>
      <c r="DS22" s="403">
        <v>0</v>
      </c>
      <c r="DT22" s="403">
        <v>0</v>
      </c>
      <c r="DU22" s="403">
        <v>0</v>
      </c>
      <c r="DV22" s="403">
        <v>0</v>
      </c>
      <c r="DW22" s="403">
        <v>0</v>
      </c>
      <c r="DX22" s="403">
        <v>0</v>
      </c>
      <c r="DY22" s="403">
        <v>0</v>
      </c>
      <c r="DZ22" s="404">
        <v>0</v>
      </c>
      <c r="EA22" s="404">
        <v>0</v>
      </c>
      <c r="EB22" s="404">
        <v>0</v>
      </c>
      <c r="EC22" s="404">
        <v>0</v>
      </c>
      <c r="ED22" s="404">
        <v>0</v>
      </c>
      <c r="EE22" s="404">
        <v>0</v>
      </c>
      <c r="EF22" s="404">
        <v>2.3331596698950001</v>
      </c>
      <c r="EG22" s="404">
        <v>0</v>
      </c>
      <c r="EH22" s="404">
        <v>0</v>
      </c>
      <c r="EI22" s="404">
        <v>0.98609088910742004</v>
      </c>
      <c r="EJ22" s="404">
        <v>9.6999770847580005E-2</v>
      </c>
      <c r="EK22" s="404">
        <v>-0.74905005460903995</v>
      </c>
      <c r="EL22" s="404">
        <v>2.3331596698949899</v>
      </c>
      <c r="EM22" s="404">
        <v>0</v>
      </c>
      <c r="EN22" s="404">
        <v>0</v>
      </c>
      <c r="EO22" s="404">
        <v>0.98609088910742004</v>
      </c>
      <c r="EP22" s="404">
        <v>0</v>
      </c>
      <c r="EQ22" s="404">
        <v>-0.74905005460903995</v>
      </c>
      <c r="ER22" s="404">
        <v>0</v>
      </c>
      <c r="ES22" s="404">
        <v>0</v>
      </c>
      <c r="ET22" s="404">
        <v>0</v>
      </c>
      <c r="EU22" s="404">
        <v>0</v>
      </c>
      <c r="EV22" s="404">
        <v>0</v>
      </c>
      <c r="EW22" s="404">
        <v>0</v>
      </c>
      <c r="EX22" s="404">
        <v>0</v>
      </c>
      <c r="EY22" s="404">
        <v>0</v>
      </c>
      <c r="EZ22" s="404">
        <v>0</v>
      </c>
      <c r="FA22" s="404">
        <v>0</v>
      </c>
      <c r="FB22" s="404">
        <v>0</v>
      </c>
      <c r="FC22" s="404">
        <v>0</v>
      </c>
      <c r="FD22" s="404">
        <v>0</v>
      </c>
      <c r="FE22" s="404">
        <v>0</v>
      </c>
      <c r="FF22" s="404">
        <v>0</v>
      </c>
      <c r="FG22" s="404">
        <v>0</v>
      </c>
      <c r="FH22" s="404">
        <v>0</v>
      </c>
      <c r="FI22" s="404">
        <v>0</v>
      </c>
      <c r="FJ22" s="404">
        <v>0</v>
      </c>
      <c r="FK22" s="404">
        <v>0</v>
      </c>
      <c r="FL22" s="404">
        <v>0</v>
      </c>
      <c r="FM22" s="404">
        <v>0</v>
      </c>
      <c r="FN22" s="404">
        <v>0</v>
      </c>
      <c r="FO22" s="404">
        <v>0</v>
      </c>
      <c r="FP22" s="404">
        <v>0</v>
      </c>
      <c r="FQ22" s="404">
        <v>0</v>
      </c>
      <c r="FR22" s="404">
        <v>0</v>
      </c>
      <c r="FS22" s="404">
        <v>0</v>
      </c>
      <c r="FT22" s="404">
        <v>0</v>
      </c>
      <c r="FU22" s="404">
        <v>0</v>
      </c>
      <c r="FV22" s="404">
        <v>0</v>
      </c>
      <c r="FW22" s="404">
        <v>0</v>
      </c>
      <c r="FX22" s="404">
        <v>0</v>
      </c>
      <c r="FY22" s="404">
        <v>0</v>
      </c>
      <c r="FZ22" s="404">
        <v>0</v>
      </c>
      <c r="GA22" s="404">
        <v>0</v>
      </c>
      <c r="GB22" s="404">
        <v>0</v>
      </c>
      <c r="GC22" s="404">
        <v>0</v>
      </c>
      <c r="GD22" s="404">
        <v>0</v>
      </c>
      <c r="GE22" s="404">
        <v>0</v>
      </c>
      <c r="GF22" s="404">
        <v>0</v>
      </c>
      <c r="GG22" s="404">
        <v>0</v>
      </c>
      <c r="GH22" s="404">
        <v>-55.82</v>
      </c>
      <c r="GI22" s="404">
        <v>-11.99</v>
      </c>
      <c r="GJ22" s="404">
        <v>-19.61</v>
      </c>
      <c r="GK22" s="404">
        <v>-12.92</v>
      </c>
      <c r="GL22" s="404">
        <v>4.6060068064949999E-2</v>
      </c>
      <c r="GM22" s="404">
        <v>-3.91</v>
      </c>
      <c r="GN22" s="404">
        <v>0</v>
      </c>
      <c r="GO22" s="404">
        <v>0</v>
      </c>
      <c r="GP22" s="404">
        <v>0</v>
      </c>
      <c r="GQ22" s="404">
        <v>0</v>
      </c>
      <c r="GR22" s="404">
        <v>0</v>
      </c>
      <c r="GS22" s="404">
        <v>0</v>
      </c>
      <c r="GT22" s="404">
        <v>0</v>
      </c>
      <c r="GU22" s="404">
        <v>0</v>
      </c>
      <c r="GV22" s="404">
        <v>0</v>
      </c>
      <c r="GW22" s="404">
        <v>0</v>
      </c>
      <c r="GX22" s="404">
        <v>0</v>
      </c>
      <c r="GY22" s="404">
        <v>0</v>
      </c>
      <c r="GZ22" s="404">
        <v>0</v>
      </c>
      <c r="HA22" s="404">
        <v>0</v>
      </c>
      <c r="HB22" s="404">
        <v>0</v>
      </c>
      <c r="HC22" s="404">
        <v>0</v>
      </c>
      <c r="HD22" s="404">
        <v>0</v>
      </c>
      <c r="HE22" s="404">
        <v>0</v>
      </c>
      <c r="HF22" s="404">
        <v>0</v>
      </c>
      <c r="HG22" s="404">
        <v>0</v>
      </c>
      <c r="HH22" s="404">
        <v>0</v>
      </c>
      <c r="HI22" s="404">
        <v>0</v>
      </c>
      <c r="HJ22" s="404">
        <v>0</v>
      </c>
      <c r="HK22" s="404">
        <v>0</v>
      </c>
      <c r="HL22" s="397">
        <v>-0.6</v>
      </c>
      <c r="HM22" s="405">
        <v>0</v>
      </c>
      <c r="HN22" s="405">
        <v>0</v>
      </c>
      <c r="HO22" s="405">
        <v>0</v>
      </c>
      <c r="HP22" s="405">
        <v>0</v>
      </c>
      <c r="HQ22" s="397">
        <v>-3.1108822695035498</v>
      </c>
      <c r="HR22" s="397">
        <v>0.1</v>
      </c>
      <c r="HS22" s="397">
        <v>0</v>
      </c>
      <c r="HT22" s="397">
        <v>0</v>
      </c>
      <c r="HU22" s="397">
        <v>0</v>
      </c>
      <c r="HV22" s="397">
        <v>0</v>
      </c>
      <c r="HW22" s="397">
        <v>0.23</v>
      </c>
      <c r="HX22" s="397">
        <v>-9.0767508396599993E-3</v>
      </c>
      <c r="HY22" s="397">
        <v>0</v>
      </c>
      <c r="HZ22" s="397">
        <v>0</v>
      </c>
      <c r="IA22" s="397">
        <v>-2.3954794799700002E-3</v>
      </c>
      <c r="IB22" s="397">
        <v>0</v>
      </c>
      <c r="IC22" s="397">
        <v>-0.47</v>
      </c>
      <c r="ID22" s="405">
        <v>0</v>
      </c>
      <c r="IE22" s="405">
        <v>0</v>
      </c>
      <c r="IF22" s="405">
        <v>0</v>
      </c>
      <c r="IG22" s="405">
        <v>0</v>
      </c>
      <c r="IH22" s="405">
        <v>0</v>
      </c>
      <c r="II22" s="405">
        <v>0</v>
      </c>
      <c r="IJ22" s="405">
        <v>0</v>
      </c>
      <c r="IK22" s="405">
        <v>0</v>
      </c>
      <c r="IL22" s="405">
        <v>0</v>
      </c>
      <c r="IM22" s="405">
        <v>0</v>
      </c>
      <c r="IN22" s="405">
        <v>0</v>
      </c>
      <c r="IO22" s="405">
        <v>0</v>
      </c>
      <c r="IP22" s="404">
        <v>-55.82</v>
      </c>
      <c r="IQ22" s="404">
        <v>-11.99</v>
      </c>
      <c r="IR22" s="404">
        <v>-19.61</v>
      </c>
      <c r="IS22" s="404">
        <v>-12.92</v>
      </c>
      <c r="IT22" s="404">
        <v>-1.07225369578546</v>
      </c>
      <c r="IU22" s="404">
        <v>-0.59</v>
      </c>
      <c r="IV22" s="404">
        <v>-0.12913436945737</v>
      </c>
      <c r="IW22" s="404">
        <v>0</v>
      </c>
      <c r="IX22" s="404">
        <v>0</v>
      </c>
      <c r="IY22" s="404">
        <v>0</v>
      </c>
      <c r="IZ22" s="404">
        <v>-0.75737307686747002</v>
      </c>
      <c r="JA22" s="404">
        <v>0</v>
      </c>
      <c r="JB22" s="404">
        <v>-0.15496124334884001</v>
      </c>
      <c r="JC22" s="404">
        <v>0</v>
      </c>
      <c r="JD22" s="404">
        <v>0</v>
      </c>
      <c r="JE22" s="404">
        <v>0</v>
      </c>
      <c r="JF22" s="404">
        <v>-1.39367584496439</v>
      </c>
      <c r="JG22" s="404">
        <v>0</v>
      </c>
      <c r="JH22" s="404">
        <v>0</v>
      </c>
      <c r="JI22" s="404">
        <v>0</v>
      </c>
      <c r="JJ22" s="404">
        <v>0</v>
      </c>
      <c r="JK22" s="404">
        <v>0</v>
      </c>
      <c r="JL22" s="404">
        <v>0</v>
      </c>
      <c r="JM22" s="404">
        <v>0</v>
      </c>
      <c r="JN22" s="404">
        <v>-0.15496124334885</v>
      </c>
      <c r="JO22" s="404">
        <v>0</v>
      </c>
      <c r="JP22" s="404">
        <v>0</v>
      </c>
      <c r="JQ22" s="404">
        <v>0</v>
      </c>
      <c r="JR22" s="404">
        <v>-1.3435541332540599</v>
      </c>
      <c r="JS22" s="404">
        <v>0</v>
      </c>
      <c r="JT22" s="404">
        <v>-55.82</v>
      </c>
      <c r="JU22" s="404">
        <v>-11.99</v>
      </c>
      <c r="JV22" s="404">
        <v>-19.61</v>
      </c>
      <c r="JW22" s="404">
        <v>-12.92</v>
      </c>
      <c r="JX22" s="404">
        <v>-0.84497718120804999</v>
      </c>
      <c r="JY22" s="404">
        <v>-0.9</v>
      </c>
      <c r="JZ22" s="404">
        <v>0</v>
      </c>
      <c r="KA22" s="404">
        <v>0</v>
      </c>
      <c r="KB22" s="404">
        <v>0</v>
      </c>
      <c r="KC22" s="404">
        <v>0</v>
      </c>
      <c r="KD22" s="404">
        <v>0</v>
      </c>
      <c r="KE22" s="404">
        <v>0</v>
      </c>
      <c r="KF22" s="404">
        <v>0</v>
      </c>
      <c r="KG22" s="404">
        <v>0</v>
      </c>
      <c r="KH22" s="404">
        <v>0</v>
      </c>
      <c r="KI22" s="404">
        <v>0</v>
      </c>
      <c r="KJ22" s="404">
        <v>0</v>
      </c>
      <c r="KK22" s="404">
        <v>0</v>
      </c>
      <c r="KL22" s="404">
        <v>0</v>
      </c>
      <c r="KM22" s="404">
        <v>0</v>
      </c>
      <c r="KN22" s="404">
        <v>0</v>
      </c>
      <c r="KO22" s="404">
        <v>0</v>
      </c>
      <c r="KP22" s="404">
        <v>0</v>
      </c>
      <c r="KQ22" s="404">
        <v>0</v>
      </c>
      <c r="KR22" s="404">
        <v>0</v>
      </c>
      <c r="KS22" s="404">
        <v>0</v>
      </c>
      <c r="KT22" s="404">
        <v>0</v>
      </c>
      <c r="KU22" s="404">
        <v>0</v>
      </c>
      <c r="KV22" s="404">
        <v>0</v>
      </c>
      <c r="KW22" s="404">
        <v>0</v>
      </c>
      <c r="KX22" s="404">
        <v>1.0046888903139199</v>
      </c>
      <c r="KY22" s="404">
        <v>0.16710577309979999</v>
      </c>
      <c r="KZ22" s="404">
        <v>-0.20275762945598999</v>
      </c>
      <c r="LA22" s="404">
        <v>1.2390474038300001E-2</v>
      </c>
      <c r="LB22" s="404">
        <v>-5.5329298001249999E-2</v>
      </c>
      <c r="LC22" s="404">
        <v>-0.44750344212965998</v>
      </c>
      <c r="LD22" s="404">
        <v>-2.6800558377699998E-3</v>
      </c>
      <c r="LE22" s="404">
        <v>0</v>
      </c>
      <c r="LF22" s="404">
        <v>0</v>
      </c>
      <c r="LG22" s="404">
        <v>0</v>
      </c>
      <c r="LH22" s="404">
        <v>4.3345790606010001E-2</v>
      </c>
      <c r="LI22" s="404">
        <v>0</v>
      </c>
      <c r="LJ22" s="404">
        <v>0</v>
      </c>
      <c r="LK22" s="404">
        <v>0</v>
      </c>
      <c r="LL22" s="404">
        <v>0</v>
      </c>
      <c r="LM22" s="404">
        <v>0</v>
      </c>
      <c r="LN22" s="404">
        <v>0.14138326334163001</v>
      </c>
      <c r="LO22" s="404">
        <v>-6.76163329988798</v>
      </c>
      <c r="LP22" s="404">
        <v>0.12020443037641</v>
      </c>
      <c r="LQ22" s="404">
        <v>0</v>
      </c>
      <c r="LR22" s="404">
        <v>0</v>
      </c>
      <c r="LS22" s="404">
        <v>0</v>
      </c>
      <c r="LT22" s="404">
        <v>0</v>
      </c>
      <c r="LU22" s="404">
        <v>-3.11</v>
      </c>
      <c r="LV22" s="401">
        <v>6.8506595710599999E-3</v>
      </c>
      <c r="LW22" s="401">
        <v>0</v>
      </c>
      <c r="LX22" s="401">
        <v>0</v>
      </c>
      <c r="LY22" s="401">
        <v>0</v>
      </c>
      <c r="LZ22" s="401">
        <v>0</v>
      </c>
      <c r="MA22" s="401">
        <v>-0.43889541996992998</v>
      </c>
      <c r="MB22" s="404">
        <v>0</v>
      </c>
      <c r="MC22" s="404">
        <v>0</v>
      </c>
      <c r="MD22" s="404">
        <v>0</v>
      </c>
      <c r="ME22" s="404">
        <v>0</v>
      </c>
      <c r="MF22" s="404">
        <v>0</v>
      </c>
      <c r="MG22" s="404">
        <v>0</v>
      </c>
    </row>
    <row r="23" spans="1:345" ht="18" customHeight="1">
      <c r="A23" s="10" t="s">
        <v>13</v>
      </c>
      <c r="B23" s="15">
        <v>0</v>
      </c>
      <c r="C23" s="15">
        <v>0.4</v>
      </c>
      <c r="D23" s="15">
        <v>0.4</v>
      </c>
      <c r="E23" s="255">
        <v>364.08695652173913</v>
      </c>
      <c r="F23" s="256">
        <v>-1.5</v>
      </c>
      <c r="G23" s="16">
        <v>-3.8</v>
      </c>
      <c r="H23" s="16">
        <v>-3.8</v>
      </c>
      <c r="I23" s="5">
        <v>2124.3106214374661</v>
      </c>
      <c r="J23" s="6">
        <v>12</v>
      </c>
      <c r="K23" s="6">
        <v>368.29970000000003</v>
      </c>
      <c r="L23" s="17">
        <v>0.7</v>
      </c>
      <c r="M23" s="17">
        <v>0.7</v>
      </c>
      <c r="N23" s="17">
        <v>0.7</v>
      </c>
      <c r="O23" s="16">
        <v>0.1</v>
      </c>
      <c r="P23" s="16">
        <v>0</v>
      </c>
      <c r="Q23" s="16">
        <v>99.9</v>
      </c>
      <c r="R23" s="16">
        <v>0</v>
      </c>
      <c r="S23" s="252">
        <v>0</v>
      </c>
      <c r="T23" s="303">
        <v>2</v>
      </c>
      <c r="U23" s="304">
        <v>1.5</v>
      </c>
      <c r="V23" s="303">
        <v>1</v>
      </c>
      <c r="W23" s="304">
        <v>0.8</v>
      </c>
      <c r="X23" s="304">
        <v>0.5</v>
      </c>
      <c r="Y23" s="5">
        <v>11785.626724936825</v>
      </c>
      <c r="Z23" s="14">
        <v>1.5</v>
      </c>
      <c r="AA23" s="5">
        <v>165.24043458943908</v>
      </c>
      <c r="AB23" s="17">
        <v>1.8</v>
      </c>
      <c r="AC23" s="17">
        <v>0.8</v>
      </c>
      <c r="AD23" s="17">
        <v>0.8</v>
      </c>
      <c r="AE23" s="254">
        <v>0.16458882635095481</v>
      </c>
      <c r="AF23" s="254">
        <v>0.17241435895653787</v>
      </c>
      <c r="AG23" s="18"/>
      <c r="AH23" s="18"/>
      <c r="AI23" s="18">
        <v>3.1069255412930827</v>
      </c>
      <c r="AJ23" s="18">
        <v>38.101872755810703</v>
      </c>
      <c r="AK23" s="18"/>
      <c r="AL23" s="18"/>
      <c r="AM23" s="18">
        <v>55.68427616160313</v>
      </c>
      <c r="AN23" s="18"/>
      <c r="AO23" s="18"/>
      <c r="AP23" s="18"/>
      <c r="AQ23" s="18"/>
      <c r="AR23" s="18"/>
      <c r="AS23" s="18"/>
      <c r="AT23" s="18">
        <v>2.7375346707088952</v>
      </c>
      <c r="AU23" s="18">
        <v>0.36939087058418801</v>
      </c>
      <c r="AV23" s="304">
        <v>0.3</v>
      </c>
      <c r="AW23" s="304">
        <v>0.7</v>
      </c>
      <c r="AX23" s="304">
        <v>1.2</v>
      </c>
      <c r="AY23" s="304">
        <v>1.2</v>
      </c>
      <c r="AZ23" s="303">
        <v>3</v>
      </c>
      <c r="BA23" s="6">
        <v>0</v>
      </c>
      <c r="BB23" s="6">
        <v>18</v>
      </c>
      <c r="BC23" s="5">
        <f t="shared" si="348"/>
        <v>0</v>
      </c>
      <c r="BD23" s="17">
        <v>0.8</v>
      </c>
      <c r="BE23" s="17">
        <v>0.6</v>
      </c>
      <c r="BF23" s="17">
        <v>0.6</v>
      </c>
      <c r="BG23" s="6">
        <v>0.86295970746011463</v>
      </c>
      <c r="BH23" s="6">
        <v>18</v>
      </c>
      <c r="BI23" s="5">
        <v>5184.5982608695649</v>
      </c>
      <c r="BJ23" s="17">
        <v>0.8</v>
      </c>
      <c r="BK23" s="17">
        <v>0.6</v>
      </c>
      <c r="BL23" s="17">
        <v>0.6</v>
      </c>
      <c r="BM23" s="5">
        <v>455.57067467001087</v>
      </c>
      <c r="BN23" s="6">
        <v>179.9</v>
      </c>
      <c r="BO23" s="6">
        <v>3624.5695652174013</v>
      </c>
      <c r="BP23" s="17">
        <v>0.8</v>
      </c>
      <c r="BQ23" s="17">
        <v>0.6</v>
      </c>
      <c r="BR23" s="17">
        <v>0.6</v>
      </c>
      <c r="BS23" s="221">
        <v>2</v>
      </c>
      <c r="BT23" s="54">
        <v>1.5</v>
      </c>
      <c r="BU23" s="54">
        <v>0.7</v>
      </c>
      <c r="BV23" s="54">
        <v>0.7</v>
      </c>
      <c r="BW23" s="54">
        <v>0.5</v>
      </c>
      <c r="BX23" s="5">
        <v>2.4643245884135658</v>
      </c>
      <c r="BY23" s="5">
        <v>7623.1670434783009</v>
      </c>
      <c r="BZ23" s="17">
        <v>1.4</v>
      </c>
      <c r="CA23" s="17">
        <v>1.1000000000000001</v>
      </c>
      <c r="CB23" s="17">
        <v>1.1000000000000001</v>
      </c>
      <c r="CC23" s="221">
        <v>2</v>
      </c>
      <c r="CD23" s="221">
        <v>2</v>
      </c>
      <c r="CE23" s="221">
        <v>1</v>
      </c>
      <c r="CF23" s="221">
        <v>1</v>
      </c>
      <c r="CG23" s="54">
        <v>0.5</v>
      </c>
      <c r="CH23" s="5">
        <v>417.57875862283845</v>
      </c>
      <c r="CI23" s="5">
        <v>500</v>
      </c>
      <c r="CJ23" s="19">
        <v>2.5</v>
      </c>
      <c r="CK23" s="19">
        <v>1.3</v>
      </c>
      <c r="CL23" s="19">
        <v>1.3</v>
      </c>
      <c r="CM23" s="54">
        <v>2</v>
      </c>
      <c r="CN23" s="54">
        <v>1.5</v>
      </c>
      <c r="CO23" s="54">
        <v>0.5</v>
      </c>
      <c r="CP23" s="54">
        <v>1</v>
      </c>
      <c r="CQ23" s="54">
        <v>0.5</v>
      </c>
      <c r="CR23" s="5"/>
      <c r="CS23" s="8">
        <v>29</v>
      </c>
      <c r="CT23" s="17">
        <v>1.6</v>
      </c>
      <c r="CU23" s="17">
        <v>1.2</v>
      </c>
      <c r="CV23" s="17">
        <v>1.2</v>
      </c>
      <c r="CW23" s="54">
        <v>2</v>
      </c>
      <c r="CX23" s="54">
        <v>1</v>
      </c>
      <c r="CY23" s="54">
        <v>0.5</v>
      </c>
      <c r="CZ23" s="54">
        <v>0.7</v>
      </c>
      <c r="DA23" s="54">
        <v>0.2</v>
      </c>
      <c r="DB23" s="403">
        <v>0</v>
      </c>
      <c r="DC23" s="403">
        <v>0</v>
      </c>
      <c r="DD23" s="403">
        <v>0</v>
      </c>
      <c r="DE23" s="403">
        <v>0</v>
      </c>
      <c r="DF23" s="403">
        <v>0</v>
      </c>
      <c r="DG23" s="403">
        <v>0</v>
      </c>
      <c r="DH23" s="403">
        <v>0</v>
      </c>
      <c r="DI23" s="403">
        <v>0</v>
      </c>
      <c r="DJ23" s="403">
        <v>0</v>
      </c>
      <c r="DK23" s="403">
        <v>0</v>
      </c>
      <c r="DL23" s="403">
        <v>0</v>
      </c>
      <c r="DM23" s="403">
        <v>0</v>
      </c>
      <c r="DN23" s="403">
        <v>0</v>
      </c>
      <c r="DO23" s="403">
        <v>0</v>
      </c>
      <c r="DP23" s="403">
        <v>0</v>
      </c>
      <c r="DQ23" s="403">
        <v>0</v>
      </c>
      <c r="DR23" s="403">
        <v>0</v>
      </c>
      <c r="DS23" s="403">
        <v>0</v>
      </c>
      <c r="DT23" s="403">
        <v>0</v>
      </c>
      <c r="DU23" s="403">
        <v>0</v>
      </c>
      <c r="DV23" s="403">
        <v>0</v>
      </c>
      <c r="DW23" s="403">
        <v>0</v>
      </c>
      <c r="DX23" s="403">
        <v>0</v>
      </c>
      <c r="DY23" s="403">
        <v>0</v>
      </c>
      <c r="DZ23" s="404">
        <v>0</v>
      </c>
      <c r="EA23" s="404">
        <v>0</v>
      </c>
      <c r="EB23" s="404">
        <v>0</v>
      </c>
      <c r="EC23" s="404">
        <v>0</v>
      </c>
      <c r="ED23" s="404">
        <v>0</v>
      </c>
      <c r="EE23" s="404">
        <v>0</v>
      </c>
      <c r="EF23" s="404">
        <v>2.3331596698950001</v>
      </c>
      <c r="EG23" s="404">
        <v>0</v>
      </c>
      <c r="EH23" s="404">
        <v>0</v>
      </c>
      <c r="EI23" s="404">
        <v>0.98609088910742004</v>
      </c>
      <c r="EJ23" s="404">
        <v>9.6999770847580005E-2</v>
      </c>
      <c r="EK23" s="404">
        <v>-0.74905005460903995</v>
      </c>
      <c r="EL23" s="404">
        <v>2.3331596698949899</v>
      </c>
      <c r="EM23" s="404">
        <v>0</v>
      </c>
      <c r="EN23" s="404">
        <v>0</v>
      </c>
      <c r="EO23" s="404">
        <v>0.98609088910742004</v>
      </c>
      <c r="EP23" s="404">
        <v>0</v>
      </c>
      <c r="EQ23" s="404">
        <v>-0.74905005460903995</v>
      </c>
      <c r="ER23" s="404">
        <v>0</v>
      </c>
      <c r="ES23" s="404">
        <v>0</v>
      </c>
      <c r="ET23" s="404">
        <v>0</v>
      </c>
      <c r="EU23" s="404">
        <v>0</v>
      </c>
      <c r="EV23" s="404">
        <v>0</v>
      </c>
      <c r="EW23" s="404">
        <v>0</v>
      </c>
      <c r="EX23" s="404">
        <v>0</v>
      </c>
      <c r="EY23" s="404">
        <v>0</v>
      </c>
      <c r="EZ23" s="404">
        <v>0</v>
      </c>
      <c r="FA23" s="404">
        <v>0</v>
      </c>
      <c r="FB23" s="404">
        <v>0</v>
      </c>
      <c r="FC23" s="404">
        <v>0</v>
      </c>
      <c r="FD23" s="404">
        <v>0</v>
      </c>
      <c r="FE23" s="404">
        <v>0</v>
      </c>
      <c r="FF23" s="404">
        <v>0</v>
      </c>
      <c r="FG23" s="404">
        <v>0</v>
      </c>
      <c r="FH23" s="404">
        <v>0</v>
      </c>
      <c r="FI23" s="404">
        <v>0</v>
      </c>
      <c r="FJ23" s="404">
        <v>0</v>
      </c>
      <c r="FK23" s="404">
        <v>0</v>
      </c>
      <c r="FL23" s="404">
        <v>0</v>
      </c>
      <c r="FM23" s="404">
        <v>0</v>
      </c>
      <c r="FN23" s="404">
        <v>0</v>
      </c>
      <c r="FO23" s="404">
        <v>0</v>
      </c>
      <c r="FP23" s="404">
        <v>0</v>
      </c>
      <c r="FQ23" s="404">
        <v>0</v>
      </c>
      <c r="FR23" s="404">
        <v>0</v>
      </c>
      <c r="FS23" s="404">
        <v>0</v>
      </c>
      <c r="FT23" s="404">
        <v>0</v>
      </c>
      <c r="FU23" s="404">
        <v>0</v>
      </c>
      <c r="FV23" s="404">
        <v>0</v>
      </c>
      <c r="FW23" s="404">
        <v>0</v>
      </c>
      <c r="FX23" s="404">
        <v>0</v>
      </c>
      <c r="FY23" s="404">
        <v>0</v>
      </c>
      <c r="FZ23" s="404">
        <v>0</v>
      </c>
      <c r="GA23" s="404">
        <v>0</v>
      </c>
      <c r="GB23" s="404">
        <v>0</v>
      </c>
      <c r="GC23" s="404">
        <v>0</v>
      </c>
      <c r="GD23" s="404">
        <v>0</v>
      </c>
      <c r="GE23" s="404">
        <v>0</v>
      </c>
      <c r="GF23" s="404">
        <v>0</v>
      </c>
      <c r="GG23" s="404">
        <v>0</v>
      </c>
      <c r="GH23" s="404">
        <v>-55.82</v>
      </c>
      <c r="GI23" s="404">
        <v>-11.99</v>
      </c>
      <c r="GJ23" s="404">
        <v>-19.61</v>
      </c>
      <c r="GK23" s="404">
        <v>-12.92</v>
      </c>
      <c r="GL23" s="404">
        <v>4.6060068064949999E-2</v>
      </c>
      <c r="GM23" s="404">
        <v>-3.91</v>
      </c>
      <c r="GN23" s="404">
        <v>0</v>
      </c>
      <c r="GO23" s="404">
        <v>0</v>
      </c>
      <c r="GP23" s="404">
        <v>0</v>
      </c>
      <c r="GQ23" s="404">
        <v>0</v>
      </c>
      <c r="GR23" s="404">
        <v>0</v>
      </c>
      <c r="GS23" s="404">
        <v>0</v>
      </c>
      <c r="GT23" s="404">
        <v>0</v>
      </c>
      <c r="GU23" s="404">
        <v>0</v>
      </c>
      <c r="GV23" s="404">
        <v>0</v>
      </c>
      <c r="GW23" s="404">
        <v>0</v>
      </c>
      <c r="GX23" s="404">
        <v>0</v>
      </c>
      <c r="GY23" s="404">
        <v>0</v>
      </c>
      <c r="GZ23" s="404">
        <v>0</v>
      </c>
      <c r="HA23" s="404">
        <v>0</v>
      </c>
      <c r="HB23" s="404">
        <v>0</v>
      </c>
      <c r="HC23" s="404">
        <v>0</v>
      </c>
      <c r="HD23" s="404">
        <v>0</v>
      </c>
      <c r="HE23" s="404">
        <v>0</v>
      </c>
      <c r="HF23" s="404">
        <v>0</v>
      </c>
      <c r="HG23" s="404">
        <v>0</v>
      </c>
      <c r="HH23" s="404">
        <v>0</v>
      </c>
      <c r="HI23" s="404">
        <v>0</v>
      </c>
      <c r="HJ23" s="404">
        <v>0</v>
      </c>
      <c r="HK23" s="404">
        <v>0</v>
      </c>
      <c r="HL23" s="397">
        <v>-0.6</v>
      </c>
      <c r="HM23" s="405">
        <v>0</v>
      </c>
      <c r="HN23" s="405">
        <v>0</v>
      </c>
      <c r="HO23" s="405">
        <v>0</v>
      </c>
      <c r="HP23" s="405">
        <v>0</v>
      </c>
      <c r="HQ23" s="397">
        <v>-3.1108822695035498</v>
      </c>
      <c r="HR23" s="397">
        <v>0.1</v>
      </c>
      <c r="HS23" s="397">
        <v>0</v>
      </c>
      <c r="HT23" s="397">
        <v>0</v>
      </c>
      <c r="HU23" s="397">
        <v>0</v>
      </c>
      <c r="HV23" s="397">
        <v>0</v>
      </c>
      <c r="HW23" s="397">
        <v>0.23</v>
      </c>
      <c r="HX23" s="397">
        <v>-9.0767508396599993E-3</v>
      </c>
      <c r="HY23" s="397">
        <v>0</v>
      </c>
      <c r="HZ23" s="397">
        <v>0</v>
      </c>
      <c r="IA23" s="397">
        <v>-2.3954794799700002E-3</v>
      </c>
      <c r="IB23" s="397">
        <v>0</v>
      </c>
      <c r="IC23" s="397">
        <v>-0.47</v>
      </c>
      <c r="ID23" s="405">
        <v>0</v>
      </c>
      <c r="IE23" s="405">
        <v>0</v>
      </c>
      <c r="IF23" s="405">
        <v>0</v>
      </c>
      <c r="IG23" s="405">
        <v>0</v>
      </c>
      <c r="IH23" s="405">
        <v>0</v>
      </c>
      <c r="II23" s="405">
        <v>0</v>
      </c>
      <c r="IJ23" s="405">
        <v>0</v>
      </c>
      <c r="IK23" s="405">
        <v>0</v>
      </c>
      <c r="IL23" s="405">
        <v>0</v>
      </c>
      <c r="IM23" s="405">
        <v>0</v>
      </c>
      <c r="IN23" s="405">
        <v>0</v>
      </c>
      <c r="IO23" s="405">
        <v>0</v>
      </c>
      <c r="IP23" s="404">
        <v>-55.82</v>
      </c>
      <c r="IQ23" s="404">
        <v>-11.99</v>
      </c>
      <c r="IR23" s="404">
        <v>-19.61</v>
      </c>
      <c r="IS23" s="404">
        <v>-12.92</v>
      </c>
      <c r="IT23" s="404">
        <v>-1.07225369578546</v>
      </c>
      <c r="IU23" s="404">
        <v>-0.59</v>
      </c>
      <c r="IV23" s="404">
        <v>-0.12913436945737</v>
      </c>
      <c r="IW23" s="404">
        <v>0</v>
      </c>
      <c r="IX23" s="404">
        <v>0</v>
      </c>
      <c r="IY23" s="404">
        <v>0</v>
      </c>
      <c r="IZ23" s="404">
        <v>-0.75737307686747002</v>
      </c>
      <c r="JA23" s="404">
        <v>0</v>
      </c>
      <c r="JB23" s="404">
        <v>-0.15496124334884001</v>
      </c>
      <c r="JC23" s="404">
        <v>0</v>
      </c>
      <c r="JD23" s="404">
        <v>0</v>
      </c>
      <c r="JE23" s="404">
        <v>0</v>
      </c>
      <c r="JF23" s="404">
        <v>-1.39367584496439</v>
      </c>
      <c r="JG23" s="404">
        <v>0</v>
      </c>
      <c r="JH23" s="404">
        <v>0</v>
      </c>
      <c r="JI23" s="404">
        <v>0</v>
      </c>
      <c r="JJ23" s="404">
        <v>0</v>
      </c>
      <c r="JK23" s="404">
        <v>0</v>
      </c>
      <c r="JL23" s="404">
        <v>0</v>
      </c>
      <c r="JM23" s="404">
        <v>0</v>
      </c>
      <c r="JN23" s="404">
        <v>-0.15496124334885</v>
      </c>
      <c r="JO23" s="404">
        <v>0</v>
      </c>
      <c r="JP23" s="404">
        <v>0</v>
      </c>
      <c r="JQ23" s="404">
        <v>0</v>
      </c>
      <c r="JR23" s="404">
        <v>-1.3435541332540599</v>
      </c>
      <c r="JS23" s="404">
        <v>0</v>
      </c>
      <c r="JT23" s="404">
        <v>-55.82</v>
      </c>
      <c r="JU23" s="404">
        <v>-11.99</v>
      </c>
      <c r="JV23" s="404">
        <v>-19.61</v>
      </c>
      <c r="JW23" s="404">
        <v>-12.92</v>
      </c>
      <c r="JX23" s="404">
        <v>-0.84497718120804999</v>
      </c>
      <c r="JY23" s="404">
        <v>-0.9</v>
      </c>
      <c r="JZ23" s="404">
        <v>0</v>
      </c>
      <c r="KA23" s="404">
        <v>0</v>
      </c>
      <c r="KB23" s="404">
        <v>0</v>
      </c>
      <c r="KC23" s="404">
        <v>0</v>
      </c>
      <c r="KD23" s="404">
        <v>0</v>
      </c>
      <c r="KE23" s="404">
        <v>0</v>
      </c>
      <c r="KF23" s="404">
        <v>0</v>
      </c>
      <c r="KG23" s="404">
        <v>0</v>
      </c>
      <c r="KH23" s="404">
        <v>0</v>
      </c>
      <c r="KI23" s="404">
        <v>0</v>
      </c>
      <c r="KJ23" s="404">
        <v>0</v>
      </c>
      <c r="KK23" s="404">
        <v>0</v>
      </c>
      <c r="KL23" s="404">
        <v>0</v>
      </c>
      <c r="KM23" s="404">
        <v>0</v>
      </c>
      <c r="KN23" s="404">
        <v>0</v>
      </c>
      <c r="KO23" s="404">
        <v>0</v>
      </c>
      <c r="KP23" s="404">
        <v>0</v>
      </c>
      <c r="KQ23" s="404">
        <v>0</v>
      </c>
      <c r="KR23" s="404">
        <v>0</v>
      </c>
      <c r="KS23" s="404">
        <v>0</v>
      </c>
      <c r="KT23" s="404">
        <v>0</v>
      </c>
      <c r="KU23" s="404">
        <v>0</v>
      </c>
      <c r="KV23" s="404">
        <v>0</v>
      </c>
      <c r="KW23" s="404">
        <v>0</v>
      </c>
      <c r="KX23" s="404">
        <v>1.0046888903139199</v>
      </c>
      <c r="KY23" s="404">
        <v>0.16710577309979999</v>
      </c>
      <c r="KZ23" s="404">
        <v>-0.20275762945598999</v>
      </c>
      <c r="LA23" s="404">
        <v>1.2390474038300001E-2</v>
      </c>
      <c r="LB23" s="404">
        <v>-5.5329298001249999E-2</v>
      </c>
      <c r="LC23" s="404">
        <v>-0.44750344212965998</v>
      </c>
      <c r="LD23" s="404">
        <v>-2.6800558377699998E-3</v>
      </c>
      <c r="LE23" s="404">
        <v>0</v>
      </c>
      <c r="LF23" s="404">
        <v>0</v>
      </c>
      <c r="LG23" s="404">
        <v>0</v>
      </c>
      <c r="LH23" s="404">
        <v>4.3345790606010001E-2</v>
      </c>
      <c r="LI23" s="404">
        <v>0</v>
      </c>
      <c r="LJ23" s="404">
        <v>0</v>
      </c>
      <c r="LK23" s="404">
        <v>0</v>
      </c>
      <c r="LL23" s="404">
        <v>0</v>
      </c>
      <c r="LM23" s="404">
        <v>0</v>
      </c>
      <c r="LN23" s="404">
        <v>0.14138326334163001</v>
      </c>
      <c r="LO23" s="404">
        <v>-6.76163329988798</v>
      </c>
      <c r="LP23" s="404">
        <v>0.12020443037641</v>
      </c>
      <c r="LQ23" s="404">
        <v>0</v>
      </c>
      <c r="LR23" s="404">
        <v>0</v>
      </c>
      <c r="LS23" s="404">
        <v>0</v>
      </c>
      <c r="LT23" s="404">
        <v>0</v>
      </c>
      <c r="LU23" s="404">
        <v>-3.11</v>
      </c>
      <c r="LV23" s="401">
        <v>6.8506595710599999E-3</v>
      </c>
      <c r="LW23" s="401">
        <v>0</v>
      </c>
      <c r="LX23" s="401">
        <v>0</v>
      </c>
      <c r="LY23" s="401">
        <v>0</v>
      </c>
      <c r="LZ23" s="401">
        <v>0</v>
      </c>
      <c r="MA23" s="401">
        <v>-0.43889541996992998</v>
      </c>
      <c r="MB23" s="404">
        <v>0</v>
      </c>
      <c r="MC23" s="404">
        <v>0</v>
      </c>
      <c r="MD23" s="404">
        <v>0</v>
      </c>
      <c r="ME23" s="404">
        <v>0</v>
      </c>
      <c r="MF23" s="404">
        <v>0</v>
      </c>
      <c r="MG23" s="404">
        <v>0</v>
      </c>
    </row>
    <row r="24" spans="1:345" ht="18" customHeight="1">
      <c r="A24" s="10" t="s">
        <v>14</v>
      </c>
      <c r="B24" s="15">
        <v>0.3</v>
      </c>
      <c r="C24" s="15">
        <v>0.2</v>
      </c>
      <c r="D24" s="15">
        <v>0.2</v>
      </c>
      <c r="E24" s="255">
        <v>308.95970695970692</v>
      </c>
      <c r="F24" s="256">
        <v>-2.7</v>
      </c>
      <c r="G24" s="16">
        <v>-3.9</v>
      </c>
      <c r="H24" s="16">
        <v>-3.9</v>
      </c>
      <c r="I24" s="5">
        <v>1762.0233173515765</v>
      </c>
      <c r="J24" s="6">
        <v>12</v>
      </c>
      <c r="K24" s="6">
        <v>377.00870000000003</v>
      </c>
      <c r="L24" s="17">
        <v>0.4</v>
      </c>
      <c r="M24" s="17">
        <v>0.5</v>
      </c>
      <c r="N24" s="17">
        <v>0.5</v>
      </c>
      <c r="O24" s="16">
        <v>0.5</v>
      </c>
      <c r="P24" s="16">
        <v>0.3</v>
      </c>
      <c r="Q24" s="16">
        <v>94.5</v>
      </c>
      <c r="R24" s="16">
        <v>4.7</v>
      </c>
      <c r="S24" s="252">
        <v>0</v>
      </c>
      <c r="T24" s="303">
        <v>2</v>
      </c>
      <c r="U24" s="304">
        <v>1.5</v>
      </c>
      <c r="V24" s="303">
        <v>1</v>
      </c>
      <c r="W24" s="304">
        <v>0.8</v>
      </c>
      <c r="X24" s="304">
        <v>0.5</v>
      </c>
      <c r="Y24" s="5">
        <v>12444.794601128844</v>
      </c>
      <c r="Z24" s="14">
        <v>1.71</v>
      </c>
      <c r="AA24" s="5">
        <v>159.91517757856838</v>
      </c>
      <c r="AB24" s="17">
        <v>0.6</v>
      </c>
      <c r="AC24" s="17">
        <v>0.4</v>
      </c>
      <c r="AD24" s="17">
        <v>0.4</v>
      </c>
      <c r="AE24" s="254">
        <v>0.17662031856602187</v>
      </c>
      <c r="AF24" s="254">
        <v>0.17483623993638389</v>
      </c>
      <c r="AG24" s="18">
        <v>5.9709143586614601</v>
      </c>
      <c r="AH24" s="18">
        <v>2.2390520042987645</v>
      </c>
      <c r="AI24" s="18">
        <v>8.2770516397749549</v>
      </c>
      <c r="AJ24" s="18">
        <v>42.15435797304908</v>
      </c>
      <c r="AK24" s="18">
        <v>0.73342904596029179</v>
      </c>
      <c r="AL24" s="18"/>
      <c r="AM24" s="18">
        <v>40.515527030312484</v>
      </c>
      <c r="AN24" s="18">
        <v>4.2582671128225308E-2</v>
      </c>
      <c r="AO24" s="18"/>
      <c r="AP24" s="18"/>
      <c r="AQ24" s="18"/>
      <c r="AR24" s="18"/>
      <c r="AS24" s="18"/>
      <c r="AT24" s="18">
        <v>1.4368955152206316E-2</v>
      </c>
      <c r="AU24" s="18">
        <v>5.2716321662525448E-2</v>
      </c>
      <c r="AV24" s="304">
        <v>0.3</v>
      </c>
      <c r="AW24" s="304">
        <v>0.7</v>
      </c>
      <c r="AX24" s="304">
        <v>1.2</v>
      </c>
      <c r="AY24" s="304">
        <v>1.2</v>
      </c>
      <c r="AZ24" s="303">
        <v>3</v>
      </c>
      <c r="BA24" s="6">
        <v>3.2180607020619858</v>
      </c>
      <c r="BB24" s="6">
        <v>18</v>
      </c>
      <c r="BC24" s="5">
        <f t="shared" si="348"/>
        <v>57.925092637115746</v>
      </c>
      <c r="BD24" s="17">
        <v>1.4</v>
      </c>
      <c r="BE24" s="17">
        <v>0.9</v>
      </c>
      <c r="BF24" s="17">
        <v>0.9</v>
      </c>
      <c r="BG24" s="6">
        <v>3.2180607020619858</v>
      </c>
      <c r="BH24" s="6">
        <v>18</v>
      </c>
      <c r="BI24" s="5">
        <v>4708.5459340659336</v>
      </c>
      <c r="BJ24" s="17">
        <v>1.4</v>
      </c>
      <c r="BK24" s="17">
        <v>0.9</v>
      </c>
      <c r="BL24" s="17">
        <v>0.9</v>
      </c>
      <c r="BM24" s="5">
        <v>936.47113349205063</v>
      </c>
      <c r="BN24" s="6">
        <v>179.9</v>
      </c>
      <c r="BO24" s="6">
        <v>3276.1653479853576</v>
      </c>
      <c r="BP24" s="17">
        <v>1.4</v>
      </c>
      <c r="BQ24" s="17">
        <v>0.9</v>
      </c>
      <c r="BR24" s="17">
        <v>0.9</v>
      </c>
      <c r="BS24" s="221">
        <v>2</v>
      </c>
      <c r="BT24" s="54">
        <v>1.5</v>
      </c>
      <c r="BU24" s="54">
        <v>0.7</v>
      </c>
      <c r="BV24" s="54">
        <v>0.7</v>
      </c>
      <c r="BW24" s="54">
        <v>0.5</v>
      </c>
      <c r="BX24" s="5"/>
      <c r="BY24" s="5">
        <v>7316.9351721612129</v>
      </c>
      <c r="BZ24" s="17">
        <v>1.2</v>
      </c>
      <c r="CA24" s="17">
        <v>0.7</v>
      </c>
      <c r="CB24" s="17">
        <v>0.7</v>
      </c>
      <c r="CC24" s="221">
        <v>2</v>
      </c>
      <c r="CD24" s="221">
        <v>2</v>
      </c>
      <c r="CE24" s="221">
        <v>1</v>
      </c>
      <c r="CF24" s="221">
        <v>1</v>
      </c>
      <c r="CG24" s="54">
        <v>0.5</v>
      </c>
      <c r="CH24" s="5"/>
      <c r="CI24" s="5">
        <v>500</v>
      </c>
      <c r="CJ24" s="19">
        <v>1.1000000000000001</v>
      </c>
      <c r="CK24" s="19">
        <v>0.7</v>
      </c>
      <c r="CL24" s="19">
        <v>0.7</v>
      </c>
      <c r="CM24" s="54">
        <v>2</v>
      </c>
      <c r="CN24" s="54">
        <v>1.5</v>
      </c>
      <c r="CO24" s="54">
        <v>0.5</v>
      </c>
      <c r="CP24" s="54">
        <v>1</v>
      </c>
      <c r="CQ24" s="54">
        <v>0.5</v>
      </c>
      <c r="CR24" s="5"/>
      <c r="CS24" s="8">
        <v>29</v>
      </c>
      <c r="CT24" s="17">
        <v>0.9</v>
      </c>
      <c r="CU24" s="17">
        <v>0.7</v>
      </c>
      <c r="CV24" s="17">
        <v>0.7</v>
      </c>
      <c r="CW24" s="54">
        <v>2</v>
      </c>
      <c r="CX24" s="54">
        <v>1</v>
      </c>
      <c r="CY24" s="54">
        <v>0.5</v>
      </c>
      <c r="CZ24" s="54">
        <v>0.7</v>
      </c>
      <c r="DA24" s="54">
        <v>0.2</v>
      </c>
      <c r="DB24" s="403">
        <v>0</v>
      </c>
      <c r="DC24" s="403">
        <v>0</v>
      </c>
      <c r="DD24" s="403">
        <v>0</v>
      </c>
      <c r="DE24" s="403">
        <v>0</v>
      </c>
      <c r="DF24" s="403">
        <v>0</v>
      </c>
      <c r="DG24" s="403">
        <v>0</v>
      </c>
      <c r="DH24" s="403">
        <v>0</v>
      </c>
      <c r="DI24" s="403">
        <v>0</v>
      </c>
      <c r="DJ24" s="403">
        <v>0</v>
      </c>
      <c r="DK24" s="403">
        <v>0</v>
      </c>
      <c r="DL24" s="403">
        <v>0</v>
      </c>
      <c r="DM24" s="403">
        <v>0</v>
      </c>
      <c r="DN24" s="403">
        <v>0</v>
      </c>
      <c r="DO24" s="403">
        <v>0</v>
      </c>
      <c r="DP24" s="403">
        <v>0</v>
      </c>
      <c r="DQ24" s="403">
        <v>0</v>
      </c>
      <c r="DR24" s="403">
        <v>0</v>
      </c>
      <c r="DS24" s="403">
        <v>0</v>
      </c>
      <c r="DT24" s="403">
        <v>0</v>
      </c>
      <c r="DU24" s="403">
        <v>0</v>
      </c>
      <c r="DV24" s="403">
        <v>0</v>
      </c>
      <c r="DW24" s="403">
        <v>0</v>
      </c>
      <c r="DX24" s="403">
        <v>0</v>
      </c>
      <c r="DY24" s="403">
        <v>0</v>
      </c>
      <c r="DZ24" s="404">
        <v>0</v>
      </c>
      <c r="EA24" s="404">
        <v>0</v>
      </c>
      <c r="EB24" s="404">
        <v>0</v>
      </c>
      <c r="EC24" s="404">
        <v>0</v>
      </c>
      <c r="ED24" s="404">
        <v>0</v>
      </c>
      <c r="EE24" s="404">
        <v>0</v>
      </c>
      <c r="EF24" s="404">
        <v>2.3331596698950001</v>
      </c>
      <c r="EG24" s="404">
        <v>0</v>
      </c>
      <c r="EH24" s="404">
        <v>0</v>
      </c>
      <c r="EI24" s="404">
        <v>0.98609088910742004</v>
      </c>
      <c r="EJ24" s="404">
        <v>9.6999770847580005E-2</v>
      </c>
      <c r="EK24" s="404">
        <v>-0.74905005460903995</v>
      </c>
      <c r="EL24" s="404">
        <v>2.3331596698949899</v>
      </c>
      <c r="EM24" s="404">
        <v>0</v>
      </c>
      <c r="EN24" s="404">
        <v>0</v>
      </c>
      <c r="EO24" s="404">
        <v>0.98609088910742004</v>
      </c>
      <c r="EP24" s="404">
        <v>0</v>
      </c>
      <c r="EQ24" s="404">
        <v>-0.74905005460903995</v>
      </c>
      <c r="ER24" s="404">
        <v>0</v>
      </c>
      <c r="ES24" s="404">
        <v>0</v>
      </c>
      <c r="ET24" s="404">
        <v>0</v>
      </c>
      <c r="EU24" s="404">
        <v>0</v>
      </c>
      <c r="EV24" s="404">
        <v>0</v>
      </c>
      <c r="EW24" s="404">
        <v>0</v>
      </c>
      <c r="EX24" s="404">
        <v>0</v>
      </c>
      <c r="EY24" s="404">
        <v>0</v>
      </c>
      <c r="EZ24" s="404">
        <v>0</v>
      </c>
      <c r="FA24" s="404">
        <v>0</v>
      </c>
      <c r="FB24" s="404">
        <v>0</v>
      </c>
      <c r="FC24" s="404">
        <v>0</v>
      </c>
      <c r="FD24" s="404">
        <v>0</v>
      </c>
      <c r="FE24" s="404">
        <v>0</v>
      </c>
      <c r="FF24" s="404">
        <v>0</v>
      </c>
      <c r="FG24" s="404">
        <v>0</v>
      </c>
      <c r="FH24" s="404">
        <v>0</v>
      </c>
      <c r="FI24" s="404">
        <v>0</v>
      </c>
      <c r="FJ24" s="404">
        <v>0</v>
      </c>
      <c r="FK24" s="404">
        <v>0</v>
      </c>
      <c r="FL24" s="404">
        <v>0</v>
      </c>
      <c r="FM24" s="404">
        <v>0</v>
      </c>
      <c r="FN24" s="404">
        <v>0</v>
      </c>
      <c r="FO24" s="404">
        <v>0</v>
      </c>
      <c r="FP24" s="404">
        <v>0</v>
      </c>
      <c r="FQ24" s="404">
        <v>0</v>
      </c>
      <c r="FR24" s="404">
        <v>0</v>
      </c>
      <c r="FS24" s="404">
        <v>0</v>
      </c>
      <c r="FT24" s="404">
        <v>0</v>
      </c>
      <c r="FU24" s="404">
        <v>0</v>
      </c>
      <c r="FV24" s="404">
        <v>0</v>
      </c>
      <c r="FW24" s="404">
        <v>0</v>
      </c>
      <c r="FX24" s="404">
        <v>0</v>
      </c>
      <c r="FY24" s="404">
        <v>0</v>
      </c>
      <c r="FZ24" s="404">
        <v>0</v>
      </c>
      <c r="GA24" s="404">
        <v>0</v>
      </c>
      <c r="GB24" s="404">
        <v>0</v>
      </c>
      <c r="GC24" s="404">
        <v>0</v>
      </c>
      <c r="GD24" s="404">
        <v>0</v>
      </c>
      <c r="GE24" s="404">
        <v>0</v>
      </c>
      <c r="GF24" s="404">
        <v>0</v>
      </c>
      <c r="GG24" s="404">
        <v>0</v>
      </c>
      <c r="GH24" s="404">
        <v>-55.82</v>
      </c>
      <c r="GI24" s="404">
        <v>-11.99</v>
      </c>
      <c r="GJ24" s="404">
        <v>-19.61</v>
      </c>
      <c r="GK24" s="404">
        <v>-12.92</v>
      </c>
      <c r="GL24" s="404">
        <v>4.6060068064949999E-2</v>
      </c>
      <c r="GM24" s="404">
        <v>-3.91</v>
      </c>
      <c r="GN24" s="404">
        <v>0</v>
      </c>
      <c r="GO24" s="404">
        <v>0</v>
      </c>
      <c r="GP24" s="404">
        <v>0</v>
      </c>
      <c r="GQ24" s="404">
        <v>0</v>
      </c>
      <c r="GR24" s="404">
        <v>0</v>
      </c>
      <c r="GS24" s="404">
        <v>0</v>
      </c>
      <c r="GT24" s="404">
        <v>0</v>
      </c>
      <c r="GU24" s="404">
        <v>0</v>
      </c>
      <c r="GV24" s="404">
        <v>0</v>
      </c>
      <c r="GW24" s="404">
        <v>0</v>
      </c>
      <c r="GX24" s="404">
        <v>0</v>
      </c>
      <c r="GY24" s="404">
        <v>0</v>
      </c>
      <c r="GZ24" s="404">
        <v>0</v>
      </c>
      <c r="HA24" s="404">
        <v>0</v>
      </c>
      <c r="HB24" s="404">
        <v>0</v>
      </c>
      <c r="HC24" s="404">
        <v>0</v>
      </c>
      <c r="HD24" s="404">
        <v>0</v>
      </c>
      <c r="HE24" s="404">
        <v>0</v>
      </c>
      <c r="HF24" s="404">
        <v>0</v>
      </c>
      <c r="HG24" s="404">
        <v>0</v>
      </c>
      <c r="HH24" s="404">
        <v>0</v>
      </c>
      <c r="HI24" s="404">
        <v>0</v>
      </c>
      <c r="HJ24" s="404">
        <v>0</v>
      </c>
      <c r="HK24" s="404">
        <v>0</v>
      </c>
      <c r="HL24" s="397">
        <v>-0.6</v>
      </c>
      <c r="HM24" s="405">
        <v>0</v>
      </c>
      <c r="HN24" s="405">
        <v>0</v>
      </c>
      <c r="HO24" s="405">
        <v>0</v>
      </c>
      <c r="HP24" s="405">
        <v>0</v>
      </c>
      <c r="HQ24" s="397">
        <v>-3.1108822695035498</v>
      </c>
      <c r="HR24" s="397">
        <v>0.1</v>
      </c>
      <c r="HS24" s="397">
        <v>0</v>
      </c>
      <c r="HT24" s="397">
        <v>0</v>
      </c>
      <c r="HU24" s="397">
        <v>0</v>
      </c>
      <c r="HV24" s="397">
        <v>0</v>
      </c>
      <c r="HW24" s="397">
        <v>0.23</v>
      </c>
      <c r="HX24" s="397">
        <v>-9.0767508396599993E-3</v>
      </c>
      <c r="HY24" s="397">
        <v>0</v>
      </c>
      <c r="HZ24" s="397">
        <v>0</v>
      </c>
      <c r="IA24" s="397">
        <v>-2.3954794799700002E-3</v>
      </c>
      <c r="IB24" s="397">
        <v>0</v>
      </c>
      <c r="IC24" s="397">
        <v>-0.47</v>
      </c>
      <c r="ID24" s="405">
        <v>0</v>
      </c>
      <c r="IE24" s="405">
        <v>0</v>
      </c>
      <c r="IF24" s="405">
        <v>0</v>
      </c>
      <c r="IG24" s="405">
        <v>0</v>
      </c>
      <c r="IH24" s="405">
        <v>0</v>
      </c>
      <c r="II24" s="405">
        <v>0</v>
      </c>
      <c r="IJ24" s="405">
        <v>0</v>
      </c>
      <c r="IK24" s="405">
        <v>0</v>
      </c>
      <c r="IL24" s="405">
        <v>0</v>
      </c>
      <c r="IM24" s="405">
        <v>0</v>
      </c>
      <c r="IN24" s="405">
        <v>0</v>
      </c>
      <c r="IO24" s="405">
        <v>0</v>
      </c>
      <c r="IP24" s="404">
        <v>-55.82</v>
      </c>
      <c r="IQ24" s="404">
        <v>-11.99</v>
      </c>
      <c r="IR24" s="404">
        <v>-19.61</v>
      </c>
      <c r="IS24" s="404">
        <v>-12.92</v>
      </c>
      <c r="IT24" s="404">
        <v>-1.07225369578546</v>
      </c>
      <c r="IU24" s="404">
        <v>-0.59</v>
      </c>
      <c r="IV24" s="404">
        <v>-0.12913436945737</v>
      </c>
      <c r="IW24" s="404">
        <v>0</v>
      </c>
      <c r="IX24" s="404">
        <v>0</v>
      </c>
      <c r="IY24" s="404">
        <v>0</v>
      </c>
      <c r="IZ24" s="404">
        <v>-0.75737307686747002</v>
      </c>
      <c r="JA24" s="404">
        <v>0</v>
      </c>
      <c r="JB24" s="404">
        <v>-0.15496124334884001</v>
      </c>
      <c r="JC24" s="404">
        <v>0</v>
      </c>
      <c r="JD24" s="404">
        <v>0</v>
      </c>
      <c r="JE24" s="404">
        <v>0</v>
      </c>
      <c r="JF24" s="404">
        <v>-1.39367584496439</v>
      </c>
      <c r="JG24" s="404">
        <v>0</v>
      </c>
      <c r="JH24" s="404">
        <v>0</v>
      </c>
      <c r="JI24" s="404">
        <v>0</v>
      </c>
      <c r="JJ24" s="404">
        <v>0</v>
      </c>
      <c r="JK24" s="404">
        <v>0</v>
      </c>
      <c r="JL24" s="404">
        <v>0</v>
      </c>
      <c r="JM24" s="404">
        <v>0</v>
      </c>
      <c r="JN24" s="404">
        <v>-0.15496124334885</v>
      </c>
      <c r="JO24" s="404">
        <v>0</v>
      </c>
      <c r="JP24" s="404">
        <v>0</v>
      </c>
      <c r="JQ24" s="404">
        <v>0</v>
      </c>
      <c r="JR24" s="404">
        <v>-1.3435541332540599</v>
      </c>
      <c r="JS24" s="404">
        <v>0</v>
      </c>
      <c r="JT24" s="404">
        <v>-55.82</v>
      </c>
      <c r="JU24" s="404">
        <v>-11.99</v>
      </c>
      <c r="JV24" s="404">
        <v>-19.61</v>
      </c>
      <c r="JW24" s="404">
        <v>-12.92</v>
      </c>
      <c r="JX24" s="404">
        <v>-0.84497718120804999</v>
      </c>
      <c r="JY24" s="404">
        <v>-0.9</v>
      </c>
      <c r="JZ24" s="404">
        <v>0</v>
      </c>
      <c r="KA24" s="404">
        <v>0</v>
      </c>
      <c r="KB24" s="404">
        <v>0</v>
      </c>
      <c r="KC24" s="404">
        <v>0</v>
      </c>
      <c r="KD24" s="404">
        <v>0</v>
      </c>
      <c r="KE24" s="404">
        <v>0</v>
      </c>
      <c r="KF24" s="404">
        <v>0</v>
      </c>
      <c r="KG24" s="404">
        <v>0</v>
      </c>
      <c r="KH24" s="404">
        <v>0</v>
      </c>
      <c r="KI24" s="404">
        <v>0</v>
      </c>
      <c r="KJ24" s="404">
        <v>0</v>
      </c>
      <c r="KK24" s="404">
        <v>0</v>
      </c>
      <c r="KL24" s="404">
        <v>0</v>
      </c>
      <c r="KM24" s="404">
        <v>0</v>
      </c>
      <c r="KN24" s="404">
        <v>0</v>
      </c>
      <c r="KO24" s="404">
        <v>0</v>
      </c>
      <c r="KP24" s="404">
        <v>0</v>
      </c>
      <c r="KQ24" s="404">
        <v>0</v>
      </c>
      <c r="KR24" s="404">
        <v>0</v>
      </c>
      <c r="KS24" s="404">
        <v>0</v>
      </c>
      <c r="KT24" s="404">
        <v>0</v>
      </c>
      <c r="KU24" s="404">
        <v>0</v>
      </c>
      <c r="KV24" s="404">
        <v>0</v>
      </c>
      <c r="KW24" s="404">
        <v>0</v>
      </c>
      <c r="KX24" s="404">
        <v>1.0046888903139199</v>
      </c>
      <c r="KY24" s="404">
        <v>0.16710577309979999</v>
      </c>
      <c r="KZ24" s="404">
        <v>-0.20275762945598999</v>
      </c>
      <c r="LA24" s="404">
        <v>1.2390474038300001E-2</v>
      </c>
      <c r="LB24" s="404">
        <v>-5.5329298001249999E-2</v>
      </c>
      <c r="LC24" s="404">
        <v>-0.44750344212965998</v>
      </c>
      <c r="LD24" s="404">
        <v>-2.6800558377699998E-3</v>
      </c>
      <c r="LE24" s="404">
        <v>0</v>
      </c>
      <c r="LF24" s="404">
        <v>0</v>
      </c>
      <c r="LG24" s="404">
        <v>0</v>
      </c>
      <c r="LH24" s="404">
        <v>4.3345790606010001E-2</v>
      </c>
      <c r="LI24" s="404">
        <v>0</v>
      </c>
      <c r="LJ24" s="404">
        <v>0</v>
      </c>
      <c r="LK24" s="404">
        <v>0</v>
      </c>
      <c r="LL24" s="404">
        <v>0</v>
      </c>
      <c r="LM24" s="404">
        <v>0</v>
      </c>
      <c r="LN24" s="404">
        <v>0.14138326334163001</v>
      </c>
      <c r="LO24" s="404">
        <v>-6.76163329988798</v>
      </c>
      <c r="LP24" s="404">
        <v>0.12020443037641</v>
      </c>
      <c r="LQ24" s="404">
        <v>0</v>
      </c>
      <c r="LR24" s="404">
        <v>0</v>
      </c>
      <c r="LS24" s="404">
        <v>0</v>
      </c>
      <c r="LT24" s="404">
        <v>0</v>
      </c>
      <c r="LU24" s="404">
        <v>-3.11</v>
      </c>
      <c r="LV24" s="401">
        <v>6.8506595710599999E-3</v>
      </c>
      <c r="LW24" s="401">
        <v>0</v>
      </c>
      <c r="LX24" s="401">
        <v>0</v>
      </c>
      <c r="LY24" s="401">
        <v>0</v>
      </c>
      <c r="LZ24" s="401">
        <v>0</v>
      </c>
      <c r="MA24" s="401">
        <v>-0.43889541996992998</v>
      </c>
      <c r="MB24" s="404">
        <v>0</v>
      </c>
      <c r="MC24" s="404">
        <v>0</v>
      </c>
      <c r="MD24" s="404">
        <v>0</v>
      </c>
      <c r="ME24" s="404">
        <v>0</v>
      </c>
      <c r="MF24" s="404">
        <v>0</v>
      </c>
      <c r="MG24" s="404">
        <v>0</v>
      </c>
    </row>
    <row r="25" spans="1:345" ht="18" customHeight="1">
      <c r="A25" s="10" t="s">
        <v>17</v>
      </c>
      <c r="B25" s="15">
        <v>-1.4</v>
      </c>
      <c r="C25" s="15">
        <v>-0.6</v>
      </c>
      <c r="D25" s="15">
        <v>-0.6</v>
      </c>
      <c r="E25" s="255">
        <v>1357.1428571428571</v>
      </c>
      <c r="F25" s="256">
        <v>1.6</v>
      </c>
      <c r="G25" s="16">
        <v>-2.1</v>
      </c>
      <c r="H25" s="16">
        <v>-2.1</v>
      </c>
      <c r="I25" s="5">
        <v>1161.7265276536368</v>
      </c>
      <c r="J25" s="6">
        <v>12</v>
      </c>
      <c r="K25" s="6">
        <v>369.03340000000003</v>
      </c>
      <c r="L25" s="17">
        <v>0.6</v>
      </c>
      <c r="M25" s="17">
        <v>0.4</v>
      </c>
      <c r="N25" s="17">
        <v>0.4</v>
      </c>
      <c r="O25" s="16">
        <v>0.5</v>
      </c>
      <c r="P25" s="16">
        <v>0</v>
      </c>
      <c r="Q25" s="16">
        <v>99.4</v>
      </c>
      <c r="R25" s="16">
        <v>0.2</v>
      </c>
      <c r="S25" s="252">
        <v>0</v>
      </c>
      <c r="T25" s="303">
        <v>2</v>
      </c>
      <c r="U25" s="304">
        <v>1.5</v>
      </c>
      <c r="V25" s="303">
        <v>1</v>
      </c>
      <c r="W25" s="304">
        <v>0.8</v>
      </c>
      <c r="X25" s="304">
        <v>0.5</v>
      </c>
      <c r="Y25" s="5">
        <v>8228.6259277475547</v>
      </c>
      <c r="Z25" s="14">
        <v>1.43</v>
      </c>
      <c r="AA25" s="5">
        <v>163.25104838063604</v>
      </c>
      <c r="AB25" s="17">
        <v>0.7</v>
      </c>
      <c r="AC25" s="17">
        <v>0.4</v>
      </c>
      <c r="AD25" s="17">
        <v>0.4</v>
      </c>
      <c r="AE25" s="254">
        <v>0.19488356370085466</v>
      </c>
      <c r="AF25" s="254">
        <v>0.18504125998064766</v>
      </c>
      <c r="AG25" s="18">
        <v>2.6202622967715339</v>
      </c>
      <c r="AH25" s="18">
        <v>2.8342480224678571E-2</v>
      </c>
      <c r="AI25" s="18">
        <v>6.3198577722810541</v>
      </c>
      <c r="AJ25" s="18">
        <v>29.695962484862537</v>
      </c>
      <c r="AK25" s="18">
        <v>1.4300069567906007E-2</v>
      </c>
      <c r="AL25" s="18">
        <v>0</v>
      </c>
      <c r="AM25" s="18">
        <v>57.647058823529406</v>
      </c>
      <c r="AN25" s="18">
        <v>2.9630774780345778E-3</v>
      </c>
      <c r="AO25" s="18">
        <v>0</v>
      </c>
      <c r="AP25" s="18">
        <v>0</v>
      </c>
      <c r="AQ25" s="18">
        <v>0</v>
      </c>
      <c r="AR25" s="18">
        <v>0</v>
      </c>
      <c r="AS25" s="18">
        <v>0</v>
      </c>
      <c r="AT25" s="18">
        <v>3.5864832135219396</v>
      </c>
      <c r="AU25" s="18">
        <v>8.4769781762902272E-2</v>
      </c>
      <c r="AV25" s="304">
        <v>0.3</v>
      </c>
      <c r="AW25" s="304">
        <v>0.7</v>
      </c>
      <c r="AX25" s="304">
        <v>1.2</v>
      </c>
      <c r="AY25" s="304">
        <v>1.2</v>
      </c>
      <c r="AZ25" s="303">
        <v>3</v>
      </c>
      <c r="BA25" s="6">
        <v>0</v>
      </c>
      <c r="BB25" s="6">
        <v>18</v>
      </c>
      <c r="BC25" s="5">
        <f t="shared" si="348"/>
        <v>0</v>
      </c>
      <c r="BD25" s="17">
        <v>2.6</v>
      </c>
      <c r="BE25" s="17">
        <v>1.4</v>
      </c>
      <c r="BF25" s="17">
        <v>1.4</v>
      </c>
      <c r="BG25" s="6">
        <v>3.7192308213735696</v>
      </c>
      <c r="BH25" s="6">
        <v>18</v>
      </c>
      <c r="BI25" s="5">
        <v>22039.999999999996</v>
      </c>
      <c r="BJ25" s="17">
        <v>2.6</v>
      </c>
      <c r="BK25" s="17">
        <v>1.4</v>
      </c>
      <c r="BL25" s="17">
        <v>1.4</v>
      </c>
      <c r="BM25" s="5">
        <v>329.59667191873331</v>
      </c>
      <c r="BN25" s="6">
        <v>179.9</v>
      </c>
      <c r="BO25" s="6">
        <v>11355.851071128354</v>
      </c>
      <c r="BP25" s="17">
        <v>2.6</v>
      </c>
      <c r="BQ25" s="17">
        <v>1.4</v>
      </c>
      <c r="BR25" s="17">
        <v>1.4</v>
      </c>
      <c r="BS25" s="221">
        <v>2</v>
      </c>
      <c r="BT25" s="54">
        <v>1.5</v>
      </c>
      <c r="BU25" s="54">
        <v>0.7</v>
      </c>
      <c r="BV25" s="54">
        <v>0.7</v>
      </c>
      <c r="BW25" s="54">
        <v>0.5</v>
      </c>
      <c r="BX25" s="5">
        <v>502.77337566256062</v>
      </c>
      <c r="BY25" s="5">
        <v>13528.433958279504</v>
      </c>
      <c r="BZ25" s="17">
        <v>2.2999999999999998</v>
      </c>
      <c r="CA25" s="17">
        <v>1.2</v>
      </c>
      <c r="CB25" s="17">
        <v>1.2</v>
      </c>
      <c r="CC25" s="221">
        <v>2</v>
      </c>
      <c r="CD25" s="221">
        <v>2</v>
      </c>
      <c r="CE25" s="221">
        <v>1</v>
      </c>
      <c r="CF25" s="221">
        <v>1</v>
      </c>
      <c r="CG25" s="54">
        <v>0.5</v>
      </c>
      <c r="CH25" s="5">
        <v>179.46118387955354</v>
      </c>
      <c r="CI25" s="5">
        <v>500</v>
      </c>
      <c r="CJ25" s="19">
        <v>1.8</v>
      </c>
      <c r="CK25" s="19">
        <v>1.1000000000000001</v>
      </c>
      <c r="CL25" s="19">
        <v>1.1000000000000001</v>
      </c>
      <c r="CM25" s="54">
        <v>2</v>
      </c>
      <c r="CN25" s="54">
        <v>1.5</v>
      </c>
      <c r="CO25" s="54">
        <v>0.5</v>
      </c>
      <c r="CP25" s="54">
        <v>1</v>
      </c>
      <c r="CQ25" s="54">
        <v>0.5</v>
      </c>
      <c r="CR25" s="5"/>
      <c r="CS25" s="8">
        <v>29</v>
      </c>
      <c r="CT25" s="17">
        <v>1.5</v>
      </c>
      <c r="CU25" s="19">
        <v>1</v>
      </c>
      <c r="CV25" s="19">
        <v>1</v>
      </c>
      <c r="CW25" s="54">
        <v>2</v>
      </c>
      <c r="CX25" s="54">
        <v>1</v>
      </c>
      <c r="CY25" s="54">
        <v>0.5</v>
      </c>
      <c r="CZ25" s="54">
        <v>0.7</v>
      </c>
      <c r="DA25" s="54">
        <v>0.2</v>
      </c>
      <c r="DB25" s="403">
        <v>0</v>
      </c>
      <c r="DC25" s="403">
        <v>0</v>
      </c>
      <c r="DD25" s="403">
        <v>0</v>
      </c>
      <c r="DE25" s="403">
        <v>0</v>
      </c>
      <c r="DF25" s="403">
        <v>0</v>
      </c>
      <c r="DG25" s="403">
        <v>0</v>
      </c>
      <c r="DH25" s="403">
        <v>0</v>
      </c>
      <c r="DI25" s="403">
        <v>0</v>
      </c>
      <c r="DJ25" s="403">
        <v>0</v>
      </c>
      <c r="DK25" s="403">
        <v>0</v>
      </c>
      <c r="DL25" s="403">
        <v>0</v>
      </c>
      <c r="DM25" s="403">
        <v>0</v>
      </c>
      <c r="DN25" s="403">
        <v>0</v>
      </c>
      <c r="DO25" s="403">
        <v>0</v>
      </c>
      <c r="DP25" s="403">
        <v>0</v>
      </c>
      <c r="DQ25" s="403">
        <v>0</v>
      </c>
      <c r="DR25" s="403">
        <v>0</v>
      </c>
      <c r="DS25" s="403">
        <v>0</v>
      </c>
      <c r="DT25" s="403">
        <v>0</v>
      </c>
      <c r="DU25" s="403">
        <v>0</v>
      </c>
      <c r="DV25" s="403">
        <v>0</v>
      </c>
      <c r="DW25" s="403">
        <v>0</v>
      </c>
      <c r="DX25" s="403">
        <v>0</v>
      </c>
      <c r="DY25" s="403">
        <v>0</v>
      </c>
      <c r="DZ25" s="404">
        <v>0</v>
      </c>
      <c r="EA25" s="404">
        <v>0</v>
      </c>
      <c r="EB25" s="404">
        <v>0</v>
      </c>
      <c r="EC25" s="404">
        <v>0</v>
      </c>
      <c r="ED25" s="404">
        <v>0</v>
      </c>
      <c r="EE25" s="404">
        <v>0</v>
      </c>
      <c r="EF25" s="404">
        <v>2.3331596698950001</v>
      </c>
      <c r="EG25" s="404">
        <v>0</v>
      </c>
      <c r="EH25" s="404">
        <v>0</v>
      </c>
      <c r="EI25" s="404">
        <v>0.98609088910742004</v>
      </c>
      <c r="EJ25" s="404">
        <v>9.6999770847580005E-2</v>
      </c>
      <c r="EK25" s="404">
        <v>-0.74905005460903995</v>
      </c>
      <c r="EL25" s="404">
        <v>2.3331596698949899</v>
      </c>
      <c r="EM25" s="404">
        <v>0</v>
      </c>
      <c r="EN25" s="404">
        <v>0</v>
      </c>
      <c r="EO25" s="404">
        <v>0.98609088910742004</v>
      </c>
      <c r="EP25" s="404">
        <v>0</v>
      </c>
      <c r="EQ25" s="404">
        <v>-0.74905005460903995</v>
      </c>
      <c r="ER25" s="404">
        <v>0</v>
      </c>
      <c r="ES25" s="404">
        <v>0</v>
      </c>
      <c r="ET25" s="404">
        <v>0</v>
      </c>
      <c r="EU25" s="404">
        <v>0</v>
      </c>
      <c r="EV25" s="404">
        <v>0</v>
      </c>
      <c r="EW25" s="404">
        <v>0</v>
      </c>
      <c r="EX25" s="404">
        <v>0</v>
      </c>
      <c r="EY25" s="404">
        <v>0</v>
      </c>
      <c r="EZ25" s="404">
        <v>0</v>
      </c>
      <c r="FA25" s="404">
        <v>0</v>
      </c>
      <c r="FB25" s="404">
        <v>0</v>
      </c>
      <c r="FC25" s="404">
        <v>0</v>
      </c>
      <c r="FD25" s="404">
        <v>0</v>
      </c>
      <c r="FE25" s="404">
        <v>0</v>
      </c>
      <c r="FF25" s="404">
        <v>0</v>
      </c>
      <c r="FG25" s="404">
        <v>0</v>
      </c>
      <c r="FH25" s="404">
        <v>0</v>
      </c>
      <c r="FI25" s="404">
        <v>0</v>
      </c>
      <c r="FJ25" s="404">
        <v>0</v>
      </c>
      <c r="FK25" s="404">
        <v>0</v>
      </c>
      <c r="FL25" s="404">
        <v>0</v>
      </c>
      <c r="FM25" s="404">
        <v>0</v>
      </c>
      <c r="FN25" s="404">
        <v>0</v>
      </c>
      <c r="FO25" s="404">
        <v>0</v>
      </c>
      <c r="FP25" s="404">
        <v>0</v>
      </c>
      <c r="FQ25" s="404">
        <v>0</v>
      </c>
      <c r="FR25" s="404">
        <v>0</v>
      </c>
      <c r="FS25" s="404">
        <v>0</v>
      </c>
      <c r="FT25" s="404">
        <v>0</v>
      </c>
      <c r="FU25" s="404">
        <v>0</v>
      </c>
      <c r="FV25" s="404">
        <v>0</v>
      </c>
      <c r="FW25" s="404">
        <v>0</v>
      </c>
      <c r="FX25" s="404">
        <v>0</v>
      </c>
      <c r="FY25" s="404">
        <v>0</v>
      </c>
      <c r="FZ25" s="404">
        <v>0</v>
      </c>
      <c r="GA25" s="404">
        <v>0</v>
      </c>
      <c r="GB25" s="404">
        <v>0</v>
      </c>
      <c r="GC25" s="404">
        <v>0</v>
      </c>
      <c r="GD25" s="404">
        <v>0</v>
      </c>
      <c r="GE25" s="404">
        <v>0</v>
      </c>
      <c r="GF25" s="404">
        <v>0</v>
      </c>
      <c r="GG25" s="404">
        <v>0</v>
      </c>
      <c r="GH25" s="404">
        <v>-55.82</v>
      </c>
      <c r="GI25" s="404">
        <v>-11.99</v>
      </c>
      <c r="GJ25" s="404">
        <v>-19.61</v>
      </c>
      <c r="GK25" s="404">
        <v>-12.92</v>
      </c>
      <c r="GL25" s="404">
        <v>4.6060068064949999E-2</v>
      </c>
      <c r="GM25" s="404">
        <v>-3.91</v>
      </c>
      <c r="GN25" s="404">
        <v>0</v>
      </c>
      <c r="GO25" s="404">
        <v>0</v>
      </c>
      <c r="GP25" s="404">
        <v>0</v>
      </c>
      <c r="GQ25" s="404">
        <v>0</v>
      </c>
      <c r="GR25" s="404">
        <v>0</v>
      </c>
      <c r="GS25" s="404">
        <v>0</v>
      </c>
      <c r="GT25" s="404">
        <v>0</v>
      </c>
      <c r="GU25" s="404">
        <v>0</v>
      </c>
      <c r="GV25" s="404">
        <v>0</v>
      </c>
      <c r="GW25" s="404">
        <v>0</v>
      </c>
      <c r="GX25" s="404">
        <v>0</v>
      </c>
      <c r="GY25" s="404">
        <v>0</v>
      </c>
      <c r="GZ25" s="404">
        <v>0</v>
      </c>
      <c r="HA25" s="404">
        <v>0</v>
      </c>
      <c r="HB25" s="404">
        <v>0</v>
      </c>
      <c r="HC25" s="404">
        <v>0</v>
      </c>
      <c r="HD25" s="404">
        <v>0</v>
      </c>
      <c r="HE25" s="404">
        <v>0</v>
      </c>
      <c r="HF25" s="404">
        <v>0</v>
      </c>
      <c r="HG25" s="404">
        <v>0</v>
      </c>
      <c r="HH25" s="404">
        <v>0</v>
      </c>
      <c r="HI25" s="404">
        <v>0</v>
      </c>
      <c r="HJ25" s="404">
        <v>0</v>
      </c>
      <c r="HK25" s="404">
        <v>0</v>
      </c>
      <c r="HL25" s="397">
        <v>-0.6</v>
      </c>
      <c r="HM25" s="405">
        <v>0</v>
      </c>
      <c r="HN25" s="405">
        <v>0</v>
      </c>
      <c r="HO25" s="405">
        <v>0</v>
      </c>
      <c r="HP25" s="405">
        <v>0</v>
      </c>
      <c r="HQ25" s="397">
        <v>-3.1108822695035498</v>
      </c>
      <c r="HR25" s="397">
        <v>0.1</v>
      </c>
      <c r="HS25" s="397">
        <v>0</v>
      </c>
      <c r="HT25" s="397">
        <v>0</v>
      </c>
      <c r="HU25" s="397">
        <v>0</v>
      </c>
      <c r="HV25" s="397">
        <v>0</v>
      </c>
      <c r="HW25" s="397">
        <v>0.23</v>
      </c>
      <c r="HX25" s="397">
        <v>-9.0767508396599993E-3</v>
      </c>
      <c r="HY25" s="397">
        <v>0</v>
      </c>
      <c r="HZ25" s="397">
        <v>0</v>
      </c>
      <c r="IA25" s="397">
        <v>-2.3954794799700002E-3</v>
      </c>
      <c r="IB25" s="397">
        <v>0</v>
      </c>
      <c r="IC25" s="397">
        <v>-0.47</v>
      </c>
      <c r="ID25" s="405">
        <v>0</v>
      </c>
      <c r="IE25" s="405">
        <v>0</v>
      </c>
      <c r="IF25" s="405">
        <v>0</v>
      </c>
      <c r="IG25" s="405">
        <v>0</v>
      </c>
      <c r="IH25" s="405">
        <v>0</v>
      </c>
      <c r="II25" s="405">
        <v>0</v>
      </c>
      <c r="IJ25" s="405">
        <v>0</v>
      </c>
      <c r="IK25" s="405">
        <v>0</v>
      </c>
      <c r="IL25" s="405">
        <v>0</v>
      </c>
      <c r="IM25" s="405">
        <v>0</v>
      </c>
      <c r="IN25" s="405">
        <v>0</v>
      </c>
      <c r="IO25" s="405">
        <v>0</v>
      </c>
      <c r="IP25" s="404">
        <v>-55.82</v>
      </c>
      <c r="IQ25" s="404">
        <v>-11.99</v>
      </c>
      <c r="IR25" s="404">
        <v>-19.61</v>
      </c>
      <c r="IS25" s="404">
        <v>-12.92</v>
      </c>
      <c r="IT25" s="404">
        <v>-1.07225369578546</v>
      </c>
      <c r="IU25" s="404">
        <v>-0.59</v>
      </c>
      <c r="IV25" s="404">
        <v>-0.12913436945737</v>
      </c>
      <c r="IW25" s="404">
        <v>0</v>
      </c>
      <c r="IX25" s="404">
        <v>0</v>
      </c>
      <c r="IY25" s="404">
        <v>0</v>
      </c>
      <c r="IZ25" s="404">
        <v>-0.75737307686747002</v>
      </c>
      <c r="JA25" s="404">
        <v>0</v>
      </c>
      <c r="JB25" s="404">
        <v>-0.15496124334884001</v>
      </c>
      <c r="JC25" s="404">
        <v>0</v>
      </c>
      <c r="JD25" s="404">
        <v>0</v>
      </c>
      <c r="JE25" s="404">
        <v>0</v>
      </c>
      <c r="JF25" s="404">
        <v>-1.39367584496439</v>
      </c>
      <c r="JG25" s="404">
        <v>0</v>
      </c>
      <c r="JH25" s="404">
        <v>0</v>
      </c>
      <c r="JI25" s="404">
        <v>0</v>
      </c>
      <c r="JJ25" s="404">
        <v>0</v>
      </c>
      <c r="JK25" s="404">
        <v>0</v>
      </c>
      <c r="JL25" s="404">
        <v>0</v>
      </c>
      <c r="JM25" s="404">
        <v>0</v>
      </c>
      <c r="JN25" s="404">
        <v>-0.15496124334885</v>
      </c>
      <c r="JO25" s="404">
        <v>0</v>
      </c>
      <c r="JP25" s="404">
        <v>0</v>
      </c>
      <c r="JQ25" s="404">
        <v>0</v>
      </c>
      <c r="JR25" s="404">
        <v>-1.3435541332540599</v>
      </c>
      <c r="JS25" s="404">
        <v>0</v>
      </c>
      <c r="JT25" s="404">
        <v>-55.82</v>
      </c>
      <c r="JU25" s="404">
        <v>-11.99</v>
      </c>
      <c r="JV25" s="404">
        <v>-19.61</v>
      </c>
      <c r="JW25" s="404">
        <v>-12.92</v>
      </c>
      <c r="JX25" s="404">
        <v>-0.84497718120804999</v>
      </c>
      <c r="JY25" s="404">
        <v>-0.9</v>
      </c>
      <c r="JZ25" s="404">
        <v>0</v>
      </c>
      <c r="KA25" s="404">
        <v>0</v>
      </c>
      <c r="KB25" s="404">
        <v>0</v>
      </c>
      <c r="KC25" s="404">
        <v>0</v>
      </c>
      <c r="KD25" s="404">
        <v>0</v>
      </c>
      <c r="KE25" s="404">
        <v>0</v>
      </c>
      <c r="KF25" s="404">
        <v>0</v>
      </c>
      <c r="KG25" s="404">
        <v>0</v>
      </c>
      <c r="KH25" s="404">
        <v>0</v>
      </c>
      <c r="KI25" s="404">
        <v>0</v>
      </c>
      <c r="KJ25" s="404">
        <v>0</v>
      </c>
      <c r="KK25" s="404">
        <v>0</v>
      </c>
      <c r="KL25" s="404">
        <v>0</v>
      </c>
      <c r="KM25" s="404">
        <v>0</v>
      </c>
      <c r="KN25" s="404">
        <v>0</v>
      </c>
      <c r="KO25" s="404">
        <v>0</v>
      </c>
      <c r="KP25" s="404">
        <v>0</v>
      </c>
      <c r="KQ25" s="404">
        <v>0</v>
      </c>
      <c r="KR25" s="404">
        <v>0</v>
      </c>
      <c r="KS25" s="404">
        <v>0</v>
      </c>
      <c r="KT25" s="404">
        <v>0</v>
      </c>
      <c r="KU25" s="404">
        <v>0</v>
      </c>
      <c r="KV25" s="404">
        <v>0</v>
      </c>
      <c r="KW25" s="404">
        <v>0</v>
      </c>
      <c r="KX25" s="404">
        <v>1.0046888903139199</v>
      </c>
      <c r="KY25" s="404">
        <v>0.16710577309979999</v>
      </c>
      <c r="KZ25" s="404">
        <v>-0.20275762945598999</v>
      </c>
      <c r="LA25" s="404">
        <v>1.2390474038300001E-2</v>
      </c>
      <c r="LB25" s="404">
        <v>-5.5329298001249999E-2</v>
      </c>
      <c r="LC25" s="404">
        <v>-0.44750344212965998</v>
      </c>
      <c r="LD25" s="404">
        <v>-2.6800558377699998E-3</v>
      </c>
      <c r="LE25" s="404">
        <v>0</v>
      </c>
      <c r="LF25" s="404">
        <v>0</v>
      </c>
      <c r="LG25" s="404">
        <v>0</v>
      </c>
      <c r="LH25" s="404">
        <v>4.3345790606010001E-2</v>
      </c>
      <c r="LI25" s="404">
        <v>0</v>
      </c>
      <c r="LJ25" s="404">
        <v>0</v>
      </c>
      <c r="LK25" s="404">
        <v>0</v>
      </c>
      <c r="LL25" s="404">
        <v>0</v>
      </c>
      <c r="LM25" s="404">
        <v>0</v>
      </c>
      <c r="LN25" s="404">
        <v>0.14138326334163001</v>
      </c>
      <c r="LO25" s="404">
        <v>-6.76163329988798</v>
      </c>
      <c r="LP25" s="404">
        <v>0.12020443037641</v>
      </c>
      <c r="LQ25" s="404">
        <v>0</v>
      </c>
      <c r="LR25" s="404">
        <v>0</v>
      </c>
      <c r="LS25" s="404">
        <v>0</v>
      </c>
      <c r="LT25" s="404">
        <v>0</v>
      </c>
      <c r="LU25" s="404">
        <v>-3.11</v>
      </c>
      <c r="LV25" s="401">
        <v>6.8506595710599999E-3</v>
      </c>
      <c r="LW25" s="401">
        <v>0</v>
      </c>
      <c r="LX25" s="401">
        <v>0</v>
      </c>
      <c r="LY25" s="401">
        <v>0</v>
      </c>
      <c r="LZ25" s="401">
        <v>0</v>
      </c>
      <c r="MA25" s="401">
        <v>-0.43889541996992998</v>
      </c>
      <c r="MB25" s="404">
        <v>0</v>
      </c>
      <c r="MC25" s="404">
        <v>0</v>
      </c>
      <c r="MD25" s="404">
        <v>0</v>
      </c>
      <c r="ME25" s="404">
        <v>0</v>
      </c>
      <c r="MF25" s="404">
        <v>0</v>
      </c>
      <c r="MG25" s="404">
        <v>0</v>
      </c>
    </row>
    <row r="26" spans="1:345" ht="18" customHeight="1">
      <c r="A26" s="10" t="s">
        <v>32</v>
      </c>
      <c r="B26" s="17">
        <v>0.1</v>
      </c>
      <c r="C26" s="17">
        <v>0.1</v>
      </c>
      <c r="D26" s="17">
        <v>0.1</v>
      </c>
      <c r="E26" s="255">
        <v>0</v>
      </c>
      <c r="F26" s="253">
        <v>-3.5</v>
      </c>
      <c r="G26" s="20">
        <v>-4.5</v>
      </c>
      <c r="H26" s="20">
        <v>-4.5</v>
      </c>
      <c r="I26" s="5">
        <v>1935.7159196896396</v>
      </c>
      <c r="J26" s="6">
        <v>12</v>
      </c>
      <c r="K26" s="9">
        <v>370.3143</v>
      </c>
      <c r="L26" s="327">
        <v>0.6</v>
      </c>
      <c r="M26" s="327">
        <v>0.5</v>
      </c>
      <c r="N26" s="327">
        <v>0.5</v>
      </c>
      <c r="O26" s="8">
        <v>0.1</v>
      </c>
      <c r="P26" s="253">
        <v>0</v>
      </c>
      <c r="Q26" s="256">
        <v>98.5</v>
      </c>
      <c r="R26" s="256">
        <v>1.3</v>
      </c>
      <c r="S26" s="305">
        <v>0</v>
      </c>
      <c r="T26" s="303">
        <v>2</v>
      </c>
      <c r="U26" s="304">
        <v>1.5</v>
      </c>
      <c r="V26" s="303">
        <v>1</v>
      </c>
      <c r="W26" s="304">
        <v>0.8</v>
      </c>
      <c r="X26" s="304">
        <v>0.5</v>
      </c>
      <c r="Y26" s="5"/>
      <c r="Z26" s="14">
        <f>Z19</f>
        <v>1.49</v>
      </c>
      <c r="AA26" s="5">
        <v>162.07892651315333</v>
      </c>
      <c r="AB26" s="17">
        <v>0.8</v>
      </c>
      <c r="AC26" s="17">
        <v>0.5</v>
      </c>
      <c r="AD26" s="17">
        <v>0.5</v>
      </c>
      <c r="AE26" s="254">
        <v>0.20334101477037858</v>
      </c>
      <c r="AF26" s="254">
        <v>0.18486326469412234</v>
      </c>
      <c r="AG26" s="18">
        <v>0</v>
      </c>
      <c r="AH26" s="18">
        <v>0.10764613778705637</v>
      </c>
      <c r="AI26" s="18">
        <v>1.3276356993736951</v>
      </c>
      <c r="AJ26" s="18">
        <v>62.614170146137781</v>
      </c>
      <c r="AK26" s="18">
        <v>2.0942066805845512</v>
      </c>
      <c r="AL26" s="18"/>
      <c r="AM26" s="18">
        <v>32.505871607515658</v>
      </c>
      <c r="AN26" s="18">
        <v>0.12721816283924844</v>
      </c>
      <c r="AO26" s="18"/>
      <c r="AP26" s="18">
        <v>0</v>
      </c>
      <c r="AQ26" s="18">
        <v>0</v>
      </c>
      <c r="AR26" s="18">
        <v>0</v>
      </c>
      <c r="AS26" s="18">
        <v>0.21529227557411273</v>
      </c>
      <c r="AT26" s="18">
        <v>3.262004175365344E-3</v>
      </c>
      <c r="AU26" s="18">
        <v>1.0046972860125261</v>
      </c>
      <c r="AV26" s="304">
        <v>0.3</v>
      </c>
      <c r="AW26" s="304">
        <v>0.7</v>
      </c>
      <c r="AX26" s="304">
        <v>1.2</v>
      </c>
      <c r="AY26" s="304">
        <v>1.2</v>
      </c>
      <c r="AZ26" s="303">
        <v>3</v>
      </c>
      <c r="BA26" s="6">
        <v>0</v>
      </c>
      <c r="BB26" s="6">
        <v>0</v>
      </c>
      <c r="BC26" s="5">
        <f t="shared" si="348"/>
        <v>0</v>
      </c>
      <c r="BD26" s="17">
        <v>1.6</v>
      </c>
      <c r="BE26" s="17">
        <v>1.2</v>
      </c>
      <c r="BF26" s="17">
        <v>1.2</v>
      </c>
      <c r="BG26" s="6">
        <v>0</v>
      </c>
      <c r="BH26" s="6">
        <v>18</v>
      </c>
      <c r="BI26" s="5">
        <v>0</v>
      </c>
      <c r="BJ26" s="17">
        <v>1.6</v>
      </c>
      <c r="BK26" s="17">
        <v>1.2</v>
      </c>
      <c r="BL26" s="17">
        <v>1.2</v>
      </c>
      <c r="BM26" s="5">
        <v>0</v>
      </c>
      <c r="BN26" s="6">
        <v>179.9</v>
      </c>
      <c r="BO26" s="6">
        <v>1323.54000000001</v>
      </c>
      <c r="BP26" s="17">
        <v>1.6</v>
      </c>
      <c r="BQ26" s="17">
        <v>1.2</v>
      </c>
      <c r="BR26" s="17">
        <v>1.2</v>
      </c>
      <c r="BS26" s="221">
        <v>2</v>
      </c>
      <c r="BT26" s="54">
        <v>1.5</v>
      </c>
      <c r="BU26" s="54">
        <v>0.7</v>
      </c>
      <c r="BV26" s="54">
        <v>0.7</v>
      </c>
      <c r="BW26" s="54">
        <v>0.5</v>
      </c>
      <c r="BX26" s="5"/>
      <c r="BY26" s="5">
        <v>0</v>
      </c>
      <c r="BZ26" s="17">
        <v>1.9</v>
      </c>
      <c r="CA26" s="17">
        <v>1.1000000000000001</v>
      </c>
      <c r="CB26" s="17">
        <v>1.1000000000000001</v>
      </c>
      <c r="CC26" s="221">
        <v>2</v>
      </c>
      <c r="CD26" s="221">
        <v>2</v>
      </c>
      <c r="CE26" s="221">
        <v>1</v>
      </c>
      <c r="CF26" s="221">
        <v>1</v>
      </c>
      <c r="CG26" s="54">
        <v>0.5</v>
      </c>
      <c r="CH26" s="5"/>
      <c r="CI26" s="5">
        <v>500</v>
      </c>
      <c r="CJ26" s="17">
        <v>1.5</v>
      </c>
      <c r="CK26" s="17">
        <v>0.7</v>
      </c>
      <c r="CL26" s="17">
        <v>0.7</v>
      </c>
      <c r="CM26" s="54">
        <v>2</v>
      </c>
      <c r="CN26" s="54">
        <v>1.5</v>
      </c>
      <c r="CO26" s="54">
        <v>0.5</v>
      </c>
      <c r="CP26" s="54">
        <v>1</v>
      </c>
      <c r="CQ26" s="54">
        <v>0.5</v>
      </c>
      <c r="CR26" s="5"/>
      <c r="CS26" s="8">
        <v>29</v>
      </c>
      <c r="CT26" s="19">
        <v>1</v>
      </c>
      <c r="CU26" s="17">
        <v>0.7</v>
      </c>
      <c r="CV26" s="17">
        <v>0.7</v>
      </c>
      <c r="CW26" s="54">
        <v>2</v>
      </c>
      <c r="CX26" s="54">
        <v>1</v>
      </c>
      <c r="CY26" s="54">
        <v>0.5</v>
      </c>
      <c r="CZ26" s="54">
        <v>0.7</v>
      </c>
      <c r="DA26" s="54">
        <v>0.2</v>
      </c>
      <c r="DB26" s="403">
        <v>0</v>
      </c>
      <c r="DC26" s="403">
        <v>0</v>
      </c>
      <c r="DD26" s="403">
        <v>0</v>
      </c>
      <c r="DE26" s="403">
        <v>0</v>
      </c>
      <c r="DF26" s="403">
        <v>0</v>
      </c>
      <c r="DG26" s="403">
        <v>0</v>
      </c>
      <c r="DH26" s="403">
        <v>0</v>
      </c>
      <c r="DI26" s="403">
        <v>0</v>
      </c>
      <c r="DJ26" s="403">
        <v>0</v>
      </c>
      <c r="DK26" s="403">
        <v>0</v>
      </c>
      <c r="DL26" s="403">
        <v>0</v>
      </c>
      <c r="DM26" s="403">
        <v>0</v>
      </c>
      <c r="DN26" s="403">
        <v>0</v>
      </c>
      <c r="DO26" s="403">
        <v>0</v>
      </c>
      <c r="DP26" s="403">
        <v>0</v>
      </c>
      <c r="DQ26" s="403">
        <v>0</v>
      </c>
      <c r="DR26" s="403">
        <v>0</v>
      </c>
      <c r="DS26" s="403">
        <v>0</v>
      </c>
      <c r="DT26" s="403">
        <v>0</v>
      </c>
      <c r="DU26" s="403">
        <v>0</v>
      </c>
      <c r="DV26" s="403">
        <v>0</v>
      </c>
      <c r="DW26" s="403">
        <v>0</v>
      </c>
      <c r="DX26" s="403">
        <v>0</v>
      </c>
      <c r="DY26" s="403">
        <v>0</v>
      </c>
      <c r="DZ26" s="404">
        <v>0</v>
      </c>
      <c r="EA26" s="404">
        <v>0</v>
      </c>
      <c r="EB26" s="404">
        <v>0</v>
      </c>
      <c r="EC26" s="404">
        <v>0</v>
      </c>
      <c r="ED26" s="404">
        <v>0</v>
      </c>
      <c r="EE26" s="404">
        <v>0</v>
      </c>
      <c r="EF26" s="404">
        <v>2.3331596698950001</v>
      </c>
      <c r="EG26" s="404">
        <v>0</v>
      </c>
      <c r="EH26" s="404">
        <v>0</v>
      </c>
      <c r="EI26" s="404">
        <v>0.98609088910742004</v>
      </c>
      <c r="EJ26" s="404">
        <v>9.6999770847580005E-2</v>
      </c>
      <c r="EK26" s="404">
        <v>-0.74905005460903995</v>
      </c>
      <c r="EL26" s="404">
        <v>2.3331596698949899</v>
      </c>
      <c r="EM26" s="404">
        <v>0</v>
      </c>
      <c r="EN26" s="404">
        <v>0</v>
      </c>
      <c r="EO26" s="404">
        <v>0.98609088910742004</v>
      </c>
      <c r="EP26" s="404">
        <v>0</v>
      </c>
      <c r="EQ26" s="404">
        <v>-0.74905005460903995</v>
      </c>
      <c r="ER26" s="404">
        <v>0</v>
      </c>
      <c r="ES26" s="404">
        <v>0</v>
      </c>
      <c r="ET26" s="404">
        <v>0</v>
      </c>
      <c r="EU26" s="404">
        <v>0</v>
      </c>
      <c r="EV26" s="404">
        <v>0</v>
      </c>
      <c r="EW26" s="404">
        <v>0</v>
      </c>
      <c r="EX26" s="404">
        <v>0</v>
      </c>
      <c r="EY26" s="404">
        <v>0</v>
      </c>
      <c r="EZ26" s="404">
        <v>0</v>
      </c>
      <c r="FA26" s="404">
        <v>0</v>
      </c>
      <c r="FB26" s="404">
        <v>0</v>
      </c>
      <c r="FC26" s="404">
        <v>0</v>
      </c>
      <c r="FD26" s="404">
        <v>0</v>
      </c>
      <c r="FE26" s="404">
        <v>0</v>
      </c>
      <c r="FF26" s="404">
        <v>0</v>
      </c>
      <c r="FG26" s="404">
        <v>0</v>
      </c>
      <c r="FH26" s="404">
        <v>0</v>
      </c>
      <c r="FI26" s="404">
        <v>0</v>
      </c>
      <c r="FJ26" s="404">
        <v>0</v>
      </c>
      <c r="FK26" s="404">
        <v>0</v>
      </c>
      <c r="FL26" s="404">
        <v>0</v>
      </c>
      <c r="FM26" s="404">
        <v>0</v>
      </c>
      <c r="FN26" s="404">
        <v>0</v>
      </c>
      <c r="FO26" s="404">
        <v>0</v>
      </c>
      <c r="FP26" s="404">
        <v>0</v>
      </c>
      <c r="FQ26" s="404">
        <v>0</v>
      </c>
      <c r="FR26" s="404">
        <v>0</v>
      </c>
      <c r="FS26" s="404">
        <v>0</v>
      </c>
      <c r="FT26" s="404">
        <v>0</v>
      </c>
      <c r="FU26" s="404">
        <v>0</v>
      </c>
      <c r="FV26" s="404">
        <v>0</v>
      </c>
      <c r="FW26" s="404">
        <v>0</v>
      </c>
      <c r="FX26" s="404">
        <v>0</v>
      </c>
      <c r="FY26" s="404">
        <v>0</v>
      </c>
      <c r="FZ26" s="404">
        <v>0</v>
      </c>
      <c r="GA26" s="404">
        <v>0</v>
      </c>
      <c r="GB26" s="404">
        <v>0</v>
      </c>
      <c r="GC26" s="404">
        <v>0</v>
      </c>
      <c r="GD26" s="404">
        <v>0</v>
      </c>
      <c r="GE26" s="404">
        <v>0</v>
      </c>
      <c r="GF26" s="404">
        <v>0</v>
      </c>
      <c r="GG26" s="404">
        <v>0</v>
      </c>
      <c r="GH26" s="404">
        <v>-55.82</v>
      </c>
      <c r="GI26" s="404">
        <v>-11.99</v>
      </c>
      <c r="GJ26" s="404">
        <v>-19.61</v>
      </c>
      <c r="GK26" s="404">
        <v>-12.92</v>
      </c>
      <c r="GL26" s="404">
        <v>4.6060068064949999E-2</v>
      </c>
      <c r="GM26" s="404">
        <v>-3.91</v>
      </c>
      <c r="GN26" s="404">
        <v>0</v>
      </c>
      <c r="GO26" s="404">
        <v>0</v>
      </c>
      <c r="GP26" s="404">
        <v>0</v>
      </c>
      <c r="GQ26" s="404">
        <v>0</v>
      </c>
      <c r="GR26" s="404">
        <v>0</v>
      </c>
      <c r="GS26" s="404">
        <v>0</v>
      </c>
      <c r="GT26" s="404">
        <v>0</v>
      </c>
      <c r="GU26" s="404">
        <v>0</v>
      </c>
      <c r="GV26" s="404">
        <v>0</v>
      </c>
      <c r="GW26" s="404">
        <v>0</v>
      </c>
      <c r="GX26" s="404">
        <v>0</v>
      </c>
      <c r="GY26" s="404">
        <v>0</v>
      </c>
      <c r="GZ26" s="404">
        <v>0</v>
      </c>
      <c r="HA26" s="404">
        <v>0</v>
      </c>
      <c r="HB26" s="404">
        <v>0</v>
      </c>
      <c r="HC26" s="404">
        <v>0</v>
      </c>
      <c r="HD26" s="404">
        <v>0</v>
      </c>
      <c r="HE26" s="404">
        <v>0</v>
      </c>
      <c r="HF26" s="404">
        <v>0</v>
      </c>
      <c r="HG26" s="404">
        <v>0</v>
      </c>
      <c r="HH26" s="404">
        <v>0</v>
      </c>
      <c r="HI26" s="404">
        <v>0</v>
      </c>
      <c r="HJ26" s="404">
        <v>0</v>
      </c>
      <c r="HK26" s="404">
        <v>0</v>
      </c>
      <c r="HL26" s="397">
        <v>-0.6</v>
      </c>
      <c r="HM26" s="405">
        <v>0</v>
      </c>
      <c r="HN26" s="405">
        <v>0</v>
      </c>
      <c r="HO26" s="405">
        <v>0</v>
      </c>
      <c r="HP26" s="405">
        <v>0</v>
      </c>
      <c r="HQ26" s="397">
        <v>-3.1108822695035498</v>
      </c>
      <c r="HR26" s="397">
        <v>0.1</v>
      </c>
      <c r="HS26" s="397">
        <v>0</v>
      </c>
      <c r="HT26" s="397">
        <v>0</v>
      </c>
      <c r="HU26" s="397">
        <v>0</v>
      </c>
      <c r="HV26" s="397">
        <v>0</v>
      </c>
      <c r="HW26" s="397">
        <v>0.23</v>
      </c>
      <c r="HX26" s="397">
        <v>-9.0767508396599993E-3</v>
      </c>
      <c r="HY26" s="397">
        <v>0</v>
      </c>
      <c r="HZ26" s="397">
        <v>0</v>
      </c>
      <c r="IA26" s="397">
        <v>-2.3954794799700002E-3</v>
      </c>
      <c r="IB26" s="397">
        <v>0</v>
      </c>
      <c r="IC26" s="397">
        <v>-0.47</v>
      </c>
      <c r="ID26" s="405">
        <v>0</v>
      </c>
      <c r="IE26" s="405">
        <v>0</v>
      </c>
      <c r="IF26" s="405">
        <v>0</v>
      </c>
      <c r="IG26" s="405">
        <v>0</v>
      </c>
      <c r="IH26" s="405">
        <v>0</v>
      </c>
      <c r="II26" s="405">
        <v>0</v>
      </c>
      <c r="IJ26" s="405">
        <v>0</v>
      </c>
      <c r="IK26" s="405">
        <v>0</v>
      </c>
      <c r="IL26" s="405">
        <v>0</v>
      </c>
      <c r="IM26" s="405">
        <v>0</v>
      </c>
      <c r="IN26" s="405">
        <v>0</v>
      </c>
      <c r="IO26" s="405">
        <v>0</v>
      </c>
      <c r="IP26" s="404">
        <v>-55.82</v>
      </c>
      <c r="IQ26" s="404">
        <v>-11.99</v>
      </c>
      <c r="IR26" s="404">
        <v>-19.61</v>
      </c>
      <c r="IS26" s="404">
        <v>-12.92</v>
      </c>
      <c r="IT26" s="404">
        <v>-1.07225369578546</v>
      </c>
      <c r="IU26" s="404">
        <v>-0.59</v>
      </c>
      <c r="IV26" s="404">
        <v>-0.12913436945737</v>
      </c>
      <c r="IW26" s="404">
        <v>0</v>
      </c>
      <c r="IX26" s="404">
        <v>0</v>
      </c>
      <c r="IY26" s="404">
        <v>0</v>
      </c>
      <c r="IZ26" s="404">
        <v>-0.75737307686747002</v>
      </c>
      <c r="JA26" s="404">
        <v>0</v>
      </c>
      <c r="JB26" s="404">
        <v>-0.15496124334884001</v>
      </c>
      <c r="JC26" s="404">
        <v>0</v>
      </c>
      <c r="JD26" s="404">
        <v>0</v>
      </c>
      <c r="JE26" s="404">
        <v>0</v>
      </c>
      <c r="JF26" s="404">
        <v>-1.39367584496439</v>
      </c>
      <c r="JG26" s="404">
        <v>0</v>
      </c>
      <c r="JH26" s="404">
        <v>0</v>
      </c>
      <c r="JI26" s="404">
        <v>0</v>
      </c>
      <c r="JJ26" s="404">
        <v>0</v>
      </c>
      <c r="JK26" s="404">
        <v>0</v>
      </c>
      <c r="JL26" s="404">
        <v>0</v>
      </c>
      <c r="JM26" s="404">
        <v>0</v>
      </c>
      <c r="JN26" s="404">
        <v>-0.15496124334885</v>
      </c>
      <c r="JO26" s="404">
        <v>0</v>
      </c>
      <c r="JP26" s="404">
        <v>0</v>
      </c>
      <c r="JQ26" s="404">
        <v>0</v>
      </c>
      <c r="JR26" s="404">
        <v>-1.3435541332540599</v>
      </c>
      <c r="JS26" s="404">
        <v>0</v>
      </c>
      <c r="JT26" s="404">
        <v>-55.82</v>
      </c>
      <c r="JU26" s="404">
        <v>-11.99</v>
      </c>
      <c r="JV26" s="404">
        <v>-19.61</v>
      </c>
      <c r="JW26" s="404">
        <v>-12.92</v>
      </c>
      <c r="JX26" s="404">
        <v>-0.84497718120804999</v>
      </c>
      <c r="JY26" s="404">
        <v>-0.9</v>
      </c>
      <c r="JZ26" s="404">
        <v>0</v>
      </c>
      <c r="KA26" s="404">
        <v>0</v>
      </c>
      <c r="KB26" s="404">
        <v>0</v>
      </c>
      <c r="KC26" s="404">
        <v>0</v>
      </c>
      <c r="KD26" s="404">
        <v>0</v>
      </c>
      <c r="KE26" s="404">
        <v>0</v>
      </c>
      <c r="KF26" s="404">
        <v>0</v>
      </c>
      <c r="KG26" s="404">
        <v>0</v>
      </c>
      <c r="KH26" s="404">
        <v>0</v>
      </c>
      <c r="KI26" s="404">
        <v>0</v>
      </c>
      <c r="KJ26" s="404">
        <v>0</v>
      </c>
      <c r="KK26" s="404">
        <v>0</v>
      </c>
      <c r="KL26" s="404">
        <v>0</v>
      </c>
      <c r="KM26" s="404">
        <v>0</v>
      </c>
      <c r="KN26" s="404">
        <v>0</v>
      </c>
      <c r="KO26" s="404">
        <v>0</v>
      </c>
      <c r="KP26" s="404">
        <v>0</v>
      </c>
      <c r="KQ26" s="404">
        <v>0</v>
      </c>
      <c r="KR26" s="404">
        <v>0</v>
      </c>
      <c r="KS26" s="404">
        <v>0</v>
      </c>
      <c r="KT26" s="404">
        <v>0</v>
      </c>
      <c r="KU26" s="404">
        <v>0</v>
      </c>
      <c r="KV26" s="404">
        <v>0</v>
      </c>
      <c r="KW26" s="404">
        <v>0</v>
      </c>
      <c r="KX26" s="404">
        <v>1.0046888903139199</v>
      </c>
      <c r="KY26" s="404">
        <v>0.16710577309979999</v>
      </c>
      <c r="KZ26" s="404">
        <v>-0.20275762945598999</v>
      </c>
      <c r="LA26" s="404">
        <v>1.2390474038300001E-2</v>
      </c>
      <c r="LB26" s="404">
        <v>-5.5329298001249999E-2</v>
      </c>
      <c r="LC26" s="404">
        <v>-0.44750344212965998</v>
      </c>
      <c r="LD26" s="404">
        <v>-2.6800558377699998E-3</v>
      </c>
      <c r="LE26" s="404">
        <v>0</v>
      </c>
      <c r="LF26" s="404">
        <v>0</v>
      </c>
      <c r="LG26" s="404">
        <v>0</v>
      </c>
      <c r="LH26" s="404">
        <v>4.3345790606010001E-2</v>
      </c>
      <c r="LI26" s="404">
        <v>0</v>
      </c>
      <c r="LJ26" s="404">
        <v>0</v>
      </c>
      <c r="LK26" s="404">
        <v>0</v>
      </c>
      <c r="LL26" s="404">
        <v>0</v>
      </c>
      <c r="LM26" s="404">
        <v>0</v>
      </c>
      <c r="LN26" s="404">
        <v>0.14138326334163001</v>
      </c>
      <c r="LO26" s="404">
        <v>-6.76163329988798</v>
      </c>
      <c r="LP26" s="404">
        <v>0.12020443037641</v>
      </c>
      <c r="LQ26" s="404">
        <v>0</v>
      </c>
      <c r="LR26" s="404">
        <v>0</v>
      </c>
      <c r="LS26" s="404">
        <v>0</v>
      </c>
      <c r="LT26" s="404">
        <v>0</v>
      </c>
      <c r="LU26" s="404">
        <v>-3.11</v>
      </c>
      <c r="LV26" s="401">
        <v>6.8506595710599999E-3</v>
      </c>
      <c r="LW26" s="401">
        <v>0</v>
      </c>
      <c r="LX26" s="401">
        <v>0</v>
      </c>
      <c r="LY26" s="401">
        <v>0</v>
      </c>
      <c r="LZ26" s="401">
        <v>0</v>
      </c>
      <c r="MA26" s="401">
        <v>-0.43889541996992998</v>
      </c>
      <c r="MB26" s="404">
        <v>0</v>
      </c>
      <c r="MC26" s="404">
        <v>0</v>
      </c>
      <c r="MD26" s="404">
        <v>0</v>
      </c>
      <c r="ME26" s="404">
        <v>0</v>
      </c>
      <c r="MF26" s="404">
        <v>0</v>
      </c>
      <c r="MG26" s="404">
        <v>0</v>
      </c>
    </row>
    <row r="27" spans="1:345" ht="18" customHeight="1">
      <c r="A27" s="10" t="s">
        <v>15</v>
      </c>
      <c r="B27" s="15">
        <v>-1.8</v>
      </c>
      <c r="C27" s="15">
        <v>-0.7</v>
      </c>
      <c r="D27" s="15">
        <v>-0.7</v>
      </c>
      <c r="E27" s="255">
        <v>134.67156862745097</v>
      </c>
      <c r="F27" s="256">
        <v>-5.4</v>
      </c>
      <c r="G27" s="16">
        <v>-1.4</v>
      </c>
      <c r="H27" s="16">
        <v>-1.4</v>
      </c>
      <c r="I27" s="5">
        <v>1031.8215536906946</v>
      </c>
      <c r="J27" s="6">
        <v>12</v>
      </c>
      <c r="K27" s="6">
        <v>373.01330000000007</v>
      </c>
      <c r="L27" s="17">
        <v>0.2</v>
      </c>
      <c r="M27" s="17">
        <v>0.3</v>
      </c>
      <c r="N27" s="17">
        <v>0.3</v>
      </c>
      <c r="O27" s="16">
        <v>0.4</v>
      </c>
      <c r="P27" s="16">
        <v>1</v>
      </c>
      <c r="Q27" s="16">
        <v>95.9</v>
      </c>
      <c r="R27" s="16">
        <v>2.6</v>
      </c>
      <c r="S27" s="252">
        <v>0</v>
      </c>
      <c r="T27" s="303">
        <v>2</v>
      </c>
      <c r="U27" s="304">
        <v>1.5</v>
      </c>
      <c r="V27" s="303">
        <v>1</v>
      </c>
      <c r="W27" s="304">
        <v>0.8</v>
      </c>
      <c r="X27" s="304">
        <v>0.5</v>
      </c>
      <c r="Y27" s="5">
        <v>11001.236487658462</v>
      </c>
      <c r="Z27" s="14">
        <v>2</v>
      </c>
      <c r="AA27" s="5">
        <v>160.21512519821857</v>
      </c>
      <c r="AB27" s="17">
        <v>0.7</v>
      </c>
      <c r="AC27" s="17">
        <v>0.1</v>
      </c>
      <c r="AD27" s="17">
        <v>0.1</v>
      </c>
      <c r="AE27" s="254">
        <v>0.19488356370085466</v>
      </c>
      <c r="AF27" s="254">
        <v>0.18504125998064766</v>
      </c>
      <c r="AG27" s="18">
        <v>3.6565994492789374E-3</v>
      </c>
      <c r="AH27" s="18">
        <v>2.6649792596439713E-3</v>
      </c>
      <c r="AI27" s="18">
        <v>7.1169200772720025</v>
      </c>
      <c r="AJ27" s="18">
        <v>21.484566981154877</v>
      </c>
      <c r="AK27" s="18">
        <v>0</v>
      </c>
      <c r="AL27" s="18">
        <v>1.2995182585166229</v>
      </c>
      <c r="AM27" s="18">
        <v>62.981454843165977</v>
      </c>
      <c r="AN27" s="18">
        <v>0</v>
      </c>
      <c r="AO27" s="18">
        <v>6.1976261852185368E-4</v>
      </c>
      <c r="AP27" s="18">
        <v>0</v>
      </c>
      <c r="AQ27" s="18">
        <v>0</v>
      </c>
      <c r="AR27" s="18">
        <v>0</v>
      </c>
      <c r="AS27" s="18">
        <v>0</v>
      </c>
      <c r="AT27" s="18">
        <v>7.0241416132792818</v>
      </c>
      <c r="AU27" s="18">
        <v>8.6456885283798607E-2</v>
      </c>
      <c r="AV27" s="304">
        <v>0.3</v>
      </c>
      <c r="AW27" s="304">
        <v>0.7</v>
      </c>
      <c r="AX27" s="304">
        <v>1.2</v>
      </c>
      <c r="AY27" s="304">
        <v>1.2</v>
      </c>
      <c r="AZ27" s="303">
        <v>3</v>
      </c>
      <c r="BA27" s="6">
        <v>0</v>
      </c>
      <c r="BB27" s="6">
        <v>18</v>
      </c>
      <c r="BC27" s="5">
        <f t="shared" si="348"/>
        <v>0</v>
      </c>
      <c r="BD27" s="17">
        <v>1.2</v>
      </c>
      <c r="BE27" s="17">
        <v>0.9</v>
      </c>
      <c r="BF27" s="17">
        <v>0.9</v>
      </c>
      <c r="BG27" s="6">
        <v>0</v>
      </c>
      <c r="BH27" s="6">
        <v>18</v>
      </c>
      <c r="BI27" s="5">
        <v>2456.4094117647055</v>
      </c>
      <c r="BJ27" s="17">
        <v>1.2</v>
      </c>
      <c r="BK27" s="17">
        <v>0.9</v>
      </c>
      <c r="BL27" s="17">
        <v>0.9</v>
      </c>
      <c r="BM27" s="5">
        <v>126.62393406970754</v>
      </c>
      <c r="BN27" s="6">
        <v>179.9</v>
      </c>
      <c r="BO27" s="6">
        <v>2413.7515009996691</v>
      </c>
      <c r="BP27" s="17">
        <v>1.2</v>
      </c>
      <c r="BQ27" s="17">
        <v>0.9</v>
      </c>
      <c r="BR27" s="17">
        <v>0.9</v>
      </c>
      <c r="BS27" s="221">
        <v>2</v>
      </c>
      <c r="BT27" s="54">
        <v>1.5</v>
      </c>
      <c r="BU27" s="54">
        <v>0.7</v>
      </c>
      <c r="BV27" s="54">
        <v>0.7</v>
      </c>
      <c r="BW27" s="54">
        <v>0.5</v>
      </c>
      <c r="BX27" s="5">
        <v>962.50300007511589</v>
      </c>
      <c r="BY27" s="5">
        <v>8804.6223532871099</v>
      </c>
      <c r="BZ27" s="17">
        <v>1.3</v>
      </c>
      <c r="CA27" s="17">
        <v>1.3</v>
      </c>
      <c r="CB27" s="17">
        <v>1.3</v>
      </c>
      <c r="CC27" s="221">
        <v>2</v>
      </c>
      <c r="CD27" s="221">
        <v>2</v>
      </c>
      <c r="CE27" s="221">
        <v>1</v>
      </c>
      <c r="CF27" s="221">
        <v>1</v>
      </c>
      <c r="CG27" s="54">
        <v>0.5</v>
      </c>
      <c r="CH27" s="5">
        <v>463.67916319464319</v>
      </c>
      <c r="CI27" s="5">
        <v>500</v>
      </c>
      <c r="CJ27" s="19">
        <v>0.6</v>
      </c>
      <c r="CK27" s="19">
        <v>0.7</v>
      </c>
      <c r="CL27" s="19">
        <v>0.7</v>
      </c>
      <c r="CM27" s="54">
        <v>2</v>
      </c>
      <c r="CN27" s="54">
        <v>1.5</v>
      </c>
      <c r="CO27" s="54">
        <v>0.5</v>
      </c>
      <c r="CP27" s="54">
        <v>1</v>
      </c>
      <c r="CQ27" s="54">
        <v>0.5</v>
      </c>
      <c r="CR27" s="5"/>
      <c r="CS27" s="8">
        <v>29</v>
      </c>
      <c r="CT27" s="17">
        <v>0.6</v>
      </c>
      <c r="CU27" s="17">
        <v>0.9</v>
      </c>
      <c r="CV27" s="17">
        <v>0.9</v>
      </c>
      <c r="CW27" s="54">
        <v>2</v>
      </c>
      <c r="CX27" s="54">
        <v>1</v>
      </c>
      <c r="CY27" s="54">
        <v>0.5</v>
      </c>
      <c r="CZ27" s="54">
        <v>0.7</v>
      </c>
      <c r="DA27" s="54">
        <v>0.2</v>
      </c>
      <c r="DB27" s="403">
        <v>0</v>
      </c>
      <c r="DC27" s="403">
        <v>0</v>
      </c>
      <c r="DD27" s="403">
        <v>0</v>
      </c>
      <c r="DE27" s="403">
        <v>0</v>
      </c>
      <c r="DF27" s="403">
        <v>0</v>
      </c>
      <c r="DG27" s="403">
        <v>0</v>
      </c>
      <c r="DH27" s="403">
        <v>0</v>
      </c>
      <c r="DI27" s="403">
        <v>0</v>
      </c>
      <c r="DJ27" s="403">
        <v>0</v>
      </c>
      <c r="DK27" s="403">
        <v>0</v>
      </c>
      <c r="DL27" s="403">
        <v>0</v>
      </c>
      <c r="DM27" s="403">
        <v>0</v>
      </c>
      <c r="DN27" s="403">
        <v>0</v>
      </c>
      <c r="DO27" s="403">
        <v>0</v>
      </c>
      <c r="DP27" s="403">
        <v>0</v>
      </c>
      <c r="DQ27" s="403">
        <v>0</v>
      </c>
      <c r="DR27" s="403">
        <v>0</v>
      </c>
      <c r="DS27" s="403">
        <v>0</v>
      </c>
      <c r="DT27" s="403">
        <v>0</v>
      </c>
      <c r="DU27" s="403">
        <v>0</v>
      </c>
      <c r="DV27" s="403">
        <v>0</v>
      </c>
      <c r="DW27" s="403">
        <v>0</v>
      </c>
      <c r="DX27" s="403">
        <v>0</v>
      </c>
      <c r="DY27" s="403">
        <v>0</v>
      </c>
      <c r="DZ27" s="404">
        <v>0</v>
      </c>
      <c r="EA27" s="404">
        <v>0</v>
      </c>
      <c r="EB27" s="404">
        <v>0</v>
      </c>
      <c r="EC27" s="404">
        <v>0</v>
      </c>
      <c r="ED27" s="404">
        <v>0</v>
      </c>
      <c r="EE27" s="404">
        <v>0</v>
      </c>
      <c r="EF27" s="404">
        <v>2.3331596698950001</v>
      </c>
      <c r="EG27" s="404">
        <v>0</v>
      </c>
      <c r="EH27" s="404">
        <v>0</v>
      </c>
      <c r="EI27" s="404">
        <v>0.98609088910742004</v>
      </c>
      <c r="EJ27" s="404">
        <v>9.6999770847580005E-2</v>
      </c>
      <c r="EK27" s="404">
        <v>-0.74905005460903995</v>
      </c>
      <c r="EL27" s="404">
        <v>2.3331596698949899</v>
      </c>
      <c r="EM27" s="404">
        <v>0</v>
      </c>
      <c r="EN27" s="404">
        <v>0</v>
      </c>
      <c r="EO27" s="404">
        <v>0.98609088910742004</v>
      </c>
      <c r="EP27" s="404">
        <v>0</v>
      </c>
      <c r="EQ27" s="404">
        <v>-0.74905005460903995</v>
      </c>
      <c r="ER27" s="404">
        <v>0</v>
      </c>
      <c r="ES27" s="404">
        <v>0</v>
      </c>
      <c r="ET27" s="404">
        <v>0</v>
      </c>
      <c r="EU27" s="404">
        <v>0</v>
      </c>
      <c r="EV27" s="404">
        <v>0</v>
      </c>
      <c r="EW27" s="404">
        <v>0</v>
      </c>
      <c r="EX27" s="404">
        <v>0</v>
      </c>
      <c r="EY27" s="404">
        <v>0</v>
      </c>
      <c r="EZ27" s="404">
        <v>0</v>
      </c>
      <c r="FA27" s="404">
        <v>0</v>
      </c>
      <c r="FB27" s="404">
        <v>0</v>
      </c>
      <c r="FC27" s="404">
        <v>0</v>
      </c>
      <c r="FD27" s="404">
        <v>0</v>
      </c>
      <c r="FE27" s="404">
        <v>0</v>
      </c>
      <c r="FF27" s="404">
        <v>0</v>
      </c>
      <c r="FG27" s="404">
        <v>0</v>
      </c>
      <c r="FH27" s="404">
        <v>0</v>
      </c>
      <c r="FI27" s="404">
        <v>0</v>
      </c>
      <c r="FJ27" s="404">
        <v>0</v>
      </c>
      <c r="FK27" s="404">
        <v>0</v>
      </c>
      <c r="FL27" s="404">
        <v>0</v>
      </c>
      <c r="FM27" s="404">
        <v>0</v>
      </c>
      <c r="FN27" s="404">
        <v>0</v>
      </c>
      <c r="FO27" s="404">
        <v>0</v>
      </c>
      <c r="FP27" s="404">
        <v>0</v>
      </c>
      <c r="FQ27" s="404">
        <v>0</v>
      </c>
      <c r="FR27" s="404">
        <v>0</v>
      </c>
      <c r="FS27" s="404">
        <v>0</v>
      </c>
      <c r="FT27" s="404">
        <v>0</v>
      </c>
      <c r="FU27" s="404">
        <v>0</v>
      </c>
      <c r="FV27" s="404">
        <v>0</v>
      </c>
      <c r="FW27" s="404">
        <v>0</v>
      </c>
      <c r="FX27" s="404">
        <v>0</v>
      </c>
      <c r="FY27" s="404">
        <v>0</v>
      </c>
      <c r="FZ27" s="404">
        <v>0</v>
      </c>
      <c r="GA27" s="404">
        <v>0</v>
      </c>
      <c r="GB27" s="404">
        <v>0</v>
      </c>
      <c r="GC27" s="404">
        <v>0</v>
      </c>
      <c r="GD27" s="404">
        <v>0</v>
      </c>
      <c r="GE27" s="404">
        <v>0</v>
      </c>
      <c r="GF27" s="404">
        <v>0</v>
      </c>
      <c r="GG27" s="404">
        <v>0</v>
      </c>
      <c r="GH27" s="404">
        <v>-55.82</v>
      </c>
      <c r="GI27" s="404">
        <v>-11.99</v>
      </c>
      <c r="GJ27" s="404">
        <v>-19.61</v>
      </c>
      <c r="GK27" s="404">
        <v>-12.92</v>
      </c>
      <c r="GL27" s="404">
        <v>4.6060068064949999E-2</v>
      </c>
      <c r="GM27" s="404">
        <v>-3.91</v>
      </c>
      <c r="GN27" s="404">
        <v>0</v>
      </c>
      <c r="GO27" s="404">
        <v>0</v>
      </c>
      <c r="GP27" s="404">
        <v>0</v>
      </c>
      <c r="GQ27" s="404">
        <v>0</v>
      </c>
      <c r="GR27" s="404">
        <v>0</v>
      </c>
      <c r="GS27" s="404">
        <v>0</v>
      </c>
      <c r="GT27" s="404">
        <v>0</v>
      </c>
      <c r="GU27" s="404">
        <v>0</v>
      </c>
      <c r="GV27" s="404">
        <v>0</v>
      </c>
      <c r="GW27" s="404">
        <v>0</v>
      </c>
      <c r="GX27" s="404">
        <v>0</v>
      </c>
      <c r="GY27" s="404">
        <v>0</v>
      </c>
      <c r="GZ27" s="404">
        <v>0</v>
      </c>
      <c r="HA27" s="404">
        <v>0</v>
      </c>
      <c r="HB27" s="404">
        <v>0</v>
      </c>
      <c r="HC27" s="404">
        <v>0</v>
      </c>
      <c r="HD27" s="404">
        <v>0</v>
      </c>
      <c r="HE27" s="404">
        <v>0</v>
      </c>
      <c r="HF27" s="404">
        <v>0</v>
      </c>
      <c r="HG27" s="404">
        <v>0</v>
      </c>
      <c r="HH27" s="404">
        <v>0</v>
      </c>
      <c r="HI27" s="404">
        <v>0</v>
      </c>
      <c r="HJ27" s="404">
        <v>0</v>
      </c>
      <c r="HK27" s="404">
        <v>0</v>
      </c>
      <c r="HL27" s="397">
        <v>-0.6</v>
      </c>
      <c r="HM27" s="405">
        <v>0</v>
      </c>
      <c r="HN27" s="405">
        <v>0</v>
      </c>
      <c r="HO27" s="405">
        <v>0</v>
      </c>
      <c r="HP27" s="405">
        <v>0</v>
      </c>
      <c r="HQ27" s="397">
        <v>-3.1108822695035498</v>
      </c>
      <c r="HR27" s="397">
        <v>0.1</v>
      </c>
      <c r="HS27" s="397">
        <v>0</v>
      </c>
      <c r="HT27" s="397">
        <v>0</v>
      </c>
      <c r="HU27" s="397">
        <v>0</v>
      </c>
      <c r="HV27" s="397">
        <v>0</v>
      </c>
      <c r="HW27" s="397">
        <v>0.23</v>
      </c>
      <c r="HX27" s="397">
        <v>-9.0767508396599993E-3</v>
      </c>
      <c r="HY27" s="397">
        <v>0</v>
      </c>
      <c r="HZ27" s="397">
        <v>0</v>
      </c>
      <c r="IA27" s="397">
        <v>-2.3954794799700002E-3</v>
      </c>
      <c r="IB27" s="397">
        <v>0</v>
      </c>
      <c r="IC27" s="397">
        <v>-0.47</v>
      </c>
      <c r="ID27" s="405">
        <v>0</v>
      </c>
      <c r="IE27" s="405">
        <v>0</v>
      </c>
      <c r="IF27" s="405">
        <v>0</v>
      </c>
      <c r="IG27" s="405">
        <v>0</v>
      </c>
      <c r="IH27" s="405">
        <v>0</v>
      </c>
      <c r="II27" s="405">
        <v>0</v>
      </c>
      <c r="IJ27" s="405">
        <v>0</v>
      </c>
      <c r="IK27" s="405">
        <v>0</v>
      </c>
      <c r="IL27" s="405">
        <v>0</v>
      </c>
      <c r="IM27" s="405">
        <v>0</v>
      </c>
      <c r="IN27" s="405">
        <v>0</v>
      </c>
      <c r="IO27" s="405">
        <v>0</v>
      </c>
      <c r="IP27" s="404">
        <v>-55.82</v>
      </c>
      <c r="IQ27" s="404">
        <v>-11.99</v>
      </c>
      <c r="IR27" s="404">
        <v>-19.61</v>
      </c>
      <c r="IS27" s="404">
        <v>-12.92</v>
      </c>
      <c r="IT27" s="404">
        <v>-1.07225369578546</v>
      </c>
      <c r="IU27" s="404">
        <v>-0.59</v>
      </c>
      <c r="IV27" s="404">
        <v>-0.12913436945737</v>
      </c>
      <c r="IW27" s="404">
        <v>0</v>
      </c>
      <c r="IX27" s="404">
        <v>0</v>
      </c>
      <c r="IY27" s="404">
        <v>0</v>
      </c>
      <c r="IZ27" s="404">
        <v>-0.75737307686747002</v>
      </c>
      <c r="JA27" s="404">
        <v>0</v>
      </c>
      <c r="JB27" s="404">
        <v>-0.15496124334884001</v>
      </c>
      <c r="JC27" s="404">
        <v>0</v>
      </c>
      <c r="JD27" s="404">
        <v>0</v>
      </c>
      <c r="JE27" s="404">
        <v>0</v>
      </c>
      <c r="JF27" s="404">
        <v>-1.39367584496439</v>
      </c>
      <c r="JG27" s="404">
        <v>0</v>
      </c>
      <c r="JH27" s="404">
        <v>0</v>
      </c>
      <c r="JI27" s="404">
        <v>0</v>
      </c>
      <c r="JJ27" s="404">
        <v>0</v>
      </c>
      <c r="JK27" s="404">
        <v>0</v>
      </c>
      <c r="JL27" s="404">
        <v>0</v>
      </c>
      <c r="JM27" s="404">
        <v>0</v>
      </c>
      <c r="JN27" s="404">
        <v>-0.15496124334885</v>
      </c>
      <c r="JO27" s="404">
        <v>0</v>
      </c>
      <c r="JP27" s="404">
        <v>0</v>
      </c>
      <c r="JQ27" s="404">
        <v>0</v>
      </c>
      <c r="JR27" s="404">
        <v>-1.3435541332540599</v>
      </c>
      <c r="JS27" s="404">
        <v>0</v>
      </c>
      <c r="JT27" s="404">
        <v>-55.82</v>
      </c>
      <c r="JU27" s="404">
        <v>-11.99</v>
      </c>
      <c r="JV27" s="404">
        <v>-19.61</v>
      </c>
      <c r="JW27" s="404">
        <v>-12.92</v>
      </c>
      <c r="JX27" s="404">
        <v>-0.84497718120804999</v>
      </c>
      <c r="JY27" s="404">
        <v>-0.9</v>
      </c>
      <c r="JZ27" s="404">
        <v>0</v>
      </c>
      <c r="KA27" s="404">
        <v>0</v>
      </c>
      <c r="KB27" s="404">
        <v>0</v>
      </c>
      <c r="KC27" s="404">
        <v>0</v>
      </c>
      <c r="KD27" s="404">
        <v>0</v>
      </c>
      <c r="KE27" s="404">
        <v>0</v>
      </c>
      <c r="KF27" s="404">
        <v>0</v>
      </c>
      <c r="KG27" s="404">
        <v>0</v>
      </c>
      <c r="KH27" s="404">
        <v>0</v>
      </c>
      <c r="KI27" s="404">
        <v>0</v>
      </c>
      <c r="KJ27" s="404">
        <v>0</v>
      </c>
      <c r="KK27" s="404">
        <v>0</v>
      </c>
      <c r="KL27" s="404">
        <v>0</v>
      </c>
      <c r="KM27" s="404">
        <v>0</v>
      </c>
      <c r="KN27" s="404">
        <v>0</v>
      </c>
      <c r="KO27" s="404">
        <v>0</v>
      </c>
      <c r="KP27" s="404">
        <v>0</v>
      </c>
      <c r="KQ27" s="404">
        <v>0</v>
      </c>
      <c r="KR27" s="404">
        <v>0</v>
      </c>
      <c r="KS27" s="404">
        <v>0</v>
      </c>
      <c r="KT27" s="404">
        <v>0</v>
      </c>
      <c r="KU27" s="404">
        <v>0</v>
      </c>
      <c r="KV27" s="404">
        <v>0</v>
      </c>
      <c r="KW27" s="404">
        <v>0</v>
      </c>
      <c r="KX27" s="404">
        <v>1.0046888903139199</v>
      </c>
      <c r="KY27" s="404">
        <v>0.16710577309979999</v>
      </c>
      <c r="KZ27" s="404">
        <v>-0.20275762945598999</v>
      </c>
      <c r="LA27" s="404">
        <v>1.2390474038300001E-2</v>
      </c>
      <c r="LB27" s="404">
        <v>-5.5329298001249999E-2</v>
      </c>
      <c r="LC27" s="404">
        <v>-0.44750344212965998</v>
      </c>
      <c r="LD27" s="404">
        <v>-2.6800558377699998E-3</v>
      </c>
      <c r="LE27" s="404">
        <v>0</v>
      </c>
      <c r="LF27" s="404">
        <v>0</v>
      </c>
      <c r="LG27" s="404">
        <v>0</v>
      </c>
      <c r="LH27" s="404">
        <v>4.3345790606010001E-2</v>
      </c>
      <c r="LI27" s="404">
        <v>0</v>
      </c>
      <c r="LJ27" s="404">
        <v>0</v>
      </c>
      <c r="LK27" s="404">
        <v>0</v>
      </c>
      <c r="LL27" s="404">
        <v>0</v>
      </c>
      <c r="LM27" s="404">
        <v>0</v>
      </c>
      <c r="LN27" s="404">
        <v>0.14138326334163001</v>
      </c>
      <c r="LO27" s="404">
        <v>-6.76163329988798</v>
      </c>
      <c r="LP27" s="404">
        <v>0.12020443037641</v>
      </c>
      <c r="LQ27" s="404">
        <v>0</v>
      </c>
      <c r="LR27" s="404">
        <v>0</v>
      </c>
      <c r="LS27" s="404">
        <v>0</v>
      </c>
      <c r="LT27" s="404">
        <v>0</v>
      </c>
      <c r="LU27" s="404">
        <v>-3.11</v>
      </c>
      <c r="LV27" s="401">
        <v>6.8506595710599999E-3</v>
      </c>
      <c r="LW27" s="401">
        <v>0</v>
      </c>
      <c r="LX27" s="401">
        <v>0</v>
      </c>
      <c r="LY27" s="401">
        <v>0</v>
      </c>
      <c r="LZ27" s="401">
        <v>0</v>
      </c>
      <c r="MA27" s="401">
        <v>-0.43889541996992998</v>
      </c>
      <c r="MB27" s="404">
        <v>0</v>
      </c>
      <c r="MC27" s="404">
        <v>0</v>
      </c>
      <c r="MD27" s="404">
        <v>0</v>
      </c>
      <c r="ME27" s="404">
        <v>0</v>
      </c>
      <c r="MF27" s="404">
        <v>0</v>
      </c>
      <c r="MG27" s="404">
        <v>0</v>
      </c>
    </row>
    <row r="28" spans="1:345" ht="18" customHeight="1">
      <c r="A28" s="10" t="s">
        <v>16</v>
      </c>
      <c r="B28" s="15">
        <v>2.2000000000000002</v>
      </c>
      <c r="C28" s="15">
        <v>1.4</v>
      </c>
      <c r="D28" s="15">
        <v>1.4</v>
      </c>
      <c r="E28" s="255">
        <v>204.61340206185568</v>
      </c>
      <c r="F28" s="256">
        <v>0.9</v>
      </c>
      <c r="G28" s="16">
        <v>0</v>
      </c>
      <c r="H28" s="16">
        <v>0</v>
      </c>
      <c r="I28" s="5">
        <v>1935.7159196896396</v>
      </c>
      <c r="J28" s="6">
        <v>12</v>
      </c>
      <c r="K28" s="6">
        <v>368.29970000000003</v>
      </c>
      <c r="L28" s="17">
        <v>1.5</v>
      </c>
      <c r="M28" s="17">
        <v>1.2</v>
      </c>
      <c r="N28" s="17">
        <v>1.2</v>
      </c>
      <c r="O28" s="16">
        <v>0.1</v>
      </c>
      <c r="P28" s="16">
        <v>0</v>
      </c>
      <c r="Q28" s="16">
        <v>99.9</v>
      </c>
      <c r="R28" s="16">
        <v>0</v>
      </c>
      <c r="S28" s="252">
        <v>0</v>
      </c>
      <c r="T28" s="303">
        <v>2</v>
      </c>
      <c r="U28" s="304">
        <v>1.5</v>
      </c>
      <c r="V28" s="303">
        <v>1</v>
      </c>
      <c r="W28" s="304">
        <v>0.8</v>
      </c>
      <c r="X28" s="304">
        <v>0.5</v>
      </c>
      <c r="Y28" s="5">
        <v>12765.498891072868</v>
      </c>
      <c r="Z28" s="14">
        <v>1.51</v>
      </c>
      <c r="AA28" s="5">
        <v>166.16349947413926</v>
      </c>
      <c r="AB28" s="19">
        <v>2</v>
      </c>
      <c r="AC28" s="17">
        <v>1.6</v>
      </c>
      <c r="AD28" s="17">
        <v>1.6</v>
      </c>
      <c r="AE28" s="254">
        <f>AE39</f>
        <v>0.19257506503275143</v>
      </c>
      <c r="AF28" s="254">
        <v>0.18193358900561235</v>
      </c>
      <c r="AG28" s="18">
        <v>6.7718733821462915E-2</v>
      </c>
      <c r="AH28" s="18">
        <v>2.8428000887508322E-2</v>
      </c>
      <c r="AI28" s="18">
        <v>1.471784631314252</v>
      </c>
      <c r="AJ28" s="18">
        <v>40.979309962280894</v>
      </c>
      <c r="AK28" s="18">
        <v>1.1627745728866208</v>
      </c>
      <c r="AL28" s="18"/>
      <c r="AM28" s="18">
        <v>54.924053324458256</v>
      </c>
      <c r="AN28" s="18"/>
      <c r="AO28" s="18"/>
      <c r="AP28" s="18"/>
      <c r="AQ28" s="18"/>
      <c r="AR28" s="18"/>
      <c r="AS28" s="18"/>
      <c r="AT28" s="18">
        <v>0.85861807558612524</v>
      </c>
      <c r="AU28" s="18">
        <v>0.50731269876488427</v>
      </c>
      <c r="AV28" s="304">
        <v>0.3</v>
      </c>
      <c r="AW28" s="304">
        <v>0.7</v>
      </c>
      <c r="AX28" s="304">
        <v>1.2</v>
      </c>
      <c r="AY28" s="304">
        <v>1.2</v>
      </c>
      <c r="AZ28" s="303">
        <v>3</v>
      </c>
      <c r="BA28" s="6">
        <v>0</v>
      </c>
      <c r="BB28" s="6">
        <v>18</v>
      </c>
      <c r="BC28" s="5">
        <f t="shared" si="348"/>
        <v>0</v>
      </c>
      <c r="BD28" s="19">
        <v>2.5</v>
      </c>
      <c r="BE28" s="17">
        <v>1.7</v>
      </c>
      <c r="BF28" s="17">
        <v>1.7</v>
      </c>
      <c r="BG28" s="6">
        <v>16.805045714975922</v>
      </c>
      <c r="BH28" s="6">
        <v>18</v>
      </c>
      <c r="BI28" s="5">
        <v>3936.7618556701032</v>
      </c>
      <c r="BJ28" s="19">
        <v>2.5</v>
      </c>
      <c r="BK28" s="17">
        <v>1.7</v>
      </c>
      <c r="BL28" s="17">
        <v>1.7</v>
      </c>
      <c r="BM28" s="5">
        <v>697.93455485009372</v>
      </c>
      <c r="BN28" s="6">
        <v>179.9</v>
      </c>
      <c r="BO28" s="6">
        <v>2616.6967010309381</v>
      </c>
      <c r="BP28" s="19">
        <v>2.5</v>
      </c>
      <c r="BQ28" s="17">
        <v>1.7</v>
      </c>
      <c r="BR28" s="17">
        <v>1.7</v>
      </c>
      <c r="BS28" s="221">
        <v>2</v>
      </c>
      <c r="BT28" s="54">
        <v>1.5</v>
      </c>
      <c r="BU28" s="54">
        <v>0.7</v>
      </c>
      <c r="BV28" s="54">
        <v>0.7</v>
      </c>
      <c r="BW28" s="54">
        <v>0.5</v>
      </c>
      <c r="BX28" s="5">
        <v>67.447515762607736</v>
      </c>
      <c r="BY28" s="5">
        <v>6737.2914484536486</v>
      </c>
      <c r="BZ28" s="19">
        <v>3.2</v>
      </c>
      <c r="CA28" s="17">
        <v>2.7</v>
      </c>
      <c r="CB28" s="17">
        <v>2.7</v>
      </c>
      <c r="CC28" s="221">
        <v>2</v>
      </c>
      <c r="CD28" s="221">
        <v>2</v>
      </c>
      <c r="CE28" s="221">
        <v>1</v>
      </c>
      <c r="CF28" s="221">
        <v>1</v>
      </c>
      <c r="CG28" s="54">
        <v>0.5</v>
      </c>
      <c r="CH28" s="5">
        <v>835.65371732862798</v>
      </c>
      <c r="CI28" s="5">
        <v>500</v>
      </c>
      <c r="CJ28" s="19">
        <v>1.6</v>
      </c>
      <c r="CK28" s="19">
        <v>1.4</v>
      </c>
      <c r="CL28" s="19">
        <v>1.4</v>
      </c>
      <c r="CM28" s="54">
        <v>2</v>
      </c>
      <c r="CN28" s="54">
        <v>1.5</v>
      </c>
      <c r="CO28" s="54">
        <v>0.5</v>
      </c>
      <c r="CP28" s="54">
        <v>1</v>
      </c>
      <c r="CQ28" s="54">
        <v>0.5</v>
      </c>
      <c r="CR28" s="5">
        <v>316.67008019157754</v>
      </c>
      <c r="CS28" s="8">
        <v>29</v>
      </c>
      <c r="CT28" s="19">
        <v>1.6</v>
      </c>
      <c r="CU28" s="17">
        <v>1.3</v>
      </c>
      <c r="CV28" s="17">
        <v>1.3</v>
      </c>
      <c r="CW28" s="54">
        <v>2</v>
      </c>
      <c r="CX28" s="54">
        <v>1</v>
      </c>
      <c r="CY28" s="54">
        <v>0.5</v>
      </c>
      <c r="CZ28" s="54">
        <v>0.7</v>
      </c>
      <c r="DA28" s="54">
        <v>0.2</v>
      </c>
      <c r="DB28" s="403">
        <v>0</v>
      </c>
      <c r="DC28" s="403">
        <v>0</v>
      </c>
      <c r="DD28" s="403">
        <v>0</v>
      </c>
      <c r="DE28" s="403">
        <v>0</v>
      </c>
      <c r="DF28" s="403">
        <v>0</v>
      </c>
      <c r="DG28" s="403">
        <v>0</v>
      </c>
      <c r="DH28" s="403">
        <v>0</v>
      </c>
      <c r="DI28" s="403">
        <v>0</v>
      </c>
      <c r="DJ28" s="403">
        <v>0</v>
      </c>
      <c r="DK28" s="403">
        <v>0</v>
      </c>
      <c r="DL28" s="403">
        <v>0</v>
      </c>
      <c r="DM28" s="403">
        <v>0</v>
      </c>
      <c r="DN28" s="403">
        <v>0</v>
      </c>
      <c r="DO28" s="403">
        <v>0</v>
      </c>
      <c r="DP28" s="403">
        <v>0</v>
      </c>
      <c r="DQ28" s="403">
        <v>0</v>
      </c>
      <c r="DR28" s="403">
        <v>0</v>
      </c>
      <c r="DS28" s="403">
        <v>0</v>
      </c>
      <c r="DT28" s="403">
        <v>0</v>
      </c>
      <c r="DU28" s="403">
        <v>0</v>
      </c>
      <c r="DV28" s="403">
        <v>0</v>
      </c>
      <c r="DW28" s="403">
        <v>0</v>
      </c>
      <c r="DX28" s="403">
        <v>0</v>
      </c>
      <c r="DY28" s="403">
        <v>0</v>
      </c>
      <c r="DZ28" s="404">
        <v>0</v>
      </c>
      <c r="EA28" s="404">
        <v>0</v>
      </c>
      <c r="EB28" s="404">
        <v>0</v>
      </c>
      <c r="EC28" s="404">
        <v>0</v>
      </c>
      <c r="ED28" s="404">
        <v>0</v>
      </c>
      <c r="EE28" s="404">
        <v>0</v>
      </c>
      <c r="EF28" s="404">
        <v>2.3331596698950001</v>
      </c>
      <c r="EG28" s="404">
        <v>0</v>
      </c>
      <c r="EH28" s="404">
        <v>0</v>
      </c>
      <c r="EI28" s="404">
        <v>0.98609088910742004</v>
      </c>
      <c r="EJ28" s="404">
        <v>9.6999770847580005E-2</v>
      </c>
      <c r="EK28" s="404">
        <v>-0.74905005460903995</v>
      </c>
      <c r="EL28" s="404">
        <v>2.3331596698949899</v>
      </c>
      <c r="EM28" s="404">
        <v>0</v>
      </c>
      <c r="EN28" s="404">
        <v>0</v>
      </c>
      <c r="EO28" s="404">
        <v>0.98609088910742004</v>
      </c>
      <c r="EP28" s="404">
        <v>0</v>
      </c>
      <c r="EQ28" s="404">
        <v>-0.74905005460903995</v>
      </c>
      <c r="ER28" s="404">
        <v>0</v>
      </c>
      <c r="ES28" s="404">
        <v>0</v>
      </c>
      <c r="ET28" s="404">
        <v>0</v>
      </c>
      <c r="EU28" s="404">
        <v>0</v>
      </c>
      <c r="EV28" s="404">
        <v>0</v>
      </c>
      <c r="EW28" s="404">
        <v>0</v>
      </c>
      <c r="EX28" s="404">
        <v>0</v>
      </c>
      <c r="EY28" s="404">
        <v>0</v>
      </c>
      <c r="EZ28" s="404">
        <v>0</v>
      </c>
      <c r="FA28" s="404">
        <v>0</v>
      </c>
      <c r="FB28" s="404">
        <v>0</v>
      </c>
      <c r="FC28" s="404">
        <v>0</v>
      </c>
      <c r="FD28" s="404">
        <v>0</v>
      </c>
      <c r="FE28" s="404">
        <v>0</v>
      </c>
      <c r="FF28" s="404">
        <v>0</v>
      </c>
      <c r="FG28" s="404">
        <v>0</v>
      </c>
      <c r="FH28" s="404">
        <v>0</v>
      </c>
      <c r="FI28" s="404">
        <v>0</v>
      </c>
      <c r="FJ28" s="404">
        <v>0</v>
      </c>
      <c r="FK28" s="404">
        <v>0</v>
      </c>
      <c r="FL28" s="404">
        <v>0</v>
      </c>
      <c r="FM28" s="404">
        <v>0</v>
      </c>
      <c r="FN28" s="404">
        <v>0</v>
      </c>
      <c r="FO28" s="404">
        <v>0</v>
      </c>
      <c r="FP28" s="404">
        <v>0</v>
      </c>
      <c r="FQ28" s="404">
        <v>0</v>
      </c>
      <c r="FR28" s="404">
        <v>0</v>
      </c>
      <c r="FS28" s="404">
        <v>0</v>
      </c>
      <c r="FT28" s="404">
        <v>0</v>
      </c>
      <c r="FU28" s="404">
        <v>0</v>
      </c>
      <c r="FV28" s="404">
        <v>0</v>
      </c>
      <c r="FW28" s="404">
        <v>0</v>
      </c>
      <c r="FX28" s="404">
        <v>0</v>
      </c>
      <c r="FY28" s="404">
        <v>0</v>
      </c>
      <c r="FZ28" s="404">
        <v>0</v>
      </c>
      <c r="GA28" s="404">
        <v>0</v>
      </c>
      <c r="GB28" s="404">
        <v>0</v>
      </c>
      <c r="GC28" s="404">
        <v>0</v>
      </c>
      <c r="GD28" s="404">
        <v>0</v>
      </c>
      <c r="GE28" s="404">
        <v>0</v>
      </c>
      <c r="GF28" s="404">
        <v>0</v>
      </c>
      <c r="GG28" s="404">
        <v>0</v>
      </c>
      <c r="GH28" s="404">
        <v>-55.82</v>
      </c>
      <c r="GI28" s="404">
        <v>-11.99</v>
      </c>
      <c r="GJ28" s="404">
        <v>-19.61</v>
      </c>
      <c r="GK28" s="404">
        <v>-12.92</v>
      </c>
      <c r="GL28" s="404">
        <v>4.6060068064949999E-2</v>
      </c>
      <c r="GM28" s="404">
        <v>-3.91</v>
      </c>
      <c r="GN28" s="404">
        <v>0</v>
      </c>
      <c r="GO28" s="404">
        <v>0</v>
      </c>
      <c r="GP28" s="404">
        <v>0</v>
      </c>
      <c r="GQ28" s="404">
        <v>0</v>
      </c>
      <c r="GR28" s="404">
        <v>0</v>
      </c>
      <c r="GS28" s="404">
        <v>0</v>
      </c>
      <c r="GT28" s="404">
        <v>0</v>
      </c>
      <c r="GU28" s="404">
        <v>0</v>
      </c>
      <c r="GV28" s="404">
        <v>0</v>
      </c>
      <c r="GW28" s="404">
        <v>0</v>
      </c>
      <c r="GX28" s="404">
        <v>0</v>
      </c>
      <c r="GY28" s="404">
        <v>0</v>
      </c>
      <c r="GZ28" s="404">
        <v>0</v>
      </c>
      <c r="HA28" s="404">
        <v>0</v>
      </c>
      <c r="HB28" s="404">
        <v>0</v>
      </c>
      <c r="HC28" s="404">
        <v>0</v>
      </c>
      <c r="HD28" s="404">
        <v>0</v>
      </c>
      <c r="HE28" s="404">
        <v>0</v>
      </c>
      <c r="HF28" s="404">
        <v>0</v>
      </c>
      <c r="HG28" s="404">
        <v>0</v>
      </c>
      <c r="HH28" s="404">
        <v>0</v>
      </c>
      <c r="HI28" s="404">
        <v>0</v>
      </c>
      <c r="HJ28" s="404">
        <v>0</v>
      </c>
      <c r="HK28" s="404">
        <v>0</v>
      </c>
      <c r="HL28" s="397">
        <v>-0.6</v>
      </c>
      <c r="HM28" s="405">
        <v>0</v>
      </c>
      <c r="HN28" s="405">
        <v>0</v>
      </c>
      <c r="HO28" s="405">
        <v>0</v>
      </c>
      <c r="HP28" s="405">
        <v>0</v>
      </c>
      <c r="HQ28" s="397">
        <v>-3.1108822695035498</v>
      </c>
      <c r="HR28" s="397">
        <v>0.1</v>
      </c>
      <c r="HS28" s="397">
        <v>0</v>
      </c>
      <c r="HT28" s="397">
        <v>0</v>
      </c>
      <c r="HU28" s="397">
        <v>0</v>
      </c>
      <c r="HV28" s="397">
        <v>0</v>
      </c>
      <c r="HW28" s="397">
        <v>0.23</v>
      </c>
      <c r="HX28" s="397">
        <v>-9.0767508396599993E-3</v>
      </c>
      <c r="HY28" s="397">
        <v>0</v>
      </c>
      <c r="HZ28" s="397">
        <v>0</v>
      </c>
      <c r="IA28" s="397">
        <v>-2.3954794799700002E-3</v>
      </c>
      <c r="IB28" s="397">
        <v>0</v>
      </c>
      <c r="IC28" s="397">
        <v>-0.47</v>
      </c>
      <c r="ID28" s="405">
        <v>0</v>
      </c>
      <c r="IE28" s="405">
        <v>0</v>
      </c>
      <c r="IF28" s="405">
        <v>0</v>
      </c>
      <c r="IG28" s="405">
        <v>0</v>
      </c>
      <c r="IH28" s="405">
        <v>0</v>
      </c>
      <c r="II28" s="405">
        <v>0</v>
      </c>
      <c r="IJ28" s="405">
        <v>0</v>
      </c>
      <c r="IK28" s="405">
        <v>0</v>
      </c>
      <c r="IL28" s="405">
        <v>0</v>
      </c>
      <c r="IM28" s="405">
        <v>0</v>
      </c>
      <c r="IN28" s="405">
        <v>0</v>
      </c>
      <c r="IO28" s="405">
        <v>0</v>
      </c>
      <c r="IP28" s="404">
        <v>-55.82</v>
      </c>
      <c r="IQ28" s="404">
        <v>-11.99</v>
      </c>
      <c r="IR28" s="404">
        <v>-19.61</v>
      </c>
      <c r="IS28" s="404">
        <v>-12.92</v>
      </c>
      <c r="IT28" s="404">
        <v>-1.07225369578546</v>
      </c>
      <c r="IU28" s="404">
        <v>-0.59</v>
      </c>
      <c r="IV28" s="404">
        <v>-0.12913436945737</v>
      </c>
      <c r="IW28" s="404">
        <v>0</v>
      </c>
      <c r="IX28" s="404">
        <v>0</v>
      </c>
      <c r="IY28" s="404">
        <v>0</v>
      </c>
      <c r="IZ28" s="404">
        <v>-0.75737307686747002</v>
      </c>
      <c r="JA28" s="404">
        <v>0</v>
      </c>
      <c r="JB28" s="404">
        <v>-0.15496124334884001</v>
      </c>
      <c r="JC28" s="404">
        <v>0</v>
      </c>
      <c r="JD28" s="404">
        <v>0</v>
      </c>
      <c r="JE28" s="404">
        <v>0</v>
      </c>
      <c r="JF28" s="404">
        <v>-1.39367584496439</v>
      </c>
      <c r="JG28" s="404">
        <v>0</v>
      </c>
      <c r="JH28" s="404">
        <v>0</v>
      </c>
      <c r="JI28" s="404">
        <v>0</v>
      </c>
      <c r="JJ28" s="404">
        <v>0</v>
      </c>
      <c r="JK28" s="404">
        <v>0</v>
      </c>
      <c r="JL28" s="404">
        <v>0</v>
      </c>
      <c r="JM28" s="404">
        <v>0</v>
      </c>
      <c r="JN28" s="404">
        <v>-0.15496124334885</v>
      </c>
      <c r="JO28" s="404">
        <v>0</v>
      </c>
      <c r="JP28" s="404">
        <v>0</v>
      </c>
      <c r="JQ28" s="404">
        <v>0</v>
      </c>
      <c r="JR28" s="404">
        <v>-1.3435541332540599</v>
      </c>
      <c r="JS28" s="404">
        <v>0</v>
      </c>
      <c r="JT28" s="404">
        <v>-55.82</v>
      </c>
      <c r="JU28" s="404">
        <v>-11.99</v>
      </c>
      <c r="JV28" s="404">
        <v>-19.61</v>
      </c>
      <c r="JW28" s="404">
        <v>-12.92</v>
      </c>
      <c r="JX28" s="404">
        <v>-0.84497718120804999</v>
      </c>
      <c r="JY28" s="404">
        <v>-0.9</v>
      </c>
      <c r="JZ28" s="404">
        <v>0</v>
      </c>
      <c r="KA28" s="404">
        <v>0</v>
      </c>
      <c r="KB28" s="404">
        <v>0</v>
      </c>
      <c r="KC28" s="404">
        <v>0</v>
      </c>
      <c r="KD28" s="404">
        <v>0</v>
      </c>
      <c r="KE28" s="404">
        <v>0</v>
      </c>
      <c r="KF28" s="404">
        <v>0</v>
      </c>
      <c r="KG28" s="404">
        <v>0</v>
      </c>
      <c r="KH28" s="404">
        <v>0</v>
      </c>
      <c r="KI28" s="404">
        <v>0</v>
      </c>
      <c r="KJ28" s="404">
        <v>0</v>
      </c>
      <c r="KK28" s="404">
        <v>0</v>
      </c>
      <c r="KL28" s="404">
        <v>0</v>
      </c>
      <c r="KM28" s="404">
        <v>0</v>
      </c>
      <c r="KN28" s="404">
        <v>0</v>
      </c>
      <c r="KO28" s="404">
        <v>0</v>
      </c>
      <c r="KP28" s="404">
        <v>0</v>
      </c>
      <c r="KQ28" s="404">
        <v>0</v>
      </c>
      <c r="KR28" s="404">
        <v>0</v>
      </c>
      <c r="KS28" s="404">
        <v>0</v>
      </c>
      <c r="KT28" s="404">
        <v>0</v>
      </c>
      <c r="KU28" s="404">
        <v>0</v>
      </c>
      <c r="KV28" s="404">
        <v>0</v>
      </c>
      <c r="KW28" s="404">
        <v>0</v>
      </c>
      <c r="KX28" s="404">
        <v>1.0046888903139199</v>
      </c>
      <c r="KY28" s="404">
        <v>0.16710577309979999</v>
      </c>
      <c r="KZ28" s="404">
        <v>-0.20275762945598999</v>
      </c>
      <c r="LA28" s="404">
        <v>1.2390474038300001E-2</v>
      </c>
      <c r="LB28" s="404">
        <v>-5.5329298001249999E-2</v>
      </c>
      <c r="LC28" s="404">
        <v>-0.44750344212965998</v>
      </c>
      <c r="LD28" s="404">
        <v>-2.6800558377699998E-3</v>
      </c>
      <c r="LE28" s="404">
        <v>0</v>
      </c>
      <c r="LF28" s="404">
        <v>0</v>
      </c>
      <c r="LG28" s="404">
        <v>0</v>
      </c>
      <c r="LH28" s="404">
        <v>4.3345790606010001E-2</v>
      </c>
      <c r="LI28" s="404">
        <v>0</v>
      </c>
      <c r="LJ28" s="404">
        <v>0</v>
      </c>
      <c r="LK28" s="404">
        <v>0</v>
      </c>
      <c r="LL28" s="404">
        <v>0</v>
      </c>
      <c r="LM28" s="404">
        <v>0</v>
      </c>
      <c r="LN28" s="404">
        <v>0.14138326334163001</v>
      </c>
      <c r="LO28" s="404">
        <v>-6.76163329988798</v>
      </c>
      <c r="LP28" s="404">
        <v>0.12020443037641</v>
      </c>
      <c r="LQ28" s="404">
        <v>0</v>
      </c>
      <c r="LR28" s="404">
        <v>0</v>
      </c>
      <c r="LS28" s="404">
        <v>0</v>
      </c>
      <c r="LT28" s="404">
        <v>0</v>
      </c>
      <c r="LU28" s="404">
        <v>-3.11</v>
      </c>
      <c r="LV28" s="401">
        <v>6.8506595710599999E-3</v>
      </c>
      <c r="LW28" s="401">
        <v>0</v>
      </c>
      <c r="LX28" s="401">
        <v>0</v>
      </c>
      <c r="LY28" s="401">
        <v>0</v>
      </c>
      <c r="LZ28" s="401">
        <v>0</v>
      </c>
      <c r="MA28" s="401">
        <v>-0.43889541996992998</v>
      </c>
      <c r="MB28" s="404">
        <v>0</v>
      </c>
      <c r="MC28" s="404">
        <v>0</v>
      </c>
      <c r="MD28" s="404">
        <v>0</v>
      </c>
      <c r="ME28" s="404">
        <v>0</v>
      </c>
      <c r="MF28" s="404">
        <v>0</v>
      </c>
      <c r="MG28" s="404">
        <v>0</v>
      </c>
    </row>
    <row r="29" spans="1:345" ht="18" customHeight="1">
      <c r="A29" s="10" t="s">
        <v>18</v>
      </c>
      <c r="B29" s="15">
        <v>0.4</v>
      </c>
      <c r="C29" s="15">
        <v>0.1</v>
      </c>
      <c r="D29" s="15">
        <v>0.1</v>
      </c>
      <c r="E29" s="255">
        <v>443.44186046511624</v>
      </c>
      <c r="F29" s="256">
        <v>-1.2</v>
      </c>
      <c r="G29" s="16">
        <v>-0.5</v>
      </c>
      <c r="H29" s="16">
        <v>-0.5</v>
      </c>
      <c r="I29" s="5">
        <v>1115.0423678962534</v>
      </c>
      <c r="J29" s="6">
        <v>12</v>
      </c>
      <c r="K29" s="6">
        <v>368.29820000000007</v>
      </c>
      <c r="L29" s="17">
        <v>0.3</v>
      </c>
      <c r="M29" s="17">
        <v>0.1</v>
      </c>
      <c r="N29" s="17">
        <v>0.1</v>
      </c>
      <c r="O29" s="16">
        <v>0.6</v>
      </c>
      <c r="P29" s="16">
        <v>0</v>
      </c>
      <c r="Q29" s="16">
        <v>99.4</v>
      </c>
      <c r="R29" s="16">
        <v>0</v>
      </c>
      <c r="S29" s="252">
        <v>0</v>
      </c>
      <c r="T29" s="303">
        <v>2</v>
      </c>
      <c r="U29" s="304">
        <v>1.5</v>
      </c>
      <c r="V29" s="303">
        <v>1</v>
      </c>
      <c r="W29" s="304">
        <v>0.8</v>
      </c>
      <c r="X29" s="304">
        <v>0.5</v>
      </c>
      <c r="Y29" s="5">
        <v>5270.8573058485272</v>
      </c>
      <c r="Z29" s="14">
        <v>1.51</v>
      </c>
      <c r="AA29" s="5">
        <v>163.78062239570016</v>
      </c>
      <c r="AB29" s="19">
        <v>0.4</v>
      </c>
      <c r="AC29" s="19">
        <v>0.3</v>
      </c>
      <c r="AD29" s="19">
        <v>0.3</v>
      </c>
      <c r="AE29" s="254">
        <v>0.16268213204308543</v>
      </c>
      <c r="AF29" s="254">
        <v>0.17432127713198234</v>
      </c>
      <c r="AG29" s="18">
        <v>1.614736733322999E-3</v>
      </c>
      <c r="AH29" s="18">
        <v>0</v>
      </c>
      <c r="AI29" s="18">
        <v>0.81318141890146223</v>
      </c>
      <c r="AJ29" s="18">
        <v>66.199361856042998</v>
      </c>
      <c r="AK29" s="18">
        <v>0.69239911124890197</v>
      </c>
      <c r="AL29" s="18">
        <v>8.8164625639435751E-2</v>
      </c>
      <c r="AM29" s="18">
        <v>31.376272412545859</v>
      </c>
      <c r="AN29" s="18">
        <v>1.7439156719888389E-2</v>
      </c>
      <c r="AO29" s="18">
        <v>0</v>
      </c>
      <c r="AP29" s="18">
        <v>0</v>
      </c>
      <c r="AQ29" s="18">
        <v>0</v>
      </c>
      <c r="AR29" s="18">
        <v>0</v>
      </c>
      <c r="AS29" s="18">
        <v>0.49410944039683768</v>
      </c>
      <c r="AT29" s="18">
        <v>0</v>
      </c>
      <c r="AU29" s="18">
        <v>0.31745724177130163</v>
      </c>
      <c r="AV29" s="304">
        <v>0.3</v>
      </c>
      <c r="AW29" s="304">
        <v>0.7</v>
      </c>
      <c r="AX29" s="304">
        <v>1.2</v>
      </c>
      <c r="AY29" s="304">
        <v>1.2</v>
      </c>
      <c r="AZ29" s="303">
        <v>3</v>
      </c>
      <c r="BA29" s="6">
        <v>0</v>
      </c>
      <c r="BB29" s="6">
        <v>18</v>
      </c>
      <c r="BC29" s="5">
        <f t="shared" si="348"/>
        <v>0</v>
      </c>
      <c r="BD29" s="19">
        <v>0</v>
      </c>
      <c r="BE29" s="19">
        <v>0</v>
      </c>
      <c r="BF29" s="19">
        <v>0</v>
      </c>
      <c r="BG29" s="6">
        <v>0</v>
      </c>
      <c r="BH29" s="6">
        <v>18</v>
      </c>
      <c r="BI29" s="5">
        <v>8975.2632558139521</v>
      </c>
      <c r="BJ29" s="19">
        <v>0</v>
      </c>
      <c r="BK29" s="19">
        <v>0</v>
      </c>
      <c r="BL29" s="19">
        <v>0</v>
      </c>
      <c r="BM29" s="5">
        <v>0</v>
      </c>
      <c r="BN29" s="6">
        <v>179.9</v>
      </c>
      <c r="BO29" s="6">
        <v>4126.0925581395441</v>
      </c>
      <c r="BP29" s="19">
        <v>0</v>
      </c>
      <c r="BQ29" s="19">
        <v>0</v>
      </c>
      <c r="BR29" s="19">
        <v>0</v>
      </c>
      <c r="BS29" s="221">
        <v>2</v>
      </c>
      <c r="BT29" s="54">
        <v>1.5</v>
      </c>
      <c r="BU29" s="54">
        <v>0.7</v>
      </c>
      <c r="BV29" s="54">
        <v>0.7</v>
      </c>
      <c r="BW29" s="54">
        <v>0.5</v>
      </c>
      <c r="BX29" s="5">
        <v>0</v>
      </c>
      <c r="BY29" s="5">
        <v>8063.9835348837614</v>
      </c>
      <c r="BZ29" s="19">
        <v>0</v>
      </c>
      <c r="CA29" s="19">
        <v>0</v>
      </c>
      <c r="CB29" s="19">
        <v>0</v>
      </c>
      <c r="CC29" s="221">
        <v>2</v>
      </c>
      <c r="CD29" s="221">
        <v>2</v>
      </c>
      <c r="CE29" s="221">
        <v>1</v>
      </c>
      <c r="CF29" s="221">
        <v>1</v>
      </c>
      <c r="CG29" s="54">
        <v>0.5</v>
      </c>
      <c r="CH29" s="5"/>
      <c r="CI29" s="5">
        <v>500</v>
      </c>
      <c r="CJ29" s="19">
        <v>1.6</v>
      </c>
      <c r="CK29" s="19">
        <v>1.5</v>
      </c>
      <c r="CL29" s="19">
        <v>1.5</v>
      </c>
      <c r="CM29" s="54">
        <v>2</v>
      </c>
      <c r="CN29" s="54">
        <v>1.5</v>
      </c>
      <c r="CO29" s="54">
        <v>0.5</v>
      </c>
      <c r="CP29" s="54">
        <v>1</v>
      </c>
      <c r="CQ29" s="54">
        <v>0.5</v>
      </c>
      <c r="CR29" s="5"/>
      <c r="CS29" s="8">
        <v>29</v>
      </c>
      <c r="CT29" s="19">
        <v>0</v>
      </c>
      <c r="CU29" s="19">
        <v>0</v>
      </c>
      <c r="CV29" s="19">
        <v>0</v>
      </c>
      <c r="CW29" s="54">
        <v>2</v>
      </c>
      <c r="CX29" s="54">
        <v>1</v>
      </c>
      <c r="CY29" s="54">
        <v>0.5</v>
      </c>
      <c r="CZ29" s="54">
        <v>0.7</v>
      </c>
      <c r="DA29" s="54">
        <v>0.2</v>
      </c>
      <c r="DB29" s="403">
        <v>0</v>
      </c>
      <c r="DC29" s="403">
        <v>0</v>
      </c>
      <c r="DD29" s="403">
        <v>0</v>
      </c>
      <c r="DE29" s="403">
        <v>0</v>
      </c>
      <c r="DF29" s="403">
        <v>0</v>
      </c>
      <c r="DG29" s="403">
        <v>0</v>
      </c>
      <c r="DH29" s="403">
        <v>0</v>
      </c>
      <c r="DI29" s="403">
        <v>0</v>
      </c>
      <c r="DJ29" s="403">
        <v>0</v>
      </c>
      <c r="DK29" s="403">
        <v>0</v>
      </c>
      <c r="DL29" s="403">
        <v>0</v>
      </c>
      <c r="DM29" s="403">
        <v>0</v>
      </c>
      <c r="DN29" s="403">
        <v>0</v>
      </c>
      <c r="DO29" s="403">
        <v>0</v>
      </c>
      <c r="DP29" s="403">
        <v>0</v>
      </c>
      <c r="DQ29" s="403">
        <v>0</v>
      </c>
      <c r="DR29" s="403">
        <v>0</v>
      </c>
      <c r="DS29" s="403">
        <v>0</v>
      </c>
      <c r="DT29" s="403">
        <v>0</v>
      </c>
      <c r="DU29" s="403">
        <v>0</v>
      </c>
      <c r="DV29" s="403">
        <v>0</v>
      </c>
      <c r="DW29" s="403">
        <v>0</v>
      </c>
      <c r="DX29" s="403">
        <v>0</v>
      </c>
      <c r="DY29" s="403">
        <v>0</v>
      </c>
      <c r="DZ29" s="404">
        <v>0</v>
      </c>
      <c r="EA29" s="404">
        <v>0</v>
      </c>
      <c r="EB29" s="404">
        <v>0</v>
      </c>
      <c r="EC29" s="404">
        <v>0</v>
      </c>
      <c r="ED29" s="404">
        <v>0</v>
      </c>
      <c r="EE29" s="404">
        <v>0</v>
      </c>
      <c r="EF29" s="404">
        <v>2.3331596698950001</v>
      </c>
      <c r="EG29" s="404">
        <v>0</v>
      </c>
      <c r="EH29" s="404">
        <v>0</v>
      </c>
      <c r="EI29" s="404">
        <v>0.98609088910742004</v>
      </c>
      <c r="EJ29" s="404">
        <v>9.6999770847580005E-2</v>
      </c>
      <c r="EK29" s="404">
        <v>-0.74905005460903995</v>
      </c>
      <c r="EL29" s="404">
        <v>2.3331596698949899</v>
      </c>
      <c r="EM29" s="404">
        <v>0</v>
      </c>
      <c r="EN29" s="404">
        <v>0</v>
      </c>
      <c r="EO29" s="404">
        <v>0.98609088910742004</v>
      </c>
      <c r="EP29" s="404">
        <v>0</v>
      </c>
      <c r="EQ29" s="404">
        <v>-0.74905005460903995</v>
      </c>
      <c r="ER29" s="404">
        <v>0</v>
      </c>
      <c r="ES29" s="404">
        <v>0</v>
      </c>
      <c r="ET29" s="404">
        <v>0</v>
      </c>
      <c r="EU29" s="404">
        <v>0</v>
      </c>
      <c r="EV29" s="404">
        <v>0</v>
      </c>
      <c r="EW29" s="404">
        <v>0</v>
      </c>
      <c r="EX29" s="404">
        <v>0</v>
      </c>
      <c r="EY29" s="404">
        <v>0</v>
      </c>
      <c r="EZ29" s="404">
        <v>0</v>
      </c>
      <c r="FA29" s="404">
        <v>0</v>
      </c>
      <c r="FB29" s="404">
        <v>0</v>
      </c>
      <c r="FC29" s="404">
        <v>0</v>
      </c>
      <c r="FD29" s="404">
        <v>0</v>
      </c>
      <c r="FE29" s="404">
        <v>0</v>
      </c>
      <c r="FF29" s="404">
        <v>0</v>
      </c>
      <c r="FG29" s="404">
        <v>0</v>
      </c>
      <c r="FH29" s="404">
        <v>0</v>
      </c>
      <c r="FI29" s="404">
        <v>0</v>
      </c>
      <c r="FJ29" s="404">
        <v>0</v>
      </c>
      <c r="FK29" s="404">
        <v>0</v>
      </c>
      <c r="FL29" s="404">
        <v>0</v>
      </c>
      <c r="FM29" s="404">
        <v>0</v>
      </c>
      <c r="FN29" s="404">
        <v>0</v>
      </c>
      <c r="FO29" s="404">
        <v>0</v>
      </c>
      <c r="FP29" s="404">
        <v>0</v>
      </c>
      <c r="FQ29" s="404">
        <v>0</v>
      </c>
      <c r="FR29" s="404">
        <v>0</v>
      </c>
      <c r="FS29" s="404">
        <v>0</v>
      </c>
      <c r="FT29" s="404">
        <v>0</v>
      </c>
      <c r="FU29" s="404">
        <v>0</v>
      </c>
      <c r="FV29" s="404">
        <v>0</v>
      </c>
      <c r="FW29" s="404">
        <v>0</v>
      </c>
      <c r="FX29" s="404">
        <v>0</v>
      </c>
      <c r="FY29" s="404">
        <v>0</v>
      </c>
      <c r="FZ29" s="404">
        <v>0</v>
      </c>
      <c r="GA29" s="404">
        <v>0</v>
      </c>
      <c r="GB29" s="404">
        <v>0</v>
      </c>
      <c r="GC29" s="404">
        <v>0</v>
      </c>
      <c r="GD29" s="404">
        <v>0</v>
      </c>
      <c r="GE29" s="404">
        <v>0</v>
      </c>
      <c r="GF29" s="404">
        <v>0</v>
      </c>
      <c r="GG29" s="404">
        <v>0</v>
      </c>
      <c r="GH29" s="404">
        <v>-55.82</v>
      </c>
      <c r="GI29" s="404">
        <v>-11.99</v>
      </c>
      <c r="GJ29" s="404">
        <v>-19.61</v>
      </c>
      <c r="GK29" s="404">
        <v>-12.92</v>
      </c>
      <c r="GL29" s="404">
        <v>4.6060068064949999E-2</v>
      </c>
      <c r="GM29" s="404">
        <v>-3.91</v>
      </c>
      <c r="GN29" s="404">
        <v>0</v>
      </c>
      <c r="GO29" s="404">
        <v>0</v>
      </c>
      <c r="GP29" s="404">
        <v>0</v>
      </c>
      <c r="GQ29" s="404">
        <v>0</v>
      </c>
      <c r="GR29" s="404">
        <v>0</v>
      </c>
      <c r="GS29" s="404">
        <v>0</v>
      </c>
      <c r="GT29" s="404">
        <v>0</v>
      </c>
      <c r="GU29" s="404">
        <v>0</v>
      </c>
      <c r="GV29" s="404">
        <v>0</v>
      </c>
      <c r="GW29" s="404">
        <v>0</v>
      </c>
      <c r="GX29" s="404">
        <v>0</v>
      </c>
      <c r="GY29" s="404">
        <v>0</v>
      </c>
      <c r="GZ29" s="404">
        <v>0</v>
      </c>
      <c r="HA29" s="404">
        <v>0</v>
      </c>
      <c r="HB29" s="404">
        <v>0</v>
      </c>
      <c r="HC29" s="404">
        <v>0</v>
      </c>
      <c r="HD29" s="404">
        <v>0</v>
      </c>
      <c r="HE29" s="404">
        <v>0</v>
      </c>
      <c r="HF29" s="404">
        <v>0</v>
      </c>
      <c r="HG29" s="404">
        <v>0</v>
      </c>
      <c r="HH29" s="404">
        <v>0</v>
      </c>
      <c r="HI29" s="404">
        <v>0</v>
      </c>
      <c r="HJ29" s="404">
        <v>0</v>
      </c>
      <c r="HK29" s="404">
        <v>0</v>
      </c>
      <c r="HL29" s="397">
        <v>-0.6</v>
      </c>
      <c r="HM29" s="405">
        <v>0</v>
      </c>
      <c r="HN29" s="405">
        <v>0</v>
      </c>
      <c r="HO29" s="405">
        <v>0</v>
      </c>
      <c r="HP29" s="405">
        <v>0</v>
      </c>
      <c r="HQ29" s="397">
        <v>-3.1108822695035498</v>
      </c>
      <c r="HR29" s="397">
        <v>0.1</v>
      </c>
      <c r="HS29" s="397">
        <v>0</v>
      </c>
      <c r="HT29" s="397">
        <v>0</v>
      </c>
      <c r="HU29" s="397">
        <v>0</v>
      </c>
      <c r="HV29" s="397">
        <v>0</v>
      </c>
      <c r="HW29" s="397">
        <v>0.23</v>
      </c>
      <c r="HX29" s="397">
        <v>-9.0767508396599993E-3</v>
      </c>
      <c r="HY29" s="397">
        <v>0</v>
      </c>
      <c r="HZ29" s="397">
        <v>0</v>
      </c>
      <c r="IA29" s="397">
        <v>-2.3954794799700002E-3</v>
      </c>
      <c r="IB29" s="397">
        <v>0</v>
      </c>
      <c r="IC29" s="397">
        <v>-0.47</v>
      </c>
      <c r="ID29" s="405">
        <v>0</v>
      </c>
      <c r="IE29" s="405">
        <v>0</v>
      </c>
      <c r="IF29" s="405">
        <v>0</v>
      </c>
      <c r="IG29" s="405">
        <v>0</v>
      </c>
      <c r="IH29" s="405">
        <v>0</v>
      </c>
      <c r="II29" s="405">
        <v>0</v>
      </c>
      <c r="IJ29" s="405">
        <v>0</v>
      </c>
      <c r="IK29" s="405">
        <v>0</v>
      </c>
      <c r="IL29" s="405">
        <v>0</v>
      </c>
      <c r="IM29" s="405">
        <v>0</v>
      </c>
      <c r="IN29" s="405">
        <v>0</v>
      </c>
      <c r="IO29" s="405">
        <v>0</v>
      </c>
      <c r="IP29" s="404">
        <v>-55.82</v>
      </c>
      <c r="IQ29" s="404">
        <v>-11.99</v>
      </c>
      <c r="IR29" s="404">
        <v>-19.61</v>
      </c>
      <c r="IS29" s="404">
        <v>-12.92</v>
      </c>
      <c r="IT29" s="404">
        <v>-1.07225369578546</v>
      </c>
      <c r="IU29" s="404">
        <v>-0.59</v>
      </c>
      <c r="IV29" s="404">
        <v>-0.12913436945737</v>
      </c>
      <c r="IW29" s="404">
        <v>0</v>
      </c>
      <c r="IX29" s="404">
        <v>0</v>
      </c>
      <c r="IY29" s="404">
        <v>0</v>
      </c>
      <c r="IZ29" s="404">
        <v>-0.75737307686747002</v>
      </c>
      <c r="JA29" s="404">
        <v>0</v>
      </c>
      <c r="JB29" s="404">
        <v>-0.15496124334884001</v>
      </c>
      <c r="JC29" s="404">
        <v>0</v>
      </c>
      <c r="JD29" s="404">
        <v>0</v>
      </c>
      <c r="JE29" s="404">
        <v>0</v>
      </c>
      <c r="JF29" s="404">
        <v>-1.39367584496439</v>
      </c>
      <c r="JG29" s="404">
        <v>0</v>
      </c>
      <c r="JH29" s="404">
        <v>0</v>
      </c>
      <c r="JI29" s="404">
        <v>0</v>
      </c>
      <c r="JJ29" s="404">
        <v>0</v>
      </c>
      <c r="JK29" s="404">
        <v>0</v>
      </c>
      <c r="JL29" s="404">
        <v>0</v>
      </c>
      <c r="JM29" s="404">
        <v>0</v>
      </c>
      <c r="JN29" s="404">
        <v>-0.15496124334885</v>
      </c>
      <c r="JO29" s="404">
        <v>0</v>
      </c>
      <c r="JP29" s="404">
        <v>0</v>
      </c>
      <c r="JQ29" s="404">
        <v>0</v>
      </c>
      <c r="JR29" s="404">
        <v>-1.3435541332540599</v>
      </c>
      <c r="JS29" s="404">
        <v>0</v>
      </c>
      <c r="JT29" s="404">
        <v>-55.82</v>
      </c>
      <c r="JU29" s="404">
        <v>-11.99</v>
      </c>
      <c r="JV29" s="404">
        <v>-19.61</v>
      </c>
      <c r="JW29" s="404">
        <v>-12.92</v>
      </c>
      <c r="JX29" s="404">
        <v>-0.84497718120804999</v>
      </c>
      <c r="JY29" s="404">
        <v>-0.9</v>
      </c>
      <c r="JZ29" s="404">
        <v>0</v>
      </c>
      <c r="KA29" s="404">
        <v>0</v>
      </c>
      <c r="KB29" s="404">
        <v>0</v>
      </c>
      <c r="KC29" s="404">
        <v>0</v>
      </c>
      <c r="KD29" s="404">
        <v>0</v>
      </c>
      <c r="KE29" s="404">
        <v>0</v>
      </c>
      <c r="KF29" s="404">
        <v>0</v>
      </c>
      <c r="KG29" s="404">
        <v>0</v>
      </c>
      <c r="KH29" s="404">
        <v>0</v>
      </c>
      <c r="KI29" s="404">
        <v>0</v>
      </c>
      <c r="KJ29" s="404">
        <v>0</v>
      </c>
      <c r="KK29" s="404">
        <v>0</v>
      </c>
      <c r="KL29" s="404">
        <v>0</v>
      </c>
      <c r="KM29" s="404">
        <v>0</v>
      </c>
      <c r="KN29" s="404">
        <v>0</v>
      </c>
      <c r="KO29" s="404">
        <v>0</v>
      </c>
      <c r="KP29" s="404">
        <v>0</v>
      </c>
      <c r="KQ29" s="404">
        <v>0</v>
      </c>
      <c r="KR29" s="404">
        <v>0</v>
      </c>
      <c r="KS29" s="404">
        <v>0</v>
      </c>
      <c r="KT29" s="404">
        <v>0</v>
      </c>
      <c r="KU29" s="404">
        <v>0</v>
      </c>
      <c r="KV29" s="404">
        <v>0</v>
      </c>
      <c r="KW29" s="404">
        <v>0</v>
      </c>
      <c r="KX29" s="404">
        <v>1.0046888903139199</v>
      </c>
      <c r="KY29" s="404">
        <v>0.16710577309979999</v>
      </c>
      <c r="KZ29" s="404">
        <v>-0.20275762945598999</v>
      </c>
      <c r="LA29" s="404">
        <v>1.2390474038300001E-2</v>
      </c>
      <c r="LB29" s="404">
        <v>-5.5329298001249999E-2</v>
      </c>
      <c r="LC29" s="404">
        <v>-0.44750344212965998</v>
      </c>
      <c r="LD29" s="404">
        <v>-2.6800558377699998E-3</v>
      </c>
      <c r="LE29" s="404">
        <v>0</v>
      </c>
      <c r="LF29" s="404">
        <v>0</v>
      </c>
      <c r="LG29" s="404">
        <v>0</v>
      </c>
      <c r="LH29" s="404">
        <v>4.3345790606010001E-2</v>
      </c>
      <c r="LI29" s="404">
        <v>0</v>
      </c>
      <c r="LJ29" s="404">
        <v>0</v>
      </c>
      <c r="LK29" s="404">
        <v>0</v>
      </c>
      <c r="LL29" s="404">
        <v>0</v>
      </c>
      <c r="LM29" s="404">
        <v>0</v>
      </c>
      <c r="LN29" s="404">
        <v>0.14138326334163001</v>
      </c>
      <c r="LO29" s="404">
        <v>-6.76163329988798</v>
      </c>
      <c r="LP29" s="404">
        <v>0.12020443037641</v>
      </c>
      <c r="LQ29" s="404">
        <v>0</v>
      </c>
      <c r="LR29" s="404">
        <v>0</v>
      </c>
      <c r="LS29" s="404">
        <v>0</v>
      </c>
      <c r="LT29" s="404">
        <v>0</v>
      </c>
      <c r="LU29" s="404">
        <v>-3.11</v>
      </c>
      <c r="LV29" s="401">
        <v>6.8506595710599999E-3</v>
      </c>
      <c r="LW29" s="401">
        <v>0</v>
      </c>
      <c r="LX29" s="401">
        <v>0</v>
      </c>
      <c r="LY29" s="401">
        <v>0</v>
      </c>
      <c r="LZ29" s="401">
        <v>0</v>
      </c>
      <c r="MA29" s="401">
        <v>-0.43889541996992998</v>
      </c>
      <c r="MB29" s="404">
        <v>0</v>
      </c>
      <c r="MC29" s="404">
        <v>0</v>
      </c>
      <c r="MD29" s="404">
        <v>0</v>
      </c>
      <c r="ME29" s="404">
        <v>0</v>
      </c>
      <c r="MF29" s="404">
        <v>0</v>
      </c>
      <c r="MG29" s="404">
        <v>0</v>
      </c>
    </row>
    <row r="30" spans="1:345" ht="18" customHeight="1">
      <c r="A30" s="10" t="s">
        <v>19</v>
      </c>
      <c r="B30" s="15">
        <v>0.2</v>
      </c>
      <c r="C30" s="15">
        <v>-0.1</v>
      </c>
      <c r="D30" s="15">
        <v>-0.1</v>
      </c>
      <c r="E30" s="255">
        <v>408.17796610169495</v>
      </c>
      <c r="F30" s="256">
        <v>-1.1000000000000001</v>
      </c>
      <c r="G30" s="16">
        <v>-2.2000000000000002</v>
      </c>
      <c r="H30" s="16">
        <v>-2.2000000000000002</v>
      </c>
      <c r="I30" s="5">
        <v>308.46428466997793</v>
      </c>
      <c r="J30" s="6">
        <v>12</v>
      </c>
      <c r="K30" s="6">
        <v>380.39389999999997</v>
      </c>
      <c r="L30" s="17">
        <v>0.7</v>
      </c>
      <c r="M30" s="17">
        <v>0.6</v>
      </c>
      <c r="N30" s="17">
        <v>0.6</v>
      </c>
      <c r="O30" s="16">
        <v>1.3</v>
      </c>
      <c r="P30" s="16">
        <v>0</v>
      </c>
      <c r="Q30" s="16">
        <v>92.1</v>
      </c>
      <c r="R30" s="16">
        <v>6.6</v>
      </c>
      <c r="S30" s="252">
        <v>0</v>
      </c>
      <c r="T30" s="303">
        <v>2</v>
      </c>
      <c r="U30" s="304">
        <v>1.5</v>
      </c>
      <c r="V30" s="303">
        <v>1</v>
      </c>
      <c r="W30" s="304">
        <v>0.8</v>
      </c>
      <c r="X30" s="304">
        <v>0.5</v>
      </c>
      <c r="Y30" s="5">
        <v>8446.9117123570486</v>
      </c>
      <c r="Z30" s="14">
        <v>1.33</v>
      </c>
      <c r="AA30" s="5">
        <v>157.03684923163803</v>
      </c>
      <c r="AB30" s="17">
        <v>0.6</v>
      </c>
      <c r="AC30" s="17">
        <v>0.4</v>
      </c>
      <c r="AD30" s="17">
        <v>0.4</v>
      </c>
      <c r="AE30" s="254">
        <v>0.17424004435335025</v>
      </c>
      <c r="AF30" s="254">
        <v>0.17685328942052908</v>
      </c>
      <c r="AG30" s="18">
        <v>1.2907215009659738</v>
      </c>
      <c r="AH30" s="18">
        <v>0.11006682885348625</v>
      </c>
      <c r="AI30" s="18">
        <v>2.6350627139697469</v>
      </c>
      <c r="AJ30" s="18">
        <v>78.025948619547663</v>
      </c>
      <c r="AK30" s="18">
        <v>2.224370950121326</v>
      </c>
      <c r="AL30" s="18">
        <v>0.87060505452459369</v>
      </c>
      <c r="AM30" s="18">
        <v>13.38681915503906</v>
      </c>
      <c r="AN30" s="18">
        <v>7.1851984911083175E-2</v>
      </c>
      <c r="AO30" s="18">
        <v>0.15027880791677825</v>
      </c>
      <c r="AP30" s="18">
        <v>2.0195748413483712E-4</v>
      </c>
      <c r="AQ30" s="18">
        <v>3.8506560308375612E-2</v>
      </c>
      <c r="AR30" s="18">
        <v>0</v>
      </c>
      <c r="AS30" s="18">
        <v>0</v>
      </c>
      <c r="AT30" s="18">
        <v>0</v>
      </c>
      <c r="AU30" s="18">
        <v>1.1955658663577764</v>
      </c>
      <c r="AV30" s="304">
        <v>0.3</v>
      </c>
      <c r="AW30" s="304">
        <v>0.7</v>
      </c>
      <c r="AX30" s="304">
        <v>1.2</v>
      </c>
      <c r="AY30" s="304">
        <v>1.2</v>
      </c>
      <c r="AZ30" s="303">
        <v>3</v>
      </c>
      <c r="BA30" s="6">
        <v>1.6547055773305908</v>
      </c>
      <c r="BB30" s="6">
        <v>18</v>
      </c>
      <c r="BC30" s="5">
        <f t="shared" si="348"/>
        <v>29.784700391950633</v>
      </c>
      <c r="BD30" s="17">
        <v>1.3</v>
      </c>
      <c r="BE30" s="17">
        <v>0.9</v>
      </c>
      <c r="BF30" s="17">
        <v>0.9</v>
      </c>
      <c r="BG30" s="6">
        <v>1.6547055773305908</v>
      </c>
      <c r="BH30" s="6">
        <v>18</v>
      </c>
      <c r="BI30" s="5">
        <v>8669.7000000000007</v>
      </c>
      <c r="BJ30" s="17">
        <v>1.3</v>
      </c>
      <c r="BK30" s="17">
        <v>0.9</v>
      </c>
      <c r="BL30" s="17">
        <v>0.9</v>
      </c>
      <c r="BM30" s="5">
        <v>1081.2332639882943</v>
      </c>
      <c r="BN30" s="6">
        <v>179.9</v>
      </c>
      <c r="BO30" s="6">
        <v>3903.2247457627223</v>
      </c>
      <c r="BP30" s="17">
        <v>1.3</v>
      </c>
      <c r="BQ30" s="17">
        <v>0.9</v>
      </c>
      <c r="BR30" s="17">
        <v>0.9</v>
      </c>
      <c r="BS30" s="221">
        <v>2</v>
      </c>
      <c r="BT30" s="54">
        <v>1.5</v>
      </c>
      <c r="BU30" s="54">
        <v>0.7</v>
      </c>
      <c r="BV30" s="54">
        <v>0.7</v>
      </c>
      <c r="BW30" s="54">
        <v>0.5</v>
      </c>
      <c r="BX30" s="5">
        <v>26.945270806158252</v>
      </c>
      <c r="BY30" s="5">
        <v>7868.0926016949561</v>
      </c>
      <c r="BZ30" s="17">
        <v>1.5</v>
      </c>
      <c r="CA30" s="17">
        <v>0.8</v>
      </c>
      <c r="CB30" s="17">
        <v>0.8</v>
      </c>
      <c r="CC30" s="221">
        <v>2</v>
      </c>
      <c r="CD30" s="221">
        <v>2</v>
      </c>
      <c r="CE30" s="221">
        <v>1</v>
      </c>
      <c r="CF30" s="221">
        <v>1</v>
      </c>
      <c r="CG30" s="54">
        <v>0.5</v>
      </c>
      <c r="CH30" s="5">
        <v>216.20140914250103</v>
      </c>
      <c r="CI30" s="5">
        <v>500</v>
      </c>
      <c r="CJ30" s="19">
        <v>1</v>
      </c>
      <c r="CK30" s="19">
        <v>0.5</v>
      </c>
      <c r="CL30" s="19">
        <v>0.5</v>
      </c>
      <c r="CM30" s="54">
        <v>2</v>
      </c>
      <c r="CN30" s="54">
        <v>1.5</v>
      </c>
      <c r="CO30" s="54">
        <v>0.5</v>
      </c>
      <c r="CP30" s="54">
        <v>1</v>
      </c>
      <c r="CQ30" s="54">
        <v>0.5</v>
      </c>
      <c r="CR30" s="5">
        <v>2585.5752209604179</v>
      </c>
      <c r="CS30" s="8">
        <v>29</v>
      </c>
      <c r="CT30" s="19">
        <v>1</v>
      </c>
      <c r="CU30" s="17">
        <v>0.5</v>
      </c>
      <c r="CV30" s="17">
        <v>0.5</v>
      </c>
      <c r="CW30" s="54">
        <v>2</v>
      </c>
      <c r="CX30" s="54">
        <v>1</v>
      </c>
      <c r="CY30" s="54">
        <v>0.5</v>
      </c>
      <c r="CZ30" s="54">
        <v>0.7</v>
      </c>
      <c r="DA30" s="54">
        <v>0.2</v>
      </c>
      <c r="DB30" s="403">
        <v>0</v>
      </c>
      <c r="DC30" s="403">
        <v>0</v>
      </c>
      <c r="DD30" s="403">
        <v>0</v>
      </c>
      <c r="DE30" s="403">
        <v>0</v>
      </c>
      <c r="DF30" s="403">
        <v>0</v>
      </c>
      <c r="DG30" s="403">
        <v>0</v>
      </c>
      <c r="DH30" s="403">
        <v>0</v>
      </c>
      <c r="DI30" s="403">
        <v>0</v>
      </c>
      <c r="DJ30" s="403">
        <v>0</v>
      </c>
      <c r="DK30" s="403">
        <v>0</v>
      </c>
      <c r="DL30" s="403">
        <v>0</v>
      </c>
      <c r="DM30" s="403">
        <v>0</v>
      </c>
      <c r="DN30" s="403">
        <v>0</v>
      </c>
      <c r="DO30" s="403">
        <v>0</v>
      </c>
      <c r="DP30" s="403">
        <v>0</v>
      </c>
      <c r="DQ30" s="403">
        <v>0</v>
      </c>
      <c r="DR30" s="403">
        <v>0</v>
      </c>
      <c r="DS30" s="403">
        <v>0</v>
      </c>
      <c r="DT30" s="403">
        <v>0</v>
      </c>
      <c r="DU30" s="403">
        <v>0</v>
      </c>
      <c r="DV30" s="403">
        <v>0</v>
      </c>
      <c r="DW30" s="403">
        <v>0</v>
      </c>
      <c r="DX30" s="403">
        <v>0</v>
      </c>
      <c r="DY30" s="403">
        <v>0</v>
      </c>
      <c r="DZ30" s="404">
        <v>0</v>
      </c>
      <c r="EA30" s="404">
        <v>0</v>
      </c>
      <c r="EB30" s="404">
        <v>0</v>
      </c>
      <c r="EC30" s="404">
        <v>0</v>
      </c>
      <c r="ED30" s="404">
        <v>0</v>
      </c>
      <c r="EE30" s="404">
        <v>0</v>
      </c>
      <c r="EF30" s="404">
        <v>2.3331596698950001</v>
      </c>
      <c r="EG30" s="404">
        <v>0</v>
      </c>
      <c r="EH30" s="404">
        <v>0</v>
      </c>
      <c r="EI30" s="404">
        <v>0.98609088910742004</v>
      </c>
      <c r="EJ30" s="404">
        <v>9.6999770847580005E-2</v>
      </c>
      <c r="EK30" s="404">
        <v>-0.74905005460903995</v>
      </c>
      <c r="EL30" s="404">
        <v>2.3331596698949899</v>
      </c>
      <c r="EM30" s="404">
        <v>0</v>
      </c>
      <c r="EN30" s="404">
        <v>0</v>
      </c>
      <c r="EO30" s="404">
        <v>0.98609088910742004</v>
      </c>
      <c r="EP30" s="404">
        <v>0</v>
      </c>
      <c r="EQ30" s="404">
        <v>-0.74905005460903995</v>
      </c>
      <c r="ER30" s="404">
        <v>0</v>
      </c>
      <c r="ES30" s="404">
        <v>0</v>
      </c>
      <c r="ET30" s="404">
        <v>0</v>
      </c>
      <c r="EU30" s="404">
        <v>0</v>
      </c>
      <c r="EV30" s="404">
        <v>0</v>
      </c>
      <c r="EW30" s="404">
        <v>0</v>
      </c>
      <c r="EX30" s="404">
        <v>0</v>
      </c>
      <c r="EY30" s="404">
        <v>0</v>
      </c>
      <c r="EZ30" s="404">
        <v>0</v>
      </c>
      <c r="FA30" s="404">
        <v>0</v>
      </c>
      <c r="FB30" s="404">
        <v>0</v>
      </c>
      <c r="FC30" s="404">
        <v>0</v>
      </c>
      <c r="FD30" s="404">
        <v>0</v>
      </c>
      <c r="FE30" s="404">
        <v>0</v>
      </c>
      <c r="FF30" s="404">
        <v>0</v>
      </c>
      <c r="FG30" s="404">
        <v>0</v>
      </c>
      <c r="FH30" s="404">
        <v>0</v>
      </c>
      <c r="FI30" s="404">
        <v>0</v>
      </c>
      <c r="FJ30" s="404">
        <v>0</v>
      </c>
      <c r="FK30" s="404">
        <v>0</v>
      </c>
      <c r="FL30" s="404">
        <v>0</v>
      </c>
      <c r="FM30" s="404">
        <v>0</v>
      </c>
      <c r="FN30" s="404">
        <v>0</v>
      </c>
      <c r="FO30" s="404">
        <v>0</v>
      </c>
      <c r="FP30" s="404">
        <v>0</v>
      </c>
      <c r="FQ30" s="404">
        <v>0</v>
      </c>
      <c r="FR30" s="404">
        <v>0</v>
      </c>
      <c r="FS30" s="404">
        <v>0</v>
      </c>
      <c r="FT30" s="404">
        <v>0</v>
      </c>
      <c r="FU30" s="404">
        <v>0</v>
      </c>
      <c r="FV30" s="404">
        <v>0</v>
      </c>
      <c r="FW30" s="404">
        <v>0</v>
      </c>
      <c r="FX30" s="404">
        <v>0</v>
      </c>
      <c r="FY30" s="404">
        <v>0</v>
      </c>
      <c r="FZ30" s="404">
        <v>0</v>
      </c>
      <c r="GA30" s="404">
        <v>0</v>
      </c>
      <c r="GB30" s="404">
        <v>0</v>
      </c>
      <c r="GC30" s="404">
        <v>0</v>
      </c>
      <c r="GD30" s="404">
        <v>0</v>
      </c>
      <c r="GE30" s="404">
        <v>0</v>
      </c>
      <c r="GF30" s="404">
        <v>0</v>
      </c>
      <c r="GG30" s="404">
        <v>0</v>
      </c>
      <c r="GH30" s="404">
        <v>-55.82</v>
      </c>
      <c r="GI30" s="404">
        <v>-11.99</v>
      </c>
      <c r="GJ30" s="404">
        <v>-19.61</v>
      </c>
      <c r="GK30" s="404">
        <v>-12.92</v>
      </c>
      <c r="GL30" s="404">
        <v>4.6060068064949999E-2</v>
      </c>
      <c r="GM30" s="404">
        <v>-3.91</v>
      </c>
      <c r="GN30" s="404">
        <v>0</v>
      </c>
      <c r="GO30" s="404">
        <v>0</v>
      </c>
      <c r="GP30" s="404">
        <v>0</v>
      </c>
      <c r="GQ30" s="404">
        <v>0</v>
      </c>
      <c r="GR30" s="404">
        <v>0</v>
      </c>
      <c r="GS30" s="404">
        <v>0</v>
      </c>
      <c r="GT30" s="404">
        <v>0</v>
      </c>
      <c r="GU30" s="404">
        <v>0</v>
      </c>
      <c r="GV30" s="404">
        <v>0</v>
      </c>
      <c r="GW30" s="404">
        <v>0</v>
      </c>
      <c r="GX30" s="404">
        <v>0</v>
      </c>
      <c r="GY30" s="404">
        <v>0</v>
      </c>
      <c r="GZ30" s="404">
        <v>0</v>
      </c>
      <c r="HA30" s="404">
        <v>0</v>
      </c>
      <c r="HB30" s="404">
        <v>0</v>
      </c>
      <c r="HC30" s="404">
        <v>0</v>
      </c>
      <c r="HD30" s="404">
        <v>0</v>
      </c>
      <c r="HE30" s="404">
        <v>0</v>
      </c>
      <c r="HF30" s="404">
        <v>0</v>
      </c>
      <c r="HG30" s="404">
        <v>0</v>
      </c>
      <c r="HH30" s="404">
        <v>0</v>
      </c>
      <c r="HI30" s="404">
        <v>0</v>
      </c>
      <c r="HJ30" s="404">
        <v>0</v>
      </c>
      <c r="HK30" s="404">
        <v>0</v>
      </c>
      <c r="HL30" s="397">
        <v>-0.6</v>
      </c>
      <c r="HM30" s="405">
        <v>0</v>
      </c>
      <c r="HN30" s="405">
        <v>0</v>
      </c>
      <c r="HO30" s="405">
        <v>0</v>
      </c>
      <c r="HP30" s="405">
        <v>0</v>
      </c>
      <c r="HQ30" s="397">
        <v>-3.1108822695035498</v>
      </c>
      <c r="HR30" s="397">
        <v>0.1</v>
      </c>
      <c r="HS30" s="397">
        <v>0</v>
      </c>
      <c r="HT30" s="397">
        <v>0</v>
      </c>
      <c r="HU30" s="397">
        <v>0</v>
      </c>
      <c r="HV30" s="397">
        <v>0</v>
      </c>
      <c r="HW30" s="397">
        <v>0.23</v>
      </c>
      <c r="HX30" s="397">
        <v>-9.0767508396599993E-3</v>
      </c>
      <c r="HY30" s="397">
        <v>0</v>
      </c>
      <c r="HZ30" s="397">
        <v>0</v>
      </c>
      <c r="IA30" s="397">
        <v>-2.3954794799700002E-3</v>
      </c>
      <c r="IB30" s="397">
        <v>0</v>
      </c>
      <c r="IC30" s="397">
        <v>-0.47</v>
      </c>
      <c r="ID30" s="405">
        <v>0</v>
      </c>
      <c r="IE30" s="405">
        <v>0</v>
      </c>
      <c r="IF30" s="405">
        <v>0</v>
      </c>
      <c r="IG30" s="405">
        <v>0</v>
      </c>
      <c r="IH30" s="405">
        <v>0</v>
      </c>
      <c r="II30" s="405">
        <v>0</v>
      </c>
      <c r="IJ30" s="405">
        <v>0</v>
      </c>
      <c r="IK30" s="405">
        <v>0</v>
      </c>
      <c r="IL30" s="405">
        <v>0</v>
      </c>
      <c r="IM30" s="405">
        <v>0</v>
      </c>
      <c r="IN30" s="405">
        <v>0</v>
      </c>
      <c r="IO30" s="405">
        <v>0</v>
      </c>
      <c r="IP30" s="404">
        <v>-55.82</v>
      </c>
      <c r="IQ30" s="404">
        <v>-11.99</v>
      </c>
      <c r="IR30" s="404">
        <v>-19.61</v>
      </c>
      <c r="IS30" s="404">
        <v>-12.92</v>
      </c>
      <c r="IT30" s="404">
        <v>-1.07225369578546</v>
      </c>
      <c r="IU30" s="404">
        <v>-0.59</v>
      </c>
      <c r="IV30" s="404">
        <v>-0.12913436945737</v>
      </c>
      <c r="IW30" s="404">
        <v>0</v>
      </c>
      <c r="IX30" s="404">
        <v>0</v>
      </c>
      <c r="IY30" s="404">
        <v>0</v>
      </c>
      <c r="IZ30" s="404">
        <v>-0.75737307686747002</v>
      </c>
      <c r="JA30" s="404">
        <v>0</v>
      </c>
      <c r="JB30" s="404">
        <v>-0.15496124334884001</v>
      </c>
      <c r="JC30" s="404">
        <v>0</v>
      </c>
      <c r="JD30" s="404">
        <v>0</v>
      </c>
      <c r="JE30" s="404">
        <v>0</v>
      </c>
      <c r="JF30" s="404">
        <v>-1.39367584496439</v>
      </c>
      <c r="JG30" s="404">
        <v>0</v>
      </c>
      <c r="JH30" s="404">
        <v>0</v>
      </c>
      <c r="JI30" s="404">
        <v>0</v>
      </c>
      <c r="JJ30" s="404">
        <v>0</v>
      </c>
      <c r="JK30" s="404">
        <v>0</v>
      </c>
      <c r="JL30" s="404">
        <v>0</v>
      </c>
      <c r="JM30" s="404">
        <v>0</v>
      </c>
      <c r="JN30" s="404">
        <v>-0.15496124334885</v>
      </c>
      <c r="JO30" s="404">
        <v>0</v>
      </c>
      <c r="JP30" s="404">
        <v>0</v>
      </c>
      <c r="JQ30" s="404">
        <v>0</v>
      </c>
      <c r="JR30" s="404">
        <v>-1.3435541332540599</v>
      </c>
      <c r="JS30" s="404">
        <v>0</v>
      </c>
      <c r="JT30" s="404">
        <v>-55.82</v>
      </c>
      <c r="JU30" s="404">
        <v>-11.99</v>
      </c>
      <c r="JV30" s="404">
        <v>-19.61</v>
      </c>
      <c r="JW30" s="404">
        <v>-12.92</v>
      </c>
      <c r="JX30" s="404">
        <v>-0.84497718120804999</v>
      </c>
      <c r="JY30" s="404">
        <v>-0.9</v>
      </c>
      <c r="JZ30" s="404">
        <v>0</v>
      </c>
      <c r="KA30" s="404">
        <v>0</v>
      </c>
      <c r="KB30" s="404">
        <v>0</v>
      </c>
      <c r="KC30" s="404">
        <v>0</v>
      </c>
      <c r="KD30" s="404">
        <v>0</v>
      </c>
      <c r="KE30" s="404">
        <v>0</v>
      </c>
      <c r="KF30" s="404">
        <v>0</v>
      </c>
      <c r="KG30" s="404">
        <v>0</v>
      </c>
      <c r="KH30" s="404">
        <v>0</v>
      </c>
      <c r="KI30" s="404">
        <v>0</v>
      </c>
      <c r="KJ30" s="404">
        <v>0</v>
      </c>
      <c r="KK30" s="404">
        <v>0</v>
      </c>
      <c r="KL30" s="404">
        <v>0</v>
      </c>
      <c r="KM30" s="404">
        <v>0</v>
      </c>
      <c r="KN30" s="404">
        <v>0</v>
      </c>
      <c r="KO30" s="404">
        <v>0</v>
      </c>
      <c r="KP30" s="404">
        <v>0</v>
      </c>
      <c r="KQ30" s="404">
        <v>0</v>
      </c>
      <c r="KR30" s="404">
        <v>0</v>
      </c>
      <c r="KS30" s="404">
        <v>0</v>
      </c>
      <c r="KT30" s="404">
        <v>0</v>
      </c>
      <c r="KU30" s="404">
        <v>0</v>
      </c>
      <c r="KV30" s="404">
        <v>0</v>
      </c>
      <c r="KW30" s="404">
        <v>0</v>
      </c>
      <c r="KX30" s="404">
        <v>1.0046888903139199</v>
      </c>
      <c r="KY30" s="404">
        <v>0.16710577309979999</v>
      </c>
      <c r="KZ30" s="404">
        <v>-0.20275762945598999</v>
      </c>
      <c r="LA30" s="404">
        <v>1.2390474038300001E-2</v>
      </c>
      <c r="LB30" s="404">
        <v>-5.5329298001249999E-2</v>
      </c>
      <c r="LC30" s="404">
        <v>-0.44750344212965998</v>
      </c>
      <c r="LD30" s="404">
        <v>-2.6800558377699998E-3</v>
      </c>
      <c r="LE30" s="404">
        <v>0</v>
      </c>
      <c r="LF30" s="404">
        <v>0</v>
      </c>
      <c r="LG30" s="404">
        <v>0</v>
      </c>
      <c r="LH30" s="404">
        <v>4.3345790606010001E-2</v>
      </c>
      <c r="LI30" s="404">
        <v>0</v>
      </c>
      <c r="LJ30" s="404">
        <v>0</v>
      </c>
      <c r="LK30" s="404">
        <v>0</v>
      </c>
      <c r="LL30" s="404">
        <v>0</v>
      </c>
      <c r="LM30" s="404">
        <v>0</v>
      </c>
      <c r="LN30" s="404">
        <v>0.14138326334163001</v>
      </c>
      <c r="LO30" s="404">
        <v>-6.76163329988798</v>
      </c>
      <c r="LP30" s="404">
        <v>0.12020443037641</v>
      </c>
      <c r="LQ30" s="404">
        <v>0</v>
      </c>
      <c r="LR30" s="404">
        <v>0</v>
      </c>
      <c r="LS30" s="404">
        <v>0</v>
      </c>
      <c r="LT30" s="404">
        <v>0</v>
      </c>
      <c r="LU30" s="404">
        <v>-3.11</v>
      </c>
      <c r="LV30" s="401">
        <v>6.8506595710599999E-3</v>
      </c>
      <c r="LW30" s="401">
        <v>0</v>
      </c>
      <c r="LX30" s="401">
        <v>0</v>
      </c>
      <c r="LY30" s="401">
        <v>0</v>
      </c>
      <c r="LZ30" s="401">
        <v>0</v>
      </c>
      <c r="MA30" s="401">
        <v>-0.43889541996992998</v>
      </c>
      <c r="MB30" s="404">
        <v>0</v>
      </c>
      <c r="MC30" s="404">
        <v>0</v>
      </c>
      <c r="MD30" s="404">
        <v>0</v>
      </c>
      <c r="ME30" s="404">
        <v>0</v>
      </c>
      <c r="MF30" s="404">
        <v>0</v>
      </c>
      <c r="MG30" s="404">
        <v>0</v>
      </c>
    </row>
    <row r="31" spans="1:345" ht="18" customHeight="1">
      <c r="A31" s="10" t="s">
        <v>26</v>
      </c>
      <c r="B31" s="17">
        <v>0.1</v>
      </c>
      <c r="C31" s="17">
        <v>0.1</v>
      </c>
      <c r="D31" s="17">
        <v>0.1</v>
      </c>
      <c r="E31" s="5">
        <v>0</v>
      </c>
      <c r="F31" s="253">
        <v>-3.5</v>
      </c>
      <c r="G31" s="20">
        <v>-4.5</v>
      </c>
      <c r="H31" s="20">
        <v>-4.5</v>
      </c>
      <c r="I31" s="5">
        <v>827.56904158479972</v>
      </c>
      <c r="J31" s="6">
        <v>12</v>
      </c>
      <c r="K31" s="6">
        <v>378.19599999999997</v>
      </c>
      <c r="L31" s="17">
        <v>0.6</v>
      </c>
      <c r="M31" s="17">
        <v>0.5</v>
      </c>
      <c r="N31" s="17">
        <v>0.5</v>
      </c>
      <c r="O31" s="16">
        <v>1.3</v>
      </c>
      <c r="P31" s="16">
        <v>0</v>
      </c>
      <c r="Q31" s="16">
        <v>93.6</v>
      </c>
      <c r="R31" s="16">
        <v>5.2</v>
      </c>
      <c r="S31" s="252">
        <v>0</v>
      </c>
      <c r="T31" s="303">
        <v>2</v>
      </c>
      <c r="U31" s="304">
        <v>1.5</v>
      </c>
      <c r="V31" s="303">
        <v>1</v>
      </c>
      <c r="W31" s="304">
        <v>0.8</v>
      </c>
      <c r="X31" s="304">
        <v>0.5</v>
      </c>
      <c r="Y31" s="5">
        <v>12671.393227642182</v>
      </c>
      <c r="Z31" s="14">
        <v>1.7</v>
      </c>
      <c r="AA31" s="5">
        <v>136.1854655249945</v>
      </c>
      <c r="AB31" s="17">
        <v>0.8</v>
      </c>
      <c r="AC31" s="17">
        <v>0.5</v>
      </c>
      <c r="AD31" s="17">
        <v>0.5</v>
      </c>
      <c r="AE31" s="254">
        <v>0.19156923089066447</v>
      </c>
      <c r="AF31" s="254">
        <v>0.1807891790858096</v>
      </c>
      <c r="AG31" s="18">
        <v>0</v>
      </c>
      <c r="AH31" s="18">
        <v>7.6062111079409495E-3</v>
      </c>
      <c r="AI31" s="18">
        <v>8.5554531963388332</v>
      </c>
      <c r="AJ31" s="18">
        <v>33.667408136230179</v>
      </c>
      <c r="AK31" s="18">
        <v>3.5262459985779975</v>
      </c>
      <c r="AL31" s="18">
        <v>3.544004706057482</v>
      </c>
      <c r="AM31" s="18">
        <v>41.852148313934769</v>
      </c>
      <c r="AN31" s="18">
        <v>5.5593894921989004E-2</v>
      </c>
      <c r="AO31" s="18">
        <v>0.24369255759991068</v>
      </c>
      <c r="AP31" s="18">
        <v>4.8640577471382044E-3</v>
      </c>
      <c r="AQ31" s="18">
        <v>0</v>
      </c>
      <c r="AR31" s="18">
        <v>0</v>
      </c>
      <c r="AS31" s="18">
        <v>0</v>
      </c>
      <c r="AT31" s="18">
        <v>3.2873195646766253E-2</v>
      </c>
      <c r="AU31" s="18">
        <v>8.5101097318369892</v>
      </c>
      <c r="AV31" s="304">
        <v>0.3</v>
      </c>
      <c r="AW31" s="304">
        <v>0.7</v>
      </c>
      <c r="AX31" s="304">
        <v>1.2</v>
      </c>
      <c r="AY31" s="304">
        <v>1.2</v>
      </c>
      <c r="AZ31" s="303">
        <v>3</v>
      </c>
      <c r="BA31" s="6">
        <v>5.1316588915851735</v>
      </c>
      <c r="BB31" s="6">
        <v>18</v>
      </c>
      <c r="BC31" s="5">
        <f t="shared" si="348"/>
        <v>92.369860048533127</v>
      </c>
      <c r="BD31" s="17">
        <v>1.6</v>
      </c>
      <c r="BE31" s="17">
        <v>1.2</v>
      </c>
      <c r="BF31" s="17">
        <v>1.2</v>
      </c>
      <c r="BG31" s="6">
        <v>5.1316588915851735</v>
      </c>
      <c r="BH31" s="6">
        <v>18</v>
      </c>
      <c r="BI31" s="5">
        <v>0</v>
      </c>
      <c r="BJ31" s="17">
        <v>1.6</v>
      </c>
      <c r="BK31" s="17">
        <v>1.2</v>
      </c>
      <c r="BL31" s="17">
        <v>1.2</v>
      </c>
      <c r="BM31" s="5">
        <v>697.22550988440969</v>
      </c>
      <c r="BN31" s="6">
        <v>179.9</v>
      </c>
      <c r="BO31" s="6">
        <v>1323.54000000001</v>
      </c>
      <c r="BP31" s="17">
        <v>1.6</v>
      </c>
      <c r="BQ31" s="17">
        <v>1.2</v>
      </c>
      <c r="BR31" s="17">
        <v>1.2</v>
      </c>
      <c r="BS31" s="221">
        <v>2</v>
      </c>
      <c r="BT31" s="54">
        <v>1.5</v>
      </c>
      <c r="BU31" s="54">
        <v>0.7</v>
      </c>
      <c r="BV31" s="54">
        <v>0.7</v>
      </c>
      <c r="BW31" s="54">
        <v>0.5</v>
      </c>
      <c r="BX31" s="5"/>
      <c r="BY31" s="5">
        <v>5600.6640000000407</v>
      </c>
      <c r="BZ31" s="17">
        <v>1.9</v>
      </c>
      <c r="CA31" s="17">
        <v>1.1000000000000001</v>
      </c>
      <c r="CB31" s="17">
        <v>1.1000000000000001</v>
      </c>
      <c r="CC31" s="221">
        <v>2</v>
      </c>
      <c r="CD31" s="221">
        <v>2</v>
      </c>
      <c r="CE31" s="221">
        <v>1</v>
      </c>
      <c r="CF31" s="221">
        <v>1</v>
      </c>
      <c r="CG31" s="54">
        <v>0.5</v>
      </c>
      <c r="CH31" s="5"/>
      <c r="CI31" s="5">
        <v>500</v>
      </c>
      <c r="CJ31" s="19">
        <v>1.5</v>
      </c>
      <c r="CK31" s="19">
        <v>0.7</v>
      </c>
      <c r="CL31" s="19">
        <v>0.7</v>
      </c>
      <c r="CM31" s="54">
        <v>2</v>
      </c>
      <c r="CN31" s="54">
        <v>1.5</v>
      </c>
      <c r="CO31" s="54">
        <v>0.5</v>
      </c>
      <c r="CP31" s="54">
        <v>1</v>
      </c>
      <c r="CQ31" s="54">
        <v>0.5</v>
      </c>
      <c r="CR31" s="5"/>
      <c r="CS31" s="8">
        <v>29</v>
      </c>
      <c r="CT31" s="19">
        <v>1</v>
      </c>
      <c r="CU31" s="17">
        <v>0.7</v>
      </c>
      <c r="CV31" s="17">
        <v>0.7</v>
      </c>
      <c r="CW31" s="54">
        <v>2</v>
      </c>
      <c r="CX31" s="54">
        <v>1</v>
      </c>
      <c r="CY31" s="54">
        <v>0.5</v>
      </c>
      <c r="CZ31" s="54">
        <v>0.7</v>
      </c>
      <c r="DA31" s="54">
        <v>0.2</v>
      </c>
      <c r="DB31" s="403">
        <v>0</v>
      </c>
      <c r="DC31" s="403">
        <v>0</v>
      </c>
      <c r="DD31" s="403">
        <v>0</v>
      </c>
      <c r="DE31" s="403">
        <v>0</v>
      </c>
      <c r="DF31" s="403">
        <v>0</v>
      </c>
      <c r="DG31" s="403">
        <v>0</v>
      </c>
      <c r="DH31" s="403">
        <v>0</v>
      </c>
      <c r="DI31" s="403">
        <v>0</v>
      </c>
      <c r="DJ31" s="403">
        <v>0</v>
      </c>
      <c r="DK31" s="403">
        <v>0</v>
      </c>
      <c r="DL31" s="403">
        <v>0</v>
      </c>
      <c r="DM31" s="403">
        <v>0</v>
      </c>
      <c r="DN31" s="403">
        <v>0</v>
      </c>
      <c r="DO31" s="403">
        <v>0</v>
      </c>
      <c r="DP31" s="403">
        <v>0</v>
      </c>
      <c r="DQ31" s="403">
        <v>0</v>
      </c>
      <c r="DR31" s="403">
        <v>0</v>
      </c>
      <c r="DS31" s="403">
        <v>0</v>
      </c>
      <c r="DT31" s="403">
        <v>0</v>
      </c>
      <c r="DU31" s="403">
        <v>0</v>
      </c>
      <c r="DV31" s="403">
        <v>0</v>
      </c>
      <c r="DW31" s="403">
        <v>0</v>
      </c>
      <c r="DX31" s="403">
        <v>0</v>
      </c>
      <c r="DY31" s="403">
        <v>0</v>
      </c>
      <c r="DZ31" s="404">
        <v>0</v>
      </c>
      <c r="EA31" s="404">
        <v>0</v>
      </c>
      <c r="EB31" s="404">
        <v>0</v>
      </c>
      <c r="EC31" s="404">
        <v>0</v>
      </c>
      <c r="ED31" s="404">
        <v>0</v>
      </c>
      <c r="EE31" s="404">
        <v>0</v>
      </c>
      <c r="EF31" s="404">
        <v>2.3331596698950001</v>
      </c>
      <c r="EG31" s="404">
        <v>0</v>
      </c>
      <c r="EH31" s="404">
        <v>0</v>
      </c>
      <c r="EI31" s="404">
        <v>0.98609088910742004</v>
      </c>
      <c r="EJ31" s="404">
        <v>9.6999770847580005E-2</v>
      </c>
      <c r="EK31" s="404">
        <v>-0.74905005460903995</v>
      </c>
      <c r="EL31" s="404">
        <v>2.3331596698949899</v>
      </c>
      <c r="EM31" s="404">
        <v>0</v>
      </c>
      <c r="EN31" s="404">
        <v>0</v>
      </c>
      <c r="EO31" s="404">
        <v>0.98609088910742004</v>
      </c>
      <c r="EP31" s="404">
        <v>0</v>
      </c>
      <c r="EQ31" s="404">
        <v>-0.74905005460903995</v>
      </c>
      <c r="ER31" s="404">
        <v>0</v>
      </c>
      <c r="ES31" s="404">
        <v>0</v>
      </c>
      <c r="ET31" s="404">
        <v>0</v>
      </c>
      <c r="EU31" s="404">
        <v>0</v>
      </c>
      <c r="EV31" s="404">
        <v>0</v>
      </c>
      <c r="EW31" s="404">
        <v>0</v>
      </c>
      <c r="EX31" s="404">
        <v>0</v>
      </c>
      <c r="EY31" s="404">
        <v>0</v>
      </c>
      <c r="EZ31" s="404">
        <v>0</v>
      </c>
      <c r="FA31" s="404">
        <v>0</v>
      </c>
      <c r="FB31" s="404">
        <v>0</v>
      </c>
      <c r="FC31" s="404">
        <v>0</v>
      </c>
      <c r="FD31" s="404">
        <v>0</v>
      </c>
      <c r="FE31" s="404">
        <v>0</v>
      </c>
      <c r="FF31" s="404">
        <v>0</v>
      </c>
      <c r="FG31" s="404">
        <v>0</v>
      </c>
      <c r="FH31" s="404">
        <v>0</v>
      </c>
      <c r="FI31" s="404">
        <v>0</v>
      </c>
      <c r="FJ31" s="404">
        <v>0</v>
      </c>
      <c r="FK31" s="404">
        <v>0</v>
      </c>
      <c r="FL31" s="404">
        <v>0</v>
      </c>
      <c r="FM31" s="404">
        <v>0</v>
      </c>
      <c r="FN31" s="404">
        <v>0</v>
      </c>
      <c r="FO31" s="404">
        <v>0</v>
      </c>
      <c r="FP31" s="404">
        <v>0</v>
      </c>
      <c r="FQ31" s="404">
        <v>0</v>
      </c>
      <c r="FR31" s="404">
        <v>0</v>
      </c>
      <c r="FS31" s="404">
        <v>0</v>
      </c>
      <c r="FT31" s="404">
        <v>0</v>
      </c>
      <c r="FU31" s="404">
        <v>0</v>
      </c>
      <c r="FV31" s="404">
        <v>0</v>
      </c>
      <c r="FW31" s="404">
        <v>0</v>
      </c>
      <c r="FX31" s="404">
        <v>0</v>
      </c>
      <c r="FY31" s="404">
        <v>0</v>
      </c>
      <c r="FZ31" s="404">
        <v>0</v>
      </c>
      <c r="GA31" s="404">
        <v>0</v>
      </c>
      <c r="GB31" s="404">
        <v>0</v>
      </c>
      <c r="GC31" s="404">
        <v>0</v>
      </c>
      <c r="GD31" s="404">
        <v>0</v>
      </c>
      <c r="GE31" s="404">
        <v>0</v>
      </c>
      <c r="GF31" s="404">
        <v>0</v>
      </c>
      <c r="GG31" s="404">
        <v>0</v>
      </c>
      <c r="GH31" s="404">
        <v>-55.82</v>
      </c>
      <c r="GI31" s="404">
        <v>-11.99</v>
      </c>
      <c r="GJ31" s="404">
        <v>-19.61</v>
      </c>
      <c r="GK31" s="404">
        <v>-12.92</v>
      </c>
      <c r="GL31" s="404">
        <v>4.6060068064949999E-2</v>
      </c>
      <c r="GM31" s="404">
        <v>-3.91</v>
      </c>
      <c r="GN31" s="404">
        <v>0</v>
      </c>
      <c r="GO31" s="404">
        <v>0</v>
      </c>
      <c r="GP31" s="404">
        <v>0</v>
      </c>
      <c r="GQ31" s="404">
        <v>0</v>
      </c>
      <c r="GR31" s="404">
        <v>0</v>
      </c>
      <c r="GS31" s="404">
        <v>0</v>
      </c>
      <c r="GT31" s="404">
        <v>0</v>
      </c>
      <c r="GU31" s="404">
        <v>0</v>
      </c>
      <c r="GV31" s="404">
        <v>0</v>
      </c>
      <c r="GW31" s="404">
        <v>0</v>
      </c>
      <c r="GX31" s="404">
        <v>0</v>
      </c>
      <c r="GY31" s="404">
        <v>0</v>
      </c>
      <c r="GZ31" s="404">
        <v>0</v>
      </c>
      <c r="HA31" s="404">
        <v>0</v>
      </c>
      <c r="HB31" s="404">
        <v>0</v>
      </c>
      <c r="HC31" s="404">
        <v>0</v>
      </c>
      <c r="HD31" s="404">
        <v>0</v>
      </c>
      <c r="HE31" s="404">
        <v>0</v>
      </c>
      <c r="HF31" s="404">
        <v>0</v>
      </c>
      <c r="HG31" s="404">
        <v>0</v>
      </c>
      <c r="HH31" s="404">
        <v>0</v>
      </c>
      <c r="HI31" s="404">
        <v>0</v>
      </c>
      <c r="HJ31" s="404">
        <v>0</v>
      </c>
      <c r="HK31" s="404">
        <v>0</v>
      </c>
      <c r="HL31" s="397">
        <v>-0.6</v>
      </c>
      <c r="HM31" s="405">
        <v>0</v>
      </c>
      <c r="HN31" s="405">
        <v>0</v>
      </c>
      <c r="HO31" s="405">
        <v>0</v>
      </c>
      <c r="HP31" s="405">
        <v>0</v>
      </c>
      <c r="HQ31" s="397">
        <v>-3.1108822695035498</v>
      </c>
      <c r="HR31" s="397">
        <v>0.1</v>
      </c>
      <c r="HS31" s="397">
        <v>0</v>
      </c>
      <c r="HT31" s="397">
        <v>0</v>
      </c>
      <c r="HU31" s="397">
        <v>0</v>
      </c>
      <c r="HV31" s="397">
        <v>0</v>
      </c>
      <c r="HW31" s="397">
        <v>0.23</v>
      </c>
      <c r="HX31" s="397">
        <v>-9.0767508396599993E-3</v>
      </c>
      <c r="HY31" s="397">
        <v>0</v>
      </c>
      <c r="HZ31" s="397">
        <v>0</v>
      </c>
      <c r="IA31" s="397">
        <v>-2.3954794799700002E-3</v>
      </c>
      <c r="IB31" s="397">
        <v>0</v>
      </c>
      <c r="IC31" s="397">
        <v>-0.47</v>
      </c>
      <c r="ID31" s="405">
        <v>0</v>
      </c>
      <c r="IE31" s="405">
        <v>0</v>
      </c>
      <c r="IF31" s="405">
        <v>0</v>
      </c>
      <c r="IG31" s="405">
        <v>0</v>
      </c>
      <c r="IH31" s="405">
        <v>0</v>
      </c>
      <c r="II31" s="405">
        <v>0</v>
      </c>
      <c r="IJ31" s="405">
        <v>0</v>
      </c>
      <c r="IK31" s="405">
        <v>0</v>
      </c>
      <c r="IL31" s="405">
        <v>0</v>
      </c>
      <c r="IM31" s="405">
        <v>0</v>
      </c>
      <c r="IN31" s="405">
        <v>0</v>
      </c>
      <c r="IO31" s="405">
        <v>0</v>
      </c>
      <c r="IP31" s="404">
        <v>-55.82</v>
      </c>
      <c r="IQ31" s="404">
        <v>-11.99</v>
      </c>
      <c r="IR31" s="404">
        <v>-19.61</v>
      </c>
      <c r="IS31" s="404">
        <v>-12.92</v>
      </c>
      <c r="IT31" s="404">
        <v>-1.07225369578546</v>
      </c>
      <c r="IU31" s="404">
        <v>-0.59</v>
      </c>
      <c r="IV31" s="404">
        <v>-0.12913436945737</v>
      </c>
      <c r="IW31" s="404">
        <v>0</v>
      </c>
      <c r="IX31" s="404">
        <v>0</v>
      </c>
      <c r="IY31" s="404">
        <v>0</v>
      </c>
      <c r="IZ31" s="404">
        <v>-0.75737307686747002</v>
      </c>
      <c r="JA31" s="404">
        <v>0</v>
      </c>
      <c r="JB31" s="404">
        <v>-0.15496124334884001</v>
      </c>
      <c r="JC31" s="404">
        <v>0</v>
      </c>
      <c r="JD31" s="404">
        <v>0</v>
      </c>
      <c r="JE31" s="404">
        <v>0</v>
      </c>
      <c r="JF31" s="404">
        <v>-1.39367584496439</v>
      </c>
      <c r="JG31" s="404">
        <v>0</v>
      </c>
      <c r="JH31" s="404">
        <v>0</v>
      </c>
      <c r="JI31" s="404">
        <v>0</v>
      </c>
      <c r="JJ31" s="404">
        <v>0</v>
      </c>
      <c r="JK31" s="404">
        <v>0</v>
      </c>
      <c r="JL31" s="404">
        <v>0</v>
      </c>
      <c r="JM31" s="404">
        <v>0</v>
      </c>
      <c r="JN31" s="404">
        <v>-0.15496124334885</v>
      </c>
      <c r="JO31" s="404">
        <v>0</v>
      </c>
      <c r="JP31" s="404">
        <v>0</v>
      </c>
      <c r="JQ31" s="404">
        <v>0</v>
      </c>
      <c r="JR31" s="404">
        <v>-1.3435541332540599</v>
      </c>
      <c r="JS31" s="404">
        <v>0</v>
      </c>
      <c r="JT31" s="404">
        <v>-55.82</v>
      </c>
      <c r="JU31" s="404">
        <v>-11.99</v>
      </c>
      <c r="JV31" s="404">
        <v>-19.61</v>
      </c>
      <c r="JW31" s="404">
        <v>-12.92</v>
      </c>
      <c r="JX31" s="404">
        <v>-0.84497718120804999</v>
      </c>
      <c r="JY31" s="404">
        <v>-0.9</v>
      </c>
      <c r="JZ31" s="404">
        <v>0</v>
      </c>
      <c r="KA31" s="404">
        <v>0</v>
      </c>
      <c r="KB31" s="404">
        <v>0</v>
      </c>
      <c r="KC31" s="404">
        <v>0</v>
      </c>
      <c r="KD31" s="404">
        <v>0</v>
      </c>
      <c r="KE31" s="404">
        <v>0</v>
      </c>
      <c r="KF31" s="404">
        <v>0</v>
      </c>
      <c r="KG31" s="404">
        <v>0</v>
      </c>
      <c r="KH31" s="404">
        <v>0</v>
      </c>
      <c r="KI31" s="404">
        <v>0</v>
      </c>
      <c r="KJ31" s="404">
        <v>0</v>
      </c>
      <c r="KK31" s="404">
        <v>0</v>
      </c>
      <c r="KL31" s="404">
        <v>0</v>
      </c>
      <c r="KM31" s="404">
        <v>0</v>
      </c>
      <c r="KN31" s="404">
        <v>0</v>
      </c>
      <c r="KO31" s="404">
        <v>0</v>
      </c>
      <c r="KP31" s="404">
        <v>0</v>
      </c>
      <c r="KQ31" s="404">
        <v>0</v>
      </c>
      <c r="KR31" s="404">
        <v>0</v>
      </c>
      <c r="KS31" s="404">
        <v>0</v>
      </c>
      <c r="KT31" s="404">
        <v>0</v>
      </c>
      <c r="KU31" s="404">
        <v>0</v>
      </c>
      <c r="KV31" s="404">
        <v>0</v>
      </c>
      <c r="KW31" s="404">
        <v>0</v>
      </c>
      <c r="KX31" s="404">
        <v>1.0046888903139199</v>
      </c>
      <c r="KY31" s="404">
        <v>0.16710577309979999</v>
      </c>
      <c r="KZ31" s="404">
        <v>-0.20275762945598999</v>
      </c>
      <c r="LA31" s="404">
        <v>1.2390474038300001E-2</v>
      </c>
      <c r="LB31" s="404">
        <v>-5.5329298001249999E-2</v>
      </c>
      <c r="LC31" s="404">
        <v>-0.44750344212965998</v>
      </c>
      <c r="LD31" s="404">
        <v>-2.6800558377699998E-3</v>
      </c>
      <c r="LE31" s="404">
        <v>0</v>
      </c>
      <c r="LF31" s="404">
        <v>0</v>
      </c>
      <c r="LG31" s="404">
        <v>0</v>
      </c>
      <c r="LH31" s="404">
        <v>4.3345790606010001E-2</v>
      </c>
      <c r="LI31" s="404">
        <v>0</v>
      </c>
      <c r="LJ31" s="404">
        <v>0</v>
      </c>
      <c r="LK31" s="404">
        <v>0</v>
      </c>
      <c r="LL31" s="404">
        <v>0</v>
      </c>
      <c r="LM31" s="404">
        <v>0</v>
      </c>
      <c r="LN31" s="404">
        <v>0.14138326334163001</v>
      </c>
      <c r="LO31" s="404">
        <v>-6.76163329988798</v>
      </c>
      <c r="LP31" s="404">
        <v>0.12020443037641</v>
      </c>
      <c r="LQ31" s="404">
        <v>0</v>
      </c>
      <c r="LR31" s="404">
        <v>0</v>
      </c>
      <c r="LS31" s="404">
        <v>0</v>
      </c>
      <c r="LT31" s="404">
        <v>0</v>
      </c>
      <c r="LU31" s="404">
        <v>-3.11</v>
      </c>
      <c r="LV31" s="401">
        <v>6.8506595710599999E-3</v>
      </c>
      <c r="LW31" s="401">
        <v>0</v>
      </c>
      <c r="LX31" s="401">
        <v>0</v>
      </c>
      <c r="LY31" s="401">
        <v>0</v>
      </c>
      <c r="LZ31" s="401">
        <v>0</v>
      </c>
      <c r="MA31" s="401">
        <v>-0.43889541996992998</v>
      </c>
      <c r="MB31" s="404">
        <v>0</v>
      </c>
      <c r="MC31" s="404">
        <v>0</v>
      </c>
      <c r="MD31" s="404">
        <v>0</v>
      </c>
      <c r="ME31" s="404">
        <v>0</v>
      </c>
      <c r="MF31" s="404">
        <v>0</v>
      </c>
      <c r="MG31" s="404">
        <v>0</v>
      </c>
    </row>
    <row r="32" spans="1:345" ht="18" customHeight="1">
      <c r="A32" s="10" t="s">
        <v>20</v>
      </c>
      <c r="B32" s="15">
        <v>-0.2</v>
      </c>
      <c r="C32" s="15">
        <v>-0.4</v>
      </c>
      <c r="D32" s="15">
        <v>-0.4</v>
      </c>
      <c r="E32" s="255">
        <v>794.75624256837102</v>
      </c>
      <c r="F32" s="256">
        <v>-1.6</v>
      </c>
      <c r="G32" s="16">
        <v>-7.6</v>
      </c>
      <c r="H32" s="16">
        <v>-7.6</v>
      </c>
      <c r="I32" s="5">
        <v>940.55528715741809</v>
      </c>
      <c r="J32" s="6">
        <v>12</v>
      </c>
      <c r="K32" s="6">
        <v>370.37630000000001</v>
      </c>
      <c r="L32" s="17">
        <v>0.8</v>
      </c>
      <c r="M32" s="17">
        <v>0.3</v>
      </c>
      <c r="N32" s="17" t="s">
        <v>136</v>
      </c>
      <c r="O32" s="16">
        <v>4</v>
      </c>
      <c r="P32" s="16">
        <v>0.8</v>
      </c>
      <c r="Q32" s="16">
        <v>94.5</v>
      </c>
      <c r="R32" s="16">
        <v>0.8</v>
      </c>
      <c r="S32" s="252">
        <v>0</v>
      </c>
      <c r="T32" s="303">
        <v>2</v>
      </c>
      <c r="U32" s="304">
        <v>1.5</v>
      </c>
      <c r="V32" s="303">
        <v>1</v>
      </c>
      <c r="W32" s="304">
        <v>0.8</v>
      </c>
      <c r="X32" s="304">
        <v>0.5</v>
      </c>
      <c r="Y32" s="5">
        <v>5777.7793226070908</v>
      </c>
      <c r="Z32" s="14">
        <v>1.97</v>
      </c>
      <c r="AA32" s="5">
        <v>154.20036441974875</v>
      </c>
      <c r="AB32" s="17">
        <v>1.5</v>
      </c>
      <c r="AC32" s="17">
        <v>0.9</v>
      </c>
      <c r="AD32" s="17">
        <v>0.9</v>
      </c>
      <c r="AE32" s="254">
        <v>0.17355445270807138</v>
      </c>
      <c r="AF32" s="254">
        <v>0.17520491606183902</v>
      </c>
      <c r="AG32" s="18">
        <v>11.763843291578519</v>
      </c>
      <c r="AH32" s="18">
        <v>1.9726461152764895E-2</v>
      </c>
      <c r="AI32" s="18">
        <v>13.881744036934723</v>
      </c>
      <c r="AJ32" s="18">
        <v>45.208209262259338</v>
      </c>
      <c r="AK32" s="18">
        <v>8.0489617836227809E-2</v>
      </c>
      <c r="AL32" s="18"/>
      <c r="AM32" s="18">
        <v>26.938310406683975</v>
      </c>
      <c r="AN32" s="18">
        <v>9.502639351009326E-3</v>
      </c>
      <c r="AO32" s="18"/>
      <c r="AP32" s="18">
        <v>3.5352080918933507E-6</v>
      </c>
      <c r="AQ32" s="18">
        <v>6.5047828890837651E-4</v>
      </c>
      <c r="AR32" s="18">
        <v>4.8432350858938907E-4</v>
      </c>
      <c r="AS32" s="18">
        <v>0</v>
      </c>
      <c r="AT32" s="18">
        <v>2.0786670059523713</v>
      </c>
      <c r="AU32" s="18">
        <v>1.836894124547785E-2</v>
      </c>
      <c r="AV32" s="304">
        <v>0.3</v>
      </c>
      <c r="AW32" s="304">
        <v>0.7</v>
      </c>
      <c r="AX32" s="304">
        <v>1.2</v>
      </c>
      <c r="AY32" s="304">
        <v>1.2</v>
      </c>
      <c r="AZ32" s="303">
        <v>3</v>
      </c>
      <c r="BA32" s="6">
        <v>3.1949396729739079</v>
      </c>
      <c r="BB32" s="6">
        <v>18</v>
      </c>
      <c r="BC32" s="5">
        <f t="shared" si="348"/>
        <v>57.508914113530345</v>
      </c>
      <c r="BD32" s="17">
        <v>3.9</v>
      </c>
      <c r="BE32" s="17">
        <v>1.1000000000000001</v>
      </c>
      <c r="BF32" s="17">
        <v>1.1000000000000001</v>
      </c>
      <c r="BG32" s="6">
        <v>3.1949396729739079</v>
      </c>
      <c r="BH32" s="6">
        <v>18</v>
      </c>
      <c r="BI32" s="5">
        <v>18470.135077288942</v>
      </c>
      <c r="BJ32" s="17">
        <v>3.9</v>
      </c>
      <c r="BK32" s="17">
        <v>1.1000000000000001</v>
      </c>
      <c r="BL32" s="17">
        <v>1.1000000000000001</v>
      </c>
      <c r="BM32" s="5">
        <v>556.10463646657934</v>
      </c>
      <c r="BN32" s="6">
        <v>179.9</v>
      </c>
      <c r="BO32" s="6">
        <v>8943.4016291840053</v>
      </c>
      <c r="BP32" s="17">
        <v>3.9</v>
      </c>
      <c r="BQ32" s="17">
        <v>1.1000000000000001</v>
      </c>
      <c r="BR32" s="17">
        <v>1.1000000000000001</v>
      </c>
      <c r="BS32" s="221">
        <v>2</v>
      </c>
      <c r="BT32" s="54">
        <v>1.5</v>
      </c>
      <c r="BU32" s="54">
        <v>0.7</v>
      </c>
      <c r="BV32" s="54">
        <v>0.7</v>
      </c>
      <c r="BW32" s="54">
        <v>0.5</v>
      </c>
      <c r="BX32" s="5">
        <v>195.3843386505196</v>
      </c>
      <c r="BY32" s="5">
        <v>9183.0825726675175</v>
      </c>
      <c r="BZ32" s="17">
        <v>2.4</v>
      </c>
      <c r="CA32" s="17">
        <v>0.9</v>
      </c>
      <c r="CB32" s="17">
        <v>0.9</v>
      </c>
      <c r="CC32" s="221">
        <v>2</v>
      </c>
      <c r="CD32" s="221">
        <v>2</v>
      </c>
      <c r="CE32" s="221">
        <v>1</v>
      </c>
      <c r="CF32" s="221">
        <v>1</v>
      </c>
      <c r="CG32" s="54">
        <v>0.5</v>
      </c>
      <c r="CH32" s="5">
        <v>624.76573460555664</v>
      </c>
      <c r="CI32" s="5">
        <v>500</v>
      </c>
      <c r="CJ32" s="19">
        <v>2.2999999999999998</v>
      </c>
      <c r="CK32" s="19">
        <v>1.1000000000000001</v>
      </c>
      <c r="CL32" s="19">
        <v>1.1000000000000001</v>
      </c>
      <c r="CM32" s="54">
        <v>2</v>
      </c>
      <c r="CN32" s="54">
        <v>1.5</v>
      </c>
      <c r="CO32" s="54">
        <v>0.5</v>
      </c>
      <c r="CP32" s="54">
        <v>1</v>
      </c>
      <c r="CQ32" s="54">
        <v>0.5</v>
      </c>
      <c r="CR32" s="5">
        <v>2.034883667154237</v>
      </c>
      <c r="CS32" s="8">
        <v>29</v>
      </c>
      <c r="CT32" s="17">
        <v>2.8</v>
      </c>
      <c r="CU32" s="17">
        <v>1.4</v>
      </c>
      <c r="CV32" s="17">
        <v>1.4</v>
      </c>
      <c r="CW32" s="54">
        <v>2</v>
      </c>
      <c r="CX32" s="54">
        <v>1</v>
      </c>
      <c r="CY32" s="54">
        <v>0.5</v>
      </c>
      <c r="CZ32" s="54">
        <v>0.7</v>
      </c>
      <c r="DA32" s="54">
        <v>0.2</v>
      </c>
      <c r="DB32" s="403">
        <v>0</v>
      </c>
      <c r="DC32" s="403">
        <v>0</v>
      </c>
      <c r="DD32" s="403">
        <v>0</v>
      </c>
      <c r="DE32" s="403">
        <v>0</v>
      </c>
      <c r="DF32" s="403">
        <v>0</v>
      </c>
      <c r="DG32" s="403">
        <v>0</v>
      </c>
      <c r="DH32" s="403">
        <v>0</v>
      </c>
      <c r="DI32" s="403">
        <v>0</v>
      </c>
      <c r="DJ32" s="403">
        <v>0</v>
      </c>
      <c r="DK32" s="403">
        <v>0</v>
      </c>
      <c r="DL32" s="403">
        <v>0</v>
      </c>
      <c r="DM32" s="403">
        <v>0</v>
      </c>
      <c r="DN32" s="403">
        <v>0</v>
      </c>
      <c r="DO32" s="403">
        <v>0</v>
      </c>
      <c r="DP32" s="403">
        <v>0</v>
      </c>
      <c r="DQ32" s="403">
        <v>0</v>
      </c>
      <c r="DR32" s="403">
        <v>0</v>
      </c>
      <c r="DS32" s="403">
        <v>0</v>
      </c>
      <c r="DT32" s="403">
        <v>0</v>
      </c>
      <c r="DU32" s="403">
        <v>0</v>
      </c>
      <c r="DV32" s="403">
        <v>0</v>
      </c>
      <c r="DW32" s="403">
        <v>0</v>
      </c>
      <c r="DX32" s="403">
        <v>0</v>
      </c>
      <c r="DY32" s="403">
        <v>0</v>
      </c>
      <c r="DZ32" s="404">
        <v>0</v>
      </c>
      <c r="EA32" s="404">
        <v>0</v>
      </c>
      <c r="EB32" s="404">
        <v>0</v>
      </c>
      <c r="EC32" s="404">
        <v>0</v>
      </c>
      <c r="ED32" s="404">
        <v>0</v>
      </c>
      <c r="EE32" s="404">
        <v>0</v>
      </c>
      <c r="EF32" s="404">
        <v>2.3331596698950001</v>
      </c>
      <c r="EG32" s="404">
        <v>0</v>
      </c>
      <c r="EH32" s="404">
        <v>0</v>
      </c>
      <c r="EI32" s="404">
        <v>0.98609088910742004</v>
      </c>
      <c r="EJ32" s="404">
        <v>9.6999770847580005E-2</v>
      </c>
      <c r="EK32" s="404">
        <v>-0.74905005460903995</v>
      </c>
      <c r="EL32" s="404">
        <v>2.3331596698949899</v>
      </c>
      <c r="EM32" s="404">
        <v>0</v>
      </c>
      <c r="EN32" s="404">
        <v>0</v>
      </c>
      <c r="EO32" s="404">
        <v>0.98609088910742004</v>
      </c>
      <c r="EP32" s="404">
        <v>0</v>
      </c>
      <c r="EQ32" s="404">
        <v>-0.74905005460903995</v>
      </c>
      <c r="ER32" s="404">
        <v>0</v>
      </c>
      <c r="ES32" s="404">
        <v>0</v>
      </c>
      <c r="ET32" s="404">
        <v>0</v>
      </c>
      <c r="EU32" s="404">
        <v>0</v>
      </c>
      <c r="EV32" s="404">
        <v>0</v>
      </c>
      <c r="EW32" s="404">
        <v>0</v>
      </c>
      <c r="EX32" s="404">
        <v>0</v>
      </c>
      <c r="EY32" s="404">
        <v>0</v>
      </c>
      <c r="EZ32" s="404">
        <v>0</v>
      </c>
      <c r="FA32" s="404">
        <v>0</v>
      </c>
      <c r="FB32" s="404">
        <v>0</v>
      </c>
      <c r="FC32" s="404">
        <v>0</v>
      </c>
      <c r="FD32" s="404">
        <v>0</v>
      </c>
      <c r="FE32" s="404">
        <v>0</v>
      </c>
      <c r="FF32" s="404">
        <v>0</v>
      </c>
      <c r="FG32" s="404">
        <v>0</v>
      </c>
      <c r="FH32" s="404">
        <v>0</v>
      </c>
      <c r="FI32" s="404">
        <v>0</v>
      </c>
      <c r="FJ32" s="404">
        <v>0</v>
      </c>
      <c r="FK32" s="404">
        <v>0</v>
      </c>
      <c r="FL32" s="404">
        <v>0</v>
      </c>
      <c r="FM32" s="404">
        <v>0</v>
      </c>
      <c r="FN32" s="404">
        <v>0</v>
      </c>
      <c r="FO32" s="404">
        <v>0</v>
      </c>
      <c r="FP32" s="404">
        <v>0</v>
      </c>
      <c r="FQ32" s="404">
        <v>0</v>
      </c>
      <c r="FR32" s="404">
        <v>0</v>
      </c>
      <c r="FS32" s="404">
        <v>0</v>
      </c>
      <c r="FT32" s="404">
        <v>0</v>
      </c>
      <c r="FU32" s="404">
        <v>0</v>
      </c>
      <c r="FV32" s="404">
        <v>0</v>
      </c>
      <c r="FW32" s="404">
        <v>0</v>
      </c>
      <c r="FX32" s="404">
        <v>0</v>
      </c>
      <c r="FY32" s="404">
        <v>0</v>
      </c>
      <c r="FZ32" s="404">
        <v>0</v>
      </c>
      <c r="GA32" s="404">
        <v>0</v>
      </c>
      <c r="GB32" s="404">
        <v>0</v>
      </c>
      <c r="GC32" s="404">
        <v>0</v>
      </c>
      <c r="GD32" s="404">
        <v>0</v>
      </c>
      <c r="GE32" s="404">
        <v>0</v>
      </c>
      <c r="GF32" s="404">
        <v>0</v>
      </c>
      <c r="GG32" s="404">
        <v>0</v>
      </c>
      <c r="GH32" s="404">
        <v>-55.82</v>
      </c>
      <c r="GI32" s="404">
        <v>-11.99</v>
      </c>
      <c r="GJ32" s="404">
        <v>-19.61</v>
      </c>
      <c r="GK32" s="404">
        <v>-12.92</v>
      </c>
      <c r="GL32" s="404">
        <v>4.6060068064949999E-2</v>
      </c>
      <c r="GM32" s="404">
        <v>-3.91</v>
      </c>
      <c r="GN32" s="404">
        <v>0</v>
      </c>
      <c r="GO32" s="404">
        <v>0</v>
      </c>
      <c r="GP32" s="404">
        <v>0</v>
      </c>
      <c r="GQ32" s="404">
        <v>0</v>
      </c>
      <c r="GR32" s="404">
        <v>0</v>
      </c>
      <c r="GS32" s="404">
        <v>0</v>
      </c>
      <c r="GT32" s="404">
        <v>0</v>
      </c>
      <c r="GU32" s="404">
        <v>0</v>
      </c>
      <c r="GV32" s="404">
        <v>0</v>
      </c>
      <c r="GW32" s="404">
        <v>0</v>
      </c>
      <c r="GX32" s="404">
        <v>0</v>
      </c>
      <c r="GY32" s="404">
        <v>0</v>
      </c>
      <c r="GZ32" s="404">
        <v>0</v>
      </c>
      <c r="HA32" s="404">
        <v>0</v>
      </c>
      <c r="HB32" s="404">
        <v>0</v>
      </c>
      <c r="HC32" s="404">
        <v>0</v>
      </c>
      <c r="HD32" s="404">
        <v>0</v>
      </c>
      <c r="HE32" s="404">
        <v>0</v>
      </c>
      <c r="HF32" s="404">
        <v>0</v>
      </c>
      <c r="HG32" s="404">
        <v>0</v>
      </c>
      <c r="HH32" s="404">
        <v>0</v>
      </c>
      <c r="HI32" s="404">
        <v>0</v>
      </c>
      <c r="HJ32" s="404">
        <v>0</v>
      </c>
      <c r="HK32" s="404">
        <v>0</v>
      </c>
      <c r="HL32" s="397">
        <v>-0.6</v>
      </c>
      <c r="HM32" s="405">
        <v>0</v>
      </c>
      <c r="HN32" s="405">
        <v>0</v>
      </c>
      <c r="HO32" s="405">
        <v>0</v>
      </c>
      <c r="HP32" s="405">
        <v>0</v>
      </c>
      <c r="HQ32" s="397">
        <v>-3.1108822695035498</v>
      </c>
      <c r="HR32" s="397">
        <v>0.1</v>
      </c>
      <c r="HS32" s="397">
        <v>0</v>
      </c>
      <c r="HT32" s="397">
        <v>0</v>
      </c>
      <c r="HU32" s="397">
        <v>0</v>
      </c>
      <c r="HV32" s="397">
        <v>0</v>
      </c>
      <c r="HW32" s="397">
        <v>0.23</v>
      </c>
      <c r="HX32" s="397">
        <v>-9.0767508396599993E-3</v>
      </c>
      <c r="HY32" s="397">
        <v>0</v>
      </c>
      <c r="HZ32" s="397">
        <v>0</v>
      </c>
      <c r="IA32" s="397">
        <v>-2.3954794799700002E-3</v>
      </c>
      <c r="IB32" s="397">
        <v>0</v>
      </c>
      <c r="IC32" s="397">
        <v>-0.47</v>
      </c>
      <c r="ID32" s="405">
        <v>0</v>
      </c>
      <c r="IE32" s="405">
        <v>0</v>
      </c>
      <c r="IF32" s="405">
        <v>0</v>
      </c>
      <c r="IG32" s="405">
        <v>0</v>
      </c>
      <c r="IH32" s="405">
        <v>0</v>
      </c>
      <c r="II32" s="405">
        <v>0</v>
      </c>
      <c r="IJ32" s="405">
        <v>0</v>
      </c>
      <c r="IK32" s="405">
        <v>0</v>
      </c>
      <c r="IL32" s="405">
        <v>0</v>
      </c>
      <c r="IM32" s="405">
        <v>0</v>
      </c>
      <c r="IN32" s="405">
        <v>0</v>
      </c>
      <c r="IO32" s="405">
        <v>0</v>
      </c>
      <c r="IP32" s="404">
        <v>-55.82</v>
      </c>
      <c r="IQ32" s="404">
        <v>-11.99</v>
      </c>
      <c r="IR32" s="404">
        <v>-19.61</v>
      </c>
      <c r="IS32" s="404">
        <v>-12.92</v>
      </c>
      <c r="IT32" s="404">
        <v>-1.07225369578546</v>
      </c>
      <c r="IU32" s="404">
        <v>-0.59</v>
      </c>
      <c r="IV32" s="404">
        <v>-0.12913436945737</v>
      </c>
      <c r="IW32" s="404">
        <v>0</v>
      </c>
      <c r="IX32" s="404">
        <v>0</v>
      </c>
      <c r="IY32" s="404">
        <v>0</v>
      </c>
      <c r="IZ32" s="404">
        <v>-0.75737307686747002</v>
      </c>
      <c r="JA32" s="404">
        <v>0</v>
      </c>
      <c r="JB32" s="404">
        <v>-0.15496124334884001</v>
      </c>
      <c r="JC32" s="404">
        <v>0</v>
      </c>
      <c r="JD32" s="404">
        <v>0</v>
      </c>
      <c r="JE32" s="404">
        <v>0</v>
      </c>
      <c r="JF32" s="404">
        <v>-1.39367584496439</v>
      </c>
      <c r="JG32" s="404">
        <v>0</v>
      </c>
      <c r="JH32" s="404">
        <v>0</v>
      </c>
      <c r="JI32" s="404">
        <v>0</v>
      </c>
      <c r="JJ32" s="404">
        <v>0</v>
      </c>
      <c r="JK32" s="404">
        <v>0</v>
      </c>
      <c r="JL32" s="404">
        <v>0</v>
      </c>
      <c r="JM32" s="404">
        <v>0</v>
      </c>
      <c r="JN32" s="404">
        <v>-0.15496124334885</v>
      </c>
      <c r="JO32" s="404">
        <v>0</v>
      </c>
      <c r="JP32" s="404">
        <v>0</v>
      </c>
      <c r="JQ32" s="404">
        <v>0</v>
      </c>
      <c r="JR32" s="404">
        <v>-1.3435541332540599</v>
      </c>
      <c r="JS32" s="404">
        <v>0</v>
      </c>
      <c r="JT32" s="404">
        <v>-55.82</v>
      </c>
      <c r="JU32" s="404">
        <v>-11.99</v>
      </c>
      <c r="JV32" s="404">
        <v>-19.61</v>
      </c>
      <c r="JW32" s="404">
        <v>-12.92</v>
      </c>
      <c r="JX32" s="404">
        <v>-0.84497718120804999</v>
      </c>
      <c r="JY32" s="404">
        <v>-0.9</v>
      </c>
      <c r="JZ32" s="404">
        <v>0</v>
      </c>
      <c r="KA32" s="404">
        <v>0</v>
      </c>
      <c r="KB32" s="404">
        <v>0</v>
      </c>
      <c r="KC32" s="404">
        <v>0</v>
      </c>
      <c r="KD32" s="404">
        <v>0</v>
      </c>
      <c r="KE32" s="404">
        <v>0</v>
      </c>
      <c r="KF32" s="404">
        <v>0</v>
      </c>
      <c r="KG32" s="404">
        <v>0</v>
      </c>
      <c r="KH32" s="404">
        <v>0</v>
      </c>
      <c r="KI32" s="404">
        <v>0</v>
      </c>
      <c r="KJ32" s="404">
        <v>0</v>
      </c>
      <c r="KK32" s="404">
        <v>0</v>
      </c>
      <c r="KL32" s="404">
        <v>0</v>
      </c>
      <c r="KM32" s="404">
        <v>0</v>
      </c>
      <c r="KN32" s="404">
        <v>0</v>
      </c>
      <c r="KO32" s="404">
        <v>0</v>
      </c>
      <c r="KP32" s="404">
        <v>0</v>
      </c>
      <c r="KQ32" s="404">
        <v>0</v>
      </c>
      <c r="KR32" s="404">
        <v>0</v>
      </c>
      <c r="KS32" s="404">
        <v>0</v>
      </c>
      <c r="KT32" s="404">
        <v>0</v>
      </c>
      <c r="KU32" s="404">
        <v>0</v>
      </c>
      <c r="KV32" s="404">
        <v>0</v>
      </c>
      <c r="KW32" s="404">
        <v>0</v>
      </c>
      <c r="KX32" s="404">
        <v>1.0046888903139199</v>
      </c>
      <c r="KY32" s="404">
        <v>0.16710577309979999</v>
      </c>
      <c r="KZ32" s="404">
        <v>-0.20275762945598999</v>
      </c>
      <c r="LA32" s="404">
        <v>1.2390474038300001E-2</v>
      </c>
      <c r="LB32" s="404">
        <v>-5.5329298001249999E-2</v>
      </c>
      <c r="LC32" s="404">
        <v>-0.44750344212965998</v>
      </c>
      <c r="LD32" s="404">
        <v>-2.6800558377699998E-3</v>
      </c>
      <c r="LE32" s="404">
        <v>0</v>
      </c>
      <c r="LF32" s="404">
        <v>0</v>
      </c>
      <c r="LG32" s="404">
        <v>0</v>
      </c>
      <c r="LH32" s="404">
        <v>4.3345790606010001E-2</v>
      </c>
      <c r="LI32" s="404">
        <v>0</v>
      </c>
      <c r="LJ32" s="404">
        <v>0</v>
      </c>
      <c r="LK32" s="404">
        <v>0</v>
      </c>
      <c r="LL32" s="404">
        <v>0</v>
      </c>
      <c r="LM32" s="404">
        <v>0</v>
      </c>
      <c r="LN32" s="404">
        <v>0.14138326334163001</v>
      </c>
      <c r="LO32" s="404">
        <v>-6.76163329988798</v>
      </c>
      <c r="LP32" s="404">
        <v>0.12020443037641</v>
      </c>
      <c r="LQ32" s="404">
        <v>0</v>
      </c>
      <c r="LR32" s="404">
        <v>0</v>
      </c>
      <c r="LS32" s="404">
        <v>0</v>
      </c>
      <c r="LT32" s="404">
        <v>0</v>
      </c>
      <c r="LU32" s="404">
        <v>-3.11</v>
      </c>
      <c r="LV32" s="401">
        <v>6.8506595710599999E-3</v>
      </c>
      <c r="LW32" s="401">
        <v>0</v>
      </c>
      <c r="LX32" s="401">
        <v>0</v>
      </c>
      <c r="LY32" s="401">
        <v>0</v>
      </c>
      <c r="LZ32" s="401">
        <v>0</v>
      </c>
      <c r="MA32" s="401">
        <v>-0.43889541996992998</v>
      </c>
      <c r="MB32" s="404">
        <v>0</v>
      </c>
      <c r="MC32" s="404">
        <v>0</v>
      </c>
      <c r="MD32" s="404">
        <v>0</v>
      </c>
      <c r="ME32" s="404">
        <v>0</v>
      </c>
      <c r="MF32" s="404">
        <v>0</v>
      </c>
      <c r="MG32" s="404">
        <v>0</v>
      </c>
    </row>
    <row r="33" spans="1:345" ht="18" customHeight="1">
      <c r="A33" s="10" t="s">
        <v>21</v>
      </c>
      <c r="B33" s="15">
        <v>-0.4</v>
      </c>
      <c r="C33" s="15">
        <v>-0.4</v>
      </c>
      <c r="D33" s="15">
        <v>-0.5</v>
      </c>
      <c r="E33" s="255">
        <v>272.64150943396226</v>
      </c>
      <c r="F33" s="256">
        <v>-9.5</v>
      </c>
      <c r="G33" s="16">
        <v>-5.8</v>
      </c>
      <c r="H33" s="16">
        <v>-5.8</v>
      </c>
      <c r="I33" s="5">
        <v>786.68920199272645</v>
      </c>
      <c r="J33" s="6">
        <v>12</v>
      </c>
      <c r="K33" s="6">
        <v>373.06550000000004</v>
      </c>
      <c r="L33" s="17">
        <v>1.2</v>
      </c>
      <c r="M33" s="17">
        <v>0.9</v>
      </c>
      <c r="N33" s="17">
        <v>0.9</v>
      </c>
      <c r="O33" s="16">
        <v>0.1</v>
      </c>
      <c r="P33" s="16">
        <v>0</v>
      </c>
      <c r="Q33" s="16">
        <v>97.3</v>
      </c>
      <c r="R33" s="16">
        <v>2.6</v>
      </c>
      <c r="S33" s="252">
        <v>0</v>
      </c>
      <c r="T33" s="303">
        <v>2</v>
      </c>
      <c r="U33" s="304">
        <v>1.5</v>
      </c>
      <c r="V33" s="303">
        <v>1</v>
      </c>
      <c r="W33" s="304">
        <v>0.8</v>
      </c>
      <c r="X33" s="304">
        <v>0.5</v>
      </c>
      <c r="Y33" s="5">
        <v>9512.6067031102411</v>
      </c>
      <c r="Z33" s="14">
        <v>1.5</v>
      </c>
      <c r="AA33" s="5">
        <v>166.44668636031807</v>
      </c>
      <c r="AB33" s="17">
        <v>1.2</v>
      </c>
      <c r="AC33" s="17">
        <v>0.6</v>
      </c>
      <c r="AD33" s="17">
        <v>0.6</v>
      </c>
      <c r="AE33" s="254">
        <v>0.16277777166806032</v>
      </c>
      <c r="AF33" s="254">
        <v>0.17328561477853599</v>
      </c>
      <c r="AG33" s="18">
        <v>1.0389010860597281</v>
      </c>
      <c r="AH33" s="18">
        <v>1.5375851844803749E-3</v>
      </c>
      <c r="AI33" s="18">
        <v>1.3753247244240341</v>
      </c>
      <c r="AJ33" s="18">
        <v>40.969409471416199</v>
      </c>
      <c r="AK33" s="18">
        <v>0.64679877477976799</v>
      </c>
      <c r="AL33" s="18">
        <v>0.26822721312323528</v>
      </c>
      <c r="AM33" s="18">
        <v>55.080389475753996</v>
      </c>
      <c r="AN33" s="18">
        <v>0.23572085339957369</v>
      </c>
      <c r="AO33" s="18">
        <v>4.8804762679153547E-2</v>
      </c>
      <c r="AP33" s="18">
        <v>0</v>
      </c>
      <c r="AQ33" s="18">
        <v>5.2458788646977494E-4</v>
      </c>
      <c r="AR33" s="18">
        <v>0</v>
      </c>
      <c r="AS33" s="18">
        <v>6.2046084503149255E-3</v>
      </c>
      <c r="AT33" s="18">
        <v>3.6178474928949993E-5</v>
      </c>
      <c r="AU33" s="18">
        <v>0.32812067836811198</v>
      </c>
      <c r="AV33" s="304">
        <v>0.3</v>
      </c>
      <c r="AW33" s="304">
        <v>0.7</v>
      </c>
      <c r="AX33" s="304">
        <v>1.2</v>
      </c>
      <c r="AY33" s="304">
        <v>1.2</v>
      </c>
      <c r="AZ33" s="303">
        <v>3</v>
      </c>
      <c r="BA33" s="6">
        <v>3.1720593617894246</v>
      </c>
      <c r="BB33" s="6">
        <v>18</v>
      </c>
      <c r="BC33" s="5">
        <f t="shared" si="348"/>
        <v>57.097068512209646</v>
      </c>
      <c r="BD33" s="17">
        <v>1.9</v>
      </c>
      <c r="BE33" s="17">
        <v>1.2</v>
      </c>
      <c r="BF33" s="17">
        <v>1.2</v>
      </c>
      <c r="BG33" s="6">
        <v>3.1720593617894246</v>
      </c>
      <c r="BH33" s="6">
        <v>18</v>
      </c>
      <c r="BI33" s="5">
        <v>6608.8301886792442</v>
      </c>
      <c r="BJ33" s="17">
        <v>1.9</v>
      </c>
      <c r="BK33" s="17">
        <v>1.2</v>
      </c>
      <c r="BL33" s="17">
        <v>1.2</v>
      </c>
      <c r="BM33" s="5">
        <v>443.76463112380623</v>
      </c>
      <c r="BN33" s="6">
        <v>179.9</v>
      </c>
      <c r="BO33" s="6">
        <v>3326.9187271191245</v>
      </c>
      <c r="BP33" s="17">
        <v>1.9</v>
      </c>
      <c r="BQ33" s="17">
        <v>1.2</v>
      </c>
      <c r="BR33" s="17">
        <v>1.2</v>
      </c>
      <c r="BS33" s="221">
        <v>2</v>
      </c>
      <c r="BT33" s="54">
        <v>1.5</v>
      </c>
      <c r="BU33" s="54">
        <v>0.7</v>
      </c>
      <c r="BV33" s="54">
        <v>0.7</v>
      </c>
      <c r="BW33" s="54">
        <v>0.5</v>
      </c>
      <c r="BX33" s="5">
        <v>34.156903564799151</v>
      </c>
      <c r="BY33" s="5">
        <v>4248.7905773021803</v>
      </c>
      <c r="BZ33" s="17">
        <v>2.1</v>
      </c>
      <c r="CA33" s="17">
        <v>0.9</v>
      </c>
      <c r="CB33" s="17">
        <v>0.9</v>
      </c>
      <c r="CC33" s="221">
        <v>2</v>
      </c>
      <c r="CD33" s="221">
        <v>2</v>
      </c>
      <c r="CE33" s="221">
        <v>1</v>
      </c>
      <c r="CF33" s="221">
        <v>1</v>
      </c>
      <c r="CG33" s="54">
        <v>0.5</v>
      </c>
      <c r="CH33" s="5">
        <v>225.6793024505518</v>
      </c>
      <c r="CI33" s="5">
        <v>500</v>
      </c>
      <c r="CJ33" s="19">
        <v>1.4</v>
      </c>
      <c r="CK33" s="19">
        <v>0.7</v>
      </c>
      <c r="CL33" s="19">
        <v>0.7</v>
      </c>
      <c r="CM33" s="54">
        <v>2</v>
      </c>
      <c r="CN33" s="54">
        <v>1.5</v>
      </c>
      <c r="CO33" s="54">
        <v>0.5</v>
      </c>
      <c r="CP33" s="54">
        <v>1</v>
      </c>
      <c r="CQ33" s="54">
        <v>0.5</v>
      </c>
      <c r="CR33" s="5"/>
      <c r="CS33" s="8">
        <v>29</v>
      </c>
      <c r="CT33" s="19">
        <v>1</v>
      </c>
      <c r="CU33" s="17">
        <v>0.5</v>
      </c>
      <c r="CV33" s="17">
        <v>0.5</v>
      </c>
      <c r="CW33" s="54">
        <v>2</v>
      </c>
      <c r="CX33" s="54">
        <v>1</v>
      </c>
      <c r="CY33" s="54">
        <v>0.5</v>
      </c>
      <c r="CZ33" s="54">
        <v>0.7</v>
      </c>
      <c r="DA33" s="54">
        <v>0.2</v>
      </c>
      <c r="DB33" s="403">
        <v>0</v>
      </c>
      <c r="DC33" s="403">
        <v>0</v>
      </c>
      <c r="DD33" s="403">
        <v>0</v>
      </c>
      <c r="DE33" s="403">
        <v>0</v>
      </c>
      <c r="DF33" s="403">
        <v>0</v>
      </c>
      <c r="DG33" s="403">
        <v>0</v>
      </c>
      <c r="DH33" s="403">
        <v>0</v>
      </c>
      <c r="DI33" s="403">
        <v>0</v>
      </c>
      <c r="DJ33" s="403">
        <v>0</v>
      </c>
      <c r="DK33" s="403">
        <v>0</v>
      </c>
      <c r="DL33" s="403">
        <v>0</v>
      </c>
      <c r="DM33" s="403">
        <v>0</v>
      </c>
      <c r="DN33" s="403">
        <v>0</v>
      </c>
      <c r="DO33" s="403">
        <v>0</v>
      </c>
      <c r="DP33" s="403">
        <v>0</v>
      </c>
      <c r="DQ33" s="403">
        <v>0</v>
      </c>
      <c r="DR33" s="403">
        <v>0</v>
      </c>
      <c r="DS33" s="403">
        <v>0</v>
      </c>
      <c r="DT33" s="403">
        <v>0</v>
      </c>
      <c r="DU33" s="403">
        <v>0</v>
      </c>
      <c r="DV33" s="403">
        <v>0</v>
      </c>
      <c r="DW33" s="403">
        <v>0</v>
      </c>
      <c r="DX33" s="403">
        <v>0</v>
      </c>
      <c r="DY33" s="403">
        <v>0</v>
      </c>
      <c r="DZ33" s="404">
        <v>0</v>
      </c>
      <c r="EA33" s="404">
        <v>0</v>
      </c>
      <c r="EB33" s="404">
        <v>0</v>
      </c>
      <c r="EC33" s="404">
        <v>0</v>
      </c>
      <c r="ED33" s="404">
        <v>0</v>
      </c>
      <c r="EE33" s="404">
        <v>0</v>
      </c>
      <c r="EF33" s="404">
        <v>2.3331596698950001</v>
      </c>
      <c r="EG33" s="404">
        <v>0</v>
      </c>
      <c r="EH33" s="404">
        <v>0</v>
      </c>
      <c r="EI33" s="404">
        <v>0.98609088910742004</v>
      </c>
      <c r="EJ33" s="404">
        <v>9.6999770847580005E-2</v>
      </c>
      <c r="EK33" s="404">
        <v>-0.74905005460903995</v>
      </c>
      <c r="EL33" s="404">
        <v>2.3331596698949899</v>
      </c>
      <c r="EM33" s="404">
        <v>0</v>
      </c>
      <c r="EN33" s="404">
        <v>0</v>
      </c>
      <c r="EO33" s="404">
        <v>0.98609088910742004</v>
      </c>
      <c r="EP33" s="404">
        <v>0</v>
      </c>
      <c r="EQ33" s="404">
        <v>-0.74905005460903995</v>
      </c>
      <c r="ER33" s="404">
        <v>0</v>
      </c>
      <c r="ES33" s="404">
        <v>0</v>
      </c>
      <c r="ET33" s="404">
        <v>0</v>
      </c>
      <c r="EU33" s="404">
        <v>0</v>
      </c>
      <c r="EV33" s="404">
        <v>0</v>
      </c>
      <c r="EW33" s="404">
        <v>0</v>
      </c>
      <c r="EX33" s="404">
        <v>0</v>
      </c>
      <c r="EY33" s="404">
        <v>0</v>
      </c>
      <c r="EZ33" s="404">
        <v>0</v>
      </c>
      <c r="FA33" s="404">
        <v>0</v>
      </c>
      <c r="FB33" s="404">
        <v>0</v>
      </c>
      <c r="FC33" s="404">
        <v>0</v>
      </c>
      <c r="FD33" s="404">
        <v>0</v>
      </c>
      <c r="FE33" s="404">
        <v>0</v>
      </c>
      <c r="FF33" s="404">
        <v>0</v>
      </c>
      <c r="FG33" s="404">
        <v>0</v>
      </c>
      <c r="FH33" s="404">
        <v>0</v>
      </c>
      <c r="FI33" s="404">
        <v>0</v>
      </c>
      <c r="FJ33" s="404">
        <v>0</v>
      </c>
      <c r="FK33" s="404">
        <v>0</v>
      </c>
      <c r="FL33" s="404">
        <v>0</v>
      </c>
      <c r="FM33" s="404">
        <v>0</v>
      </c>
      <c r="FN33" s="404">
        <v>0</v>
      </c>
      <c r="FO33" s="404">
        <v>0</v>
      </c>
      <c r="FP33" s="404">
        <v>0</v>
      </c>
      <c r="FQ33" s="404">
        <v>0</v>
      </c>
      <c r="FR33" s="404">
        <v>0</v>
      </c>
      <c r="FS33" s="404">
        <v>0</v>
      </c>
      <c r="FT33" s="404">
        <v>0</v>
      </c>
      <c r="FU33" s="404">
        <v>0</v>
      </c>
      <c r="FV33" s="404">
        <v>0</v>
      </c>
      <c r="FW33" s="404">
        <v>0</v>
      </c>
      <c r="FX33" s="404">
        <v>0</v>
      </c>
      <c r="FY33" s="404">
        <v>0</v>
      </c>
      <c r="FZ33" s="404">
        <v>0</v>
      </c>
      <c r="GA33" s="404">
        <v>0</v>
      </c>
      <c r="GB33" s="404">
        <v>0</v>
      </c>
      <c r="GC33" s="404">
        <v>0</v>
      </c>
      <c r="GD33" s="404">
        <v>0</v>
      </c>
      <c r="GE33" s="404">
        <v>0</v>
      </c>
      <c r="GF33" s="404">
        <v>0</v>
      </c>
      <c r="GG33" s="404">
        <v>0</v>
      </c>
      <c r="GH33" s="404">
        <v>-55.82</v>
      </c>
      <c r="GI33" s="404">
        <v>-11.99</v>
      </c>
      <c r="GJ33" s="404">
        <v>-19.61</v>
      </c>
      <c r="GK33" s="404">
        <v>-12.92</v>
      </c>
      <c r="GL33" s="404">
        <v>4.6060068064949999E-2</v>
      </c>
      <c r="GM33" s="404">
        <v>-3.91</v>
      </c>
      <c r="GN33" s="404">
        <v>0</v>
      </c>
      <c r="GO33" s="404">
        <v>0</v>
      </c>
      <c r="GP33" s="404">
        <v>0</v>
      </c>
      <c r="GQ33" s="404">
        <v>0</v>
      </c>
      <c r="GR33" s="404">
        <v>0</v>
      </c>
      <c r="GS33" s="404">
        <v>0</v>
      </c>
      <c r="GT33" s="404">
        <v>0</v>
      </c>
      <c r="GU33" s="404">
        <v>0</v>
      </c>
      <c r="GV33" s="404">
        <v>0</v>
      </c>
      <c r="GW33" s="404">
        <v>0</v>
      </c>
      <c r="GX33" s="404">
        <v>0</v>
      </c>
      <c r="GY33" s="404">
        <v>0</v>
      </c>
      <c r="GZ33" s="404">
        <v>0</v>
      </c>
      <c r="HA33" s="404">
        <v>0</v>
      </c>
      <c r="HB33" s="404">
        <v>0</v>
      </c>
      <c r="HC33" s="404">
        <v>0</v>
      </c>
      <c r="HD33" s="404">
        <v>0</v>
      </c>
      <c r="HE33" s="404">
        <v>0</v>
      </c>
      <c r="HF33" s="404">
        <v>0</v>
      </c>
      <c r="HG33" s="404">
        <v>0</v>
      </c>
      <c r="HH33" s="404">
        <v>0</v>
      </c>
      <c r="HI33" s="404">
        <v>0</v>
      </c>
      <c r="HJ33" s="404">
        <v>0</v>
      </c>
      <c r="HK33" s="404">
        <v>0</v>
      </c>
      <c r="HL33" s="397">
        <v>-0.6</v>
      </c>
      <c r="HM33" s="405">
        <v>0</v>
      </c>
      <c r="HN33" s="405">
        <v>0</v>
      </c>
      <c r="HO33" s="405">
        <v>0</v>
      </c>
      <c r="HP33" s="405">
        <v>0</v>
      </c>
      <c r="HQ33" s="397">
        <v>-3.1108822695035498</v>
      </c>
      <c r="HR33" s="397">
        <v>0.1</v>
      </c>
      <c r="HS33" s="397">
        <v>0</v>
      </c>
      <c r="HT33" s="397">
        <v>0</v>
      </c>
      <c r="HU33" s="397">
        <v>0</v>
      </c>
      <c r="HV33" s="397">
        <v>0</v>
      </c>
      <c r="HW33" s="397">
        <v>0.23</v>
      </c>
      <c r="HX33" s="397">
        <v>-9.0767508396599993E-3</v>
      </c>
      <c r="HY33" s="397">
        <v>0</v>
      </c>
      <c r="HZ33" s="397">
        <v>0</v>
      </c>
      <c r="IA33" s="397">
        <v>-2.3954794799700002E-3</v>
      </c>
      <c r="IB33" s="397">
        <v>0</v>
      </c>
      <c r="IC33" s="397">
        <v>-0.47</v>
      </c>
      <c r="ID33" s="405">
        <v>0</v>
      </c>
      <c r="IE33" s="405">
        <v>0</v>
      </c>
      <c r="IF33" s="405">
        <v>0</v>
      </c>
      <c r="IG33" s="405">
        <v>0</v>
      </c>
      <c r="IH33" s="405">
        <v>0</v>
      </c>
      <c r="II33" s="405">
        <v>0</v>
      </c>
      <c r="IJ33" s="405">
        <v>0</v>
      </c>
      <c r="IK33" s="405">
        <v>0</v>
      </c>
      <c r="IL33" s="405">
        <v>0</v>
      </c>
      <c r="IM33" s="405">
        <v>0</v>
      </c>
      <c r="IN33" s="405">
        <v>0</v>
      </c>
      <c r="IO33" s="405">
        <v>0</v>
      </c>
      <c r="IP33" s="404">
        <v>-55.82</v>
      </c>
      <c r="IQ33" s="404">
        <v>-11.99</v>
      </c>
      <c r="IR33" s="404">
        <v>-19.61</v>
      </c>
      <c r="IS33" s="404">
        <v>-12.92</v>
      </c>
      <c r="IT33" s="404">
        <v>-1.07225369578546</v>
      </c>
      <c r="IU33" s="404">
        <v>-0.59</v>
      </c>
      <c r="IV33" s="404">
        <v>-0.12913436945737</v>
      </c>
      <c r="IW33" s="404">
        <v>0</v>
      </c>
      <c r="IX33" s="404">
        <v>0</v>
      </c>
      <c r="IY33" s="404">
        <v>0</v>
      </c>
      <c r="IZ33" s="404">
        <v>-0.75737307686747002</v>
      </c>
      <c r="JA33" s="404">
        <v>0</v>
      </c>
      <c r="JB33" s="404">
        <v>-0.15496124334884001</v>
      </c>
      <c r="JC33" s="404">
        <v>0</v>
      </c>
      <c r="JD33" s="404">
        <v>0</v>
      </c>
      <c r="JE33" s="404">
        <v>0</v>
      </c>
      <c r="JF33" s="404">
        <v>-1.39367584496439</v>
      </c>
      <c r="JG33" s="404">
        <v>0</v>
      </c>
      <c r="JH33" s="404">
        <v>0</v>
      </c>
      <c r="JI33" s="404">
        <v>0</v>
      </c>
      <c r="JJ33" s="404">
        <v>0</v>
      </c>
      <c r="JK33" s="404">
        <v>0</v>
      </c>
      <c r="JL33" s="404">
        <v>0</v>
      </c>
      <c r="JM33" s="404">
        <v>0</v>
      </c>
      <c r="JN33" s="404">
        <v>-0.15496124334885</v>
      </c>
      <c r="JO33" s="404">
        <v>0</v>
      </c>
      <c r="JP33" s="404">
        <v>0</v>
      </c>
      <c r="JQ33" s="404">
        <v>0</v>
      </c>
      <c r="JR33" s="404">
        <v>-1.3435541332540599</v>
      </c>
      <c r="JS33" s="404">
        <v>0</v>
      </c>
      <c r="JT33" s="404">
        <v>-55.82</v>
      </c>
      <c r="JU33" s="404">
        <v>-11.99</v>
      </c>
      <c r="JV33" s="404">
        <v>-19.61</v>
      </c>
      <c r="JW33" s="404">
        <v>-12.92</v>
      </c>
      <c r="JX33" s="404">
        <v>-0.84497718120804999</v>
      </c>
      <c r="JY33" s="404">
        <v>-0.9</v>
      </c>
      <c r="JZ33" s="404">
        <v>0</v>
      </c>
      <c r="KA33" s="404">
        <v>0</v>
      </c>
      <c r="KB33" s="404">
        <v>0</v>
      </c>
      <c r="KC33" s="404">
        <v>0</v>
      </c>
      <c r="KD33" s="404">
        <v>0</v>
      </c>
      <c r="KE33" s="404">
        <v>0</v>
      </c>
      <c r="KF33" s="404">
        <v>0</v>
      </c>
      <c r="KG33" s="404">
        <v>0</v>
      </c>
      <c r="KH33" s="404">
        <v>0</v>
      </c>
      <c r="KI33" s="404">
        <v>0</v>
      </c>
      <c r="KJ33" s="404">
        <v>0</v>
      </c>
      <c r="KK33" s="404">
        <v>0</v>
      </c>
      <c r="KL33" s="404">
        <v>0</v>
      </c>
      <c r="KM33" s="404">
        <v>0</v>
      </c>
      <c r="KN33" s="404">
        <v>0</v>
      </c>
      <c r="KO33" s="404">
        <v>0</v>
      </c>
      <c r="KP33" s="404">
        <v>0</v>
      </c>
      <c r="KQ33" s="404">
        <v>0</v>
      </c>
      <c r="KR33" s="404">
        <v>0</v>
      </c>
      <c r="KS33" s="404">
        <v>0</v>
      </c>
      <c r="KT33" s="404">
        <v>0</v>
      </c>
      <c r="KU33" s="404">
        <v>0</v>
      </c>
      <c r="KV33" s="404">
        <v>0</v>
      </c>
      <c r="KW33" s="404">
        <v>0</v>
      </c>
      <c r="KX33" s="404">
        <v>1.0046888903139199</v>
      </c>
      <c r="KY33" s="404">
        <v>0.16710577309979999</v>
      </c>
      <c r="KZ33" s="404">
        <v>-0.20275762945598999</v>
      </c>
      <c r="LA33" s="404">
        <v>1.2390474038300001E-2</v>
      </c>
      <c r="LB33" s="404">
        <v>-5.5329298001249999E-2</v>
      </c>
      <c r="LC33" s="404">
        <v>-0.44750344212965998</v>
      </c>
      <c r="LD33" s="404">
        <v>-2.6800558377699998E-3</v>
      </c>
      <c r="LE33" s="404">
        <v>0</v>
      </c>
      <c r="LF33" s="404">
        <v>0</v>
      </c>
      <c r="LG33" s="404">
        <v>0</v>
      </c>
      <c r="LH33" s="404">
        <v>4.3345790606010001E-2</v>
      </c>
      <c r="LI33" s="404">
        <v>0</v>
      </c>
      <c r="LJ33" s="404">
        <v>0</v>
      </c>
      <c r="LK33" s="404">
        <v>0</v>
      </c>
      <c r="LL33" s="404">
        <v>0</v>
      </c>
      <c r="LM33" s="404">
        <v>0</v>
      </c>
      <c r="LN33" s="404">
        <v>0.14138326334163001</v>
      </c>
      <c r="LO33" s="404">
        <v>-6.76163329988798</v>
      </c>
      <c r="LP33" s="404">
        <v>0.12020443037641</v>
      </c>
      <c r="LQ33" s="404">
        <v>0</v>
      </c>
      <c r="LR33" s="404">
        <v>0</v>
      </c>
      <c r="LS33" s="404">
        <v>0</v>
      </c>
      <c r="LT33" s="404">
        <v>0</v>
      </c>
      <c r="LU33" s="404">
        <v>-3.11</v>
      </c>
      <c r="LV33" s="401">
        <v>6.8506595710599999E-3</v>
      </c>
      <c r="LW33" s="401">
        <v>0</v>
      </c>
      <c r="LX33" s="401">
        <v>0</v>
      </c>
      <c r="LY33" s="401">
        <v>0</v>
      </c>
      <c r="LZ33" s="401">
        <v>0</v>
      </c>
      <c r="MA33" s="401">
        <v>-0.43889541996992998</v>
      </c>
      <c r="MB33" s="404">
        <v>0</v>
      </c>
      <c r="MC33" s="404">
        <v>0</v>
      </c>
      <c r="MD33" s="404">
        <v>0</v>
      </c>
      <c r="ME33" s="404">
        <v>0</v>
      </c>
      <c r="MF33" s="404">
        <v>0</v>
      </c>
      <c r="MG33" s="404">
        <v>0</v>
      </c>
    </row>
    <row r="34" spans="1:345" ht="18" customHeight="1">
      <c r="A34" s="10" t="s">
        <v>22</v>
      </c>
      <c r="B34" s="15">
        <v>-0.4</v>
      </c>
      <c r="C34" s="15">
        <v>-0.3</v>
      </c>
      <c r="D34" s="15">
        <v>-0.3</v>
      </c>
      <c r="E34" s="255">
        <v>364.21917808219177</v>
      </c>
      <c r="F34" s="256">
        <v>-7.6</v>
      </c>
      <c r="G34" s="16">
        <v>-6.5</v>
      </c>
      <c r="H34" s="16">
        <v>-6.5</v>
      </c>
      <c r="I34" s="5">
        <v>1066.3841551631824</v>
      </c>
      <c r="J34" s="6">
        <v>12</v>
      </c>
      <c r="K34" s="6">
        <v>368.51440000000002</v>
      </c>
      <c r="L34" s="17">
        <v>0.8</v>
      </c>
      <c r="M34" s="17">
        <v>0.7</v>
      </c>
      <c r="N34" s="17">
        <v>0.7</v>
      </c>
      <c r="O34" s="16">
        <v>0.2</v>
      </c>
      <c r="P34" s="16">
        <v>0.1</v>
      </c>
      <c r="Q34" s="16">
        <v>99.6</v>
      </c>
      <c r="R34" s="16">
        <v>0.1</v>
      </c>
      <c r="S34" s="252">
        <v>0</v>
      </c>
      <c r="T34" s="303">
        <v>2</v>
      </c>
      <c r="U34" s="304">
        <v>1.5</v>
      </c>
      <c r="V34" s="303">
        <v>1</v>
      </c>
      <c r="W34" s="304">
        <v>0.8</v>
      </c>
      <c r="X34" s="304">
        <v>0.5</v>
      </c>
      <c r="Y34" s="5">
        <v>5596.0494247291699</v>
      </c>
      <c r="Z34" s="14">
        <v>1.98</v>
      </c>
      <c r="AA34" s="5">
        <v>167.18844182393218</v>
      </c>
      <c r="AB34" s="19">
        <v>2</v>
      </c>
      <c r="AC34" s="17">
        <v>1.3</v>
      </c>
      <c r="AD34" s="17">
        <v>1.3</v>
      </c>
      <c r="AE34" s="254">
        <v>0.17007468960337721</v>
      </c>
      <c r="AF34" s="254">
        <v>0.17500236602736474</v>
      </c>
      <c r="AG34" s="18">
        <v>2.4466324694609898E-4</v>
      </c>
      <c r="AH34" s="18">
        <v>3.065486564677593E-3</v>
      </c>
      <c r="AI34" s="18">
        <v>0.22152098217613855</v>
      </c>
      <c r="AJ34" s="18">
        <v>52.250412545410221</v>
      </c>
      <c r="AK34" s="18">
        <v>0.33272762389099186</v>
      </c>
      <c r="AL34" s="18"/>
      <c r="AM34" s="18">
        <v>46.494896756427373</v>
      </c>
      <c r="AN34" s="18">
        <v>0.47892110991913739</v>
      </c>
      <c r="AO34" s="18"/>
      <c r="AP34" s="18"/>
      <c r="AQ34" s="18"/>
      <c r="AR34" s="18"/>
      <c r="AS34" s="18">
        <v>0.1778413966184085</v>
      </c>
      <c r="AT34" s="18">
        <v>1.0074368991898192E-4</v>
      </c>
      <c r="AU34" s="18">
        <v>4.0268692056187341E-2</v>
      </c>
      <c r="AV34" s="304">
        <v>0.3</v>
      </c>
      <c r="AW34" s="304">
        <v>0.7</v>
      </c>
      <c r="AX34" s="304">
        <v>1.2</v>
      </c>
      <c r="AY34" s="304">
        <v>1.2</v>
      </c>
      <c r="AZ34" s="303">
        <v>3</v>
      </c>
      <c r="BA34" s="6">
        <v>12.602870703330536</v>
      </c>
      <c r="BB34" s="6">
        <v>18</v>
      </c>
      <c r="BC34" s="5">
        <f t="shared" si="348"/>
        <v>226.85167265994966</v>
      </c>
      <c r="BD34" s="19">
        <v>1.5</v>
      </c>
      <c r="BE34" s="17">
        <v>1.4</v>
      </c>
      <c r="BF34" s="17">
        <v>1.4</v>
      </c>
      <c r="BG34" s="6">
        <v>12.602870703330536</v>
      </c>
      <c r="BH34" s="6">
        <v>18</v>
      </c>
      <c r="BI34" s="5">
        <v>9192.8920547945199</v>
      </c>
      <c r="BJ34" s="19">
        <v>1.5</v>
      </c>
      <c r="BK34" s="17">
        <v>1.4</v>
      </c>
      <c r="BL34" s="17">
        <v>1.4</v>
      </c>
      <c r="BM34" s="5">
        <v>290.67765942825264</v>
      </c>
      <c r="BN34" s="6">
        <v>179.9</v>
      </c>
      <c r="BO34" s="6">
        <v>3625.405205479462</v>
      </c>
      <c r="BP34" s="19">
        <v>1.5</v>
      </c>
      <c r="BQ34" s="17">
        <v>1.4</v>
      </c>
      <c r="BR34" s="17">
        <v>1.4</v>
      </c>
      <c r="BS34" s="221">
        <v>2</v>
      </c>
      <c r="BT34" s="54">
        <v>1.5</v>
      </c>
      <c r="BU34" s="54">
        <v>0.7</v>
      </c>
      <c r="BV34" s="54">
        <v>0.7</v>
      </c>
      <c r="BW34" s="54">
        <v>0.5</v>
      </c>
      <c r="BX34" s="5">
        <v>62.447830672471326</v>
      </c>
      <c r="BY34" s="5">
        <v>7623.9015342466155</v>
      </c>
      <c r="BZ34" s="19">
        <v>2.4</v>
      </c>
      <c r="CA34" s="17">
        <v>1.7</v>
      </c>
      <c r="CB34" s="17">
        <v>1.7</v>
      </c>
      <c r="CC34" s="221">
        <v>2</v>
      </c>
      <c r="CD34" s="221">
        <v>2</v>
      </c>
      <c r="CE34" s="221">
        <v>1</v>
      </c>
      <c r="CF34" s="221">
        <v>1</v>
      </c>
      <c r="CG34" s="54">
        <v>0.5</v>
      </c>
      <c r="CH34" s="5">
        <v>105.46392639168118</v>
      </c>
      <c r="CI34" s="5">
        <v>500</v>
      </c>
      <c r="CJ34" s="19">
        <v>2.5</v>
      </c>
      <c r="CK34" s="19">
        <v>1.3</v>
      </c>
      <c r="CL34" s="19">
        <v>1.3</v>
      </c>
      <c r="CM34" s="54">
        <v>2</v>
      </c>
      <c r="CN34" s="54">
        <v>1.5</v>
      </c>
      <c r="CO34" s="54">
        <v>0.5</v>
      </c>
      <c r="CP34" s="54">
        <v>1</v>
      </c>
      <c r="CQ34" s="54">
        <v>0.5</v>
      </c>
      <c r="CR34" s="5">
        <v>710.82336727317727</v>
      </c>
      <c r="CS34" s="8">
        <v>29</v>
      </c>
      <c r="CT34" s="19">
        <v>1.7</v>
      </c>
      <c r="CU34" s="17">
        <v>1.2</v>
      </c>
      <c r="CV34" s="17">
        <v>1.2</v>
      </c>
      <c r="CW34" s="54">
        <v>2</v>
      </c>
      <c r="CX34" s="54">
        <v>1</v>
      </c>
      <c r="CY34" s="54">
        <v>0.5</v>
      </c>
      <c r="CZ34" s="54">
        <v>0.7</v>
      </c>
      <c r="DA34" s="54">
        <v>0.2</v>
      </c>
      <c r="DB34" s="403">
        <v>0</v>
      </c>
      <c r="DC34" s="403">
        <v>0</v>
      </c>
      <c r="DD34" s="403">
        <v>0</v>
      </c>
      <c r="DE34" s="403">
        <v>0</v>
      </c>
      <c r="DF34" s="403">
        <v>0</v>
      </c>
      <c r="DG34" s="403">
        <v>0</v>
      </c>
      <c r="DH34" s="403">
        <v>0</v>
      </c>
      <c r="DI34" s="403">
        <v>0</v>
      </c>
      <c r="DJ34" s="403">
        <v>0</v>
      </c>
      <c r="DK34" s="403">
        <v>0</v>
      </c>
      <c r="DL34" s="403">
        <v>0</v>
      </c>
      <c r="DM34" s="403">
        <v>0</v>
      </c>
      <c r="DN34" s="403">
        <v>0</v>
      </c>
      <c r="DO34" s="403">
        <v>0</v>
      </c>
      <c r="DP34" s="403">
        <v>0</v>
      </c>
      <c r="DQ34" s="403">
        <v>0</v>
      </c>
      <c r="DR34" s="403">
        <v>0</v>
      </c>
      <c r="DS34" s="403">
        <v>0</v>
      </c>
      <c r="DT34" s="403">
        <v>0</v>
      </c>
      <c r="DU34" s="403">
        <v>0</v>
      </c>
      <c r="DV34" s="403">
        <v>0</v>
      </c>
      <c r="DW34" s="403">
        <v>0</v>
      </c>
      <c r="DX34" s="403">
        <v>0</v>
      </c>
      <c r="DY34" s="403">
        <v>0</v>
      </c>
      <c r="DZ34" s="404">
        <v>0</v>
      </c>
      <c r="EA34" s="404">
        <v>0</v>
      </c>
      <c r="EB34" s="404">
        <v>0</v>
      </c>
      <c r="EC34" s="404">
        <v>0</v>
      </c>
      <c r="ED34" s="404">
        <v>0</v>
      </c>
      <c r="EE34" s="404">
        <v>0</v>
      </c>
      <c r="EF34" s="404">
        <v>2.3331596698950001</v>
      </c>
      <c r="EG34" s="404">
        <v>0</v>
      </c>
      <c r="EH34" s="404">
        <v>0</v>
      </c>
      <c r="EI34" s="404">
        <v>0.98609088910742004</v>
      </c>
      <c r="EJ34" s="404">
        <v>9.6999770847580005E-2</v>
      </c>
      <c r="EK34" s="404">
        <v>-0.74905005460903995</v>
      </c>
      <c r="EL34" s="404">
        <v>2.3331596698949899</v>
      </c>
      <c r="EM34" s="404">
        <v>0</v>
      </c>
      <c r="EN34" s="404">
        <v>0</v>
      </c>
      <c r="EO34" s="404">
        <v>0.98609088910742004</v>
      </c>
      <c r="EP34" s="404">
        <v>0</v>
      </c>
      <c r="EQ34" s="404">
        <v>-0.74905005460903995</v>
      </c>
      <c r="ER34" s="404">
        <v>0</v>
      </c>
      <c r="ES34" s="404">
        <v>0</v>
      </c>
      <c r="ET34" s="404">
        <v>0</v>
      </c>
      <c r="EU34" s="404">
        <v>0</v>
      </c>
      <c r="EV34" s="404">
        <v>0</v>
      </c>
      <c r="EW34" s="404">
        <v>0</v>
      </c>
      <c r="EX34" s="404">
        <v>0</v>
      </c>
      <c r="EY34" s="404">
        <v>0</v>
      </c>
      <c r="EZ34" s="404">
        <v>0</v>
      </c>
      <c r="FA34" s="404">
        <v>0</v>
      </c>
      <c r="FB34" s="404">
        <v>0</v>
      </c>
      <c r="FC34" s="404">
        <v>0</v>
      </c>
      <c r="FD34" s="404">
        <v>0</v>
      </c>
      <c r="FE34" s="404">
        <v>0</v>
      </c>
      <c r="FF34" s="404">
        <v>0</v>
      </c>
      <c r="FG34" s="404">
        <v>0</v>
      </c>
      <c r="FH34" s="404">
        <v>0</v>
      </c>
      <c r="FI34" s="404">
        <v>0</v>
      </c>
      <c r="FJ34" s="404">
        <v>0</v>
      </c>
      <c r="FK34" s="404">
        <v>0</v>
      </c>
      <c r="FL34" s="404">
        <v>0</v>
      </c>
      <c r="FM34" s="404">
        <v>0</v>
      </c>
      <c r="FN34" s="404">
        <v>0</v>
      </c>
      <c r="FO34" s="404">
        <v>0</v>
      </c>
      <c r="FP34" s="404">
        <v>0</v>
      </c>
      <c r="FQ34" s="404">
        <v>0</v>
      </c>
      <c r="FR34" s="404">
        <v>0</v>
      </c>
      <c r="FS34" s="404">
        <v>0</v>
      </c>
      <c r="FT34" s="404">
        <v>0</v>
      </c>
      <c r="FU34" s="404">
        <v>0</v>
      </c>
      <c r="FV34" s="404">
        <v>0</v>
      </c>
      <c r="FW34" s="404">
        <v>0</v>
      </c>
      <c r="FX34" s="404">
        <v>0</v>
      </c>
      <c r="FY34" s="404">
        <v>0</v>
      </c>
      <c r="FZ34" s="404">
        <v>0</v>
      </c>
      <c r="GA34" s="404">
        <v>0</v>
      </c>
      <c r="GB34" s="404">
        <v>0</v>
      </c>
      <c r="GC34" s="404">
        <v>0</v>
      </c>
      <c r="GD34" s="404">
        <v>0</v>
      </c>
      <c r="GE34" s="404">
        <v>0</v>
      </c>
      <c r="GF34" s="404">
        <v>0</v>
      </c>
      <c r="GG34" s="404">
        <v>0</v>
      </c>
      <c r="GH34" s="404">
        <v>-55.82</v>
      </c>
      <c r="GI34" s="404">
        <v>-11.99</v>
      </c>
      <c r="GJ34" s="404">
        <v>-19.61</v>
      </c>
      <c r="GK34" s="404">
        <v>-12.92</v>
      </c>
      <c r="GL34" s="404">
        <v>4.6060068064949999E-2</v>
      </c>
      <c r="GM34" s="404">
        <v>-3.91</v>
      </c>
      <c r="GN34" s="404">
        <v>0</v>
      </c>
      <c r="GO34" s="404">
        <v>0</v>
      </c>
      <c r="GP34" s="404">
        <v>0</v>
      </c>
      <c r="GQ34" s="404">
        <v>0</v>
      </c>
      <c r="GR34" s="404">
        <v>0</v>
      </c>
      <c r="GS34" s="404">
        <v>0</v>
      </c>
      <c r="GT34" s="404">
        <v>0</v>
      </c>
      <c r="GU34" s="404">
        <v>0</v>
      </c>
      <c r="GV34" s="404">
        <v>0</v>
      </c>
      <c r="GW34" s="404">
        <v>0</v>
      </c>
      <c r="GX34" s="404">
        <v>0</v>
      </c>
      <c r="GY34" s="404">
        <v>0</v>
      </c>
      <c r="GZ34" s="404">
        <v>0</v>
      </c>
      <c r="HA34" s="404">
        <v>0</v>
      </c>
      <c r="HB34" s="404">
        <v>0</v>
      </c>
      <c r="HC34" s="404">
        <v>0</v>
      </c>
      <c r="HD34" s="404">
        <v>0</v>
      </c>
      <c r="HE34" s="404">
        <v>0</v>
      </c>
      <c r="HF34" s="404">
        <v>0</v>
      </c>
      <c r="HG34" s="404">
        <v>0</v>
      </c>
      <c r="HH34" s="404">
        <v>0</v>
      </c>
      <c r="HI34" s="404">
        <v>0</v>
      </c>
      <c r="HJ34" s="404">
        <v>0</v>
      </c>
      <c r="HK34" s="404">
        <v>0</v>
      </c>
      <c r="HL34" s="397">
        <v>-0.6</v>
      </c>
      <c r="HM34" s="405">
        <v>0</v>
      </c>
      <c r="HN34" s="405">
        <v>0</v>
      </c>
      <c r="HO34" s="405">
        <v>0</v>
      </c>
      <c r="HP34" s="405">
        <v>0</v>
      </c>
      <c r="HQ34" s="397">
        <v>-3.1108822695035498</v>
      </c>
      <c r="HR34" s="397">
        <v>0.1</v>
      </c>
      <c r="HS34" s="397">
        <v>0</v>
      </c>
      <c r="HT34" s="397">
        <v>0</v>
      </c>
      <c r="HU34" s="397">
        <v>0</v>
      </c>
      <c r="HV34" s="397">
        <v>0</v>
      </c>
      <c r="HW34" s="397">
        <v>0.23</v>
      </c>
      <c r="HX34" s="397">
        <v>-9.0767508396599993E-3</v>
      </c>
      <c r="HY34" s="397">
        <v>0</v>
      </c>
      <c r="HZ34" s="397">
        <v>0</v>
      </c>
      <c r="IA34" s="397">
        <v>-2.3954794799700002E-3</v>
      </c>
      <c r="IB34" s="397">
        <v>0</v>
      </c>
      <c r="IC34" s="397">
        <v>-0.47</v>
      </c>
      <c r="ID34" s="405">
        <v>0</v>
      </c>
      <c r="IE34" s="405">
        <v>0</v>
      </c>
      <c r="IF34" s="405">
        <v>0</v>
      </c>
      <c r="IG34" s="405">
        <v>0</v>
      </c>
      <c r="IH34" s="405">
        <v>0</v>
      </c>
      <c r="II34" s="405">
        <v>0</v>
      </c>
      <c r="IJ34" s="405">
        <v>0</v>
      </c>
      <c r="IK34" s="405">
        <v>0</v>
      </c>
      <c r="IL34" s="405">
        <v>0</v>
      </c>
      <c r="IM34" s="405">
        <v>0</v>
      </c>
      <c r="IN34" s="405">
        <v>0</v>
      </c>
      <c r="IO34" s="405">
        <v>0</v>
      </c>
      <c r="IP34" s="404">
        <v>-55.82</v>
      </c>
      <c r="IQ34" s="404">
        <v>-11.99</v>
      </c>
      <c r="IR34" s="404">
        <v>-19.61</v>
      </c>
      <c r="IS34" s="404">
        <v>-12.92</v>
      </c>
      <c r="IT34" s="404">
        <v>-1.07225369578546</v>
      </c>
      <c r="IU34" s="404">
        <v>-0.59</v>
      </c>
      <c r="IV34" s="404">
        <v>-0.12913436945737</v>
      </c>
      <c r="IW34" s="404">
        <v>0</v>
      </c>
      <c r="IX34" s="404">
        <v>0</v>
      </c>
      <c r="IY34" s="404">
        <v>0</v>
      </c>
      <c r="IZ34" s="404">
        <v>-0.75737307686747002</v>
      </c>
      <c r="JA34" s="404">
        <v>0</v>
      </c>
      <c r="JB34" s="404">
        <v>-0.15496124334884001</v>
      </c>
      <c r="JC34" s="404">
        <v>0</v>
      </c>
      <c r="JD34" s="404">
        <v>0</v>
      </c>
      <c r="JE34" s="404">
        <v>0</v>
      </c>
      <c r="JF34" s="404">
        <v>-1.39367584496439</v>
      </c>
      <c r="JG34" s="404">
        <v>0</v>
      </c>
      <c r="JH34" s="404">
        <v>0</v>
      </c>
      <c r="JI34" s="404">
        <v>0</v>
      </c>
      <c r="JJ34" s="404">
        <v>0</v>
      </c>
      <c r="JK34" s="404">
        <v>0</v>
      </c>
      <c r="JL34" s="404">
        <v>0</v>
      </c>
      <c r="JM34" s="404">
        <v>0</v>
      </c>
      <c r="JN34" s="404">
        <v>-0.15496124334885</v>
      </c>
      <c r="JO34" s="404">
        <v>0</v>
      </c>
      <c r="JP34" s="404">
        <v>0</v>
      </c>
      <c r="JQ34" s="404">
        <v>0</v>
      </c>
      <c r="JR34" s="404">
        <v>-1.3435541332540599</v>
      </c>
      <c r="JS34" s="404">
        <v>0</v>
      </c>
      <c r="JT34" s="404">
        <v>-55.82</v>
      </c>
      <c r="JU34" s="404">
        <v>-11.99</v>
      </c>
      <c r="JV34" s="404">
        <v>-19.61</v>
      </c>
      <c r="JW34" s="404">
        <v>-12.92</v>
      </c>
      <c r="JX34" s="404">
        <v>-0.84497718120804999</v>
      </c>
      <c r="JY34" s="404">
        <v>-0.9</v>
      </c>
      <c r="JZ34" s="404">
        <v>0</v>
      </c>
      <c r="KA34" s="404">
        <v>0</v>
      </c>
      <c r="KB34" s="404">
        <v>0</v>
      </c>
      <c r="KC34" s="404">
        <v>0</v>
      </c>
      <c r="KD34" s="404">
        <v>0</v>
      </c>
      <c r="KE34" s="404">
        <v>0</v>
      </c>
      <c r="KF34" s="404">
        <v>0</v>
      </c>
      <c r="KG34" s="404">
        <v>0</v>
      </c>
      <c r="KH34" s="404">
        <v>0</v>
      </c>
      <c r="KI34" s="404">
        <v>0</v>
      </c>
      <c r="KJ34" s="404">
        <v>0</v>
      </c>
      <c r="KK34" s="404">
        <v>0</v>
      </c>
      <c r="KL34" s="404">
        <v>0</v>
      </c>
      <c r="KM34" s="404">
        <v>0</v>
      </c>
      <c r="KN34" s="404">
        <v>0</v>
      </c>
      <c r="KO34" s="404">
        <v>0</v>
      </c>
      <c r="KP34" s="404">
        <v>0</v>
      </c>
      <c r="KQ34" s="404">
        <v>0</v>
      </c>
      <c r="KR34" s="404">
        <v>0</v>
      </c>
      <c r="KS34" s="404">
        <v>0</v>
      </c>
      <c r="KT34" s="404">
        <v>0</v>
      </c>
      <c r="KU34" s="404">
        <v>0</v>
      </c>
      <c r="KV34" s="404">
        <v>0</v>
      </c>
      <c r="KW34" s="404">
        <v>0</v>
      </c>
      <c r="KX34" s="404">
        <v>1.0046888903139199</v>
      </c>
      <c r="KY34" s="404">
        <v>0.16710577309979999</v>
      </c>
      <c r="KZ34" s="404">
        <v>-0.20275762945598999</v>
      </c>
      <c r="LA34" s="404">
        <v>1.2390474038300001E-2</v>
      </c>
      <c r="LB34" s="404">
        <v>-5.5329298001249999E-2</v>
      </c>
      <c r="LC34" s="404">
        <v>-0.44750344212965998</v>
      </c>
      <c r="LD34" s="404">
        <v>-2.6800558377699998E-3</v>
      </c>
      <c r="LE34" s="404">
        <v>0</v>
      </c>
      <c r="LF34" s="404">
        <v>0</v>
      </c>
      <c r="LG34" s="404">
        <v>0</v>
      </c>
      <c r="LH34" s="404">
        <v>4.3345790606010001E-2</v>
      </c>
      <c r="LI34" s="404">
        <v>0</v>
      </c>
      <c r="LJ34" s="404">
        <v>0</v>
      </c>
      <c r="LK34" s="404">
        <v>0</v>
      </c>
      <c r="LL34" s="404">
        <v>0</v>
      </c>
      <c r="LM34" s="404">
        <v>0</v>
      </c>
      <c r="LN34" s="404">
        <v>0.14138326334163001</v>
      </c>
      <c r="LO34" s="404">
        <v>-6.76163329988798</v>
      </c>
      <c r="LP34" s="404">
        <v>0.12020443037641</v>
      </c>
      <c r="LQ34" s="404">
        <v>0</v>
      </c>
      <c r="LR34" s="404">
        <v>0</v>
      </c>
      <c r="LS34" s="404">
        <v>0</v>
      </c>
      <c r="LT34" s="404">
        <v>0</v>
      </c>
      <c r="LU34" s="404">
        <v>-3.11</v>
      </c>
      <c r="LV34" s="401">
        <v>6.8506595710599999E-3</v>
      </c>
      <c r="LW34" s="401">
        <v>0</v>
      </c>
      <c r="LX34" s="401">
        <v>0</v>
      </c>
      <c r="LY34" s="401">
        <v>0</v>
      </c>
      <c r="LZ34" s="401">
        <v>0</v>
      </c>
      <c r="MA34" s="401">
        <v>-0.43889541996992998</v>
      </c>
      <c r="MB34" s="404">
        <v>0</v>
      </c>
      <c r="MC34" s="404">
        <v>0</v>
      </c>
      <c r="MD34" s="404">
        <v>0</v>
      </c>
      <c r="ME34" s="404">
        <v>0</v>
      </c>
      <c r="MF34" s="404">
        <v>0</v>
      </c>
      <c r="MG34" s="404">
        <v>0</v>
      </c>
    </row>
    <row r="35" spans="1:345" ht="18" customHeight="1">
      <c r="A35" s="10" t="s">
        <v>25</v>
      </c>
      <c r="B35" s="15">
        <v>-0.2</v>
      </c>
      <c r="C35" s="15">
        <v>-0.4</v>
      </c>
      <c r="D35" s="15">
        <v>-0.4</v>
      </c>
      <c r="E35" s="255">
        <v>348.18181818181819</v>
      </c>
      <c r="F35" s="253">
        <v>-4.8</v>
      </c>
      <c r="G35" s="20">
        <v>-2.8</v>
      </c>
      <c r="H35" s="20">
        <v>-2.8</v>
      </c>
      <c r="I35" s="5">
        <v>1216.230079338347</v>
      </c>
      <c r="J35" s="6">
        <v>12</v>
      </c>
      <c r="K35" s="6">
        <v>363.30711556363639</v>
      </c>
      <c r="L35" s="17">
        <v>2.2999999999999998</v>
      </c>
      <c r="M35" s="17">
        <v>0.7</v>
      </c>
      <c r="N35" s="17">
        <v>0.7</v>
      </c>
      <c r="O35" s="252">
        <v>0.4</v>
      </c>
      <c r="P35" s="252">
        <v>0</v>
      </c>
      <c r="Q35" s="252">
        <v>94.5</v>
      </c>
      <c r="R35" s="252">
        <v>2.5</v>
      </c>
      <c r="S35" s="252">
        <v>0.5</v>
      </c>
      <c r="T35" s="303">
        <v>2</v>
      </c>
      <c r="U35" s="304">
        <v>1.5</v>
      </c>
      <c r="V35" s="303">
        <v>1</v>
      </c>
      <c r="W35" s="304">
        <v>0.8</v>
      </c>
      <c r="X35" s="304">
        <v>0.5</v>
      </c>
      <c r="Y35" s="5">
        <v>5412.7575023540339</v>
      </c>
      <c r="Z35" s="14">
        <v>1.95</v>
      </c>
      <c r="AA35" s="5">
        <v>165.95098714265242</v>
      </c>
      <c r="AB35" s="17">
        <v>2.4</v>
      </c>
      <c r="AC35" s="17">
        <v>0.8</v>
      </c>
      <c r="AD35" s="17">
        <v>0.8</v>
      </c>
      <c r="AE35" s="254">
        <v>0.17111084121059142</v>
      </c>
      <c r="AF35" s="254">
        <v>0.17335999999999999</v>
      </c>
      <c r="AG35" s="18">
        <v>2</v>
      </c>
      <c r="AH35" s="18">
        <v>0.1</v>
      </c>
      <c r="AI35" s="18"/>
      <c r="AJ35" s="18">
        <v>51.7</v>
      </c>
      <c r="AK35" s="18">
        <v>0.4</v>
      </c>
      <c r="AL35" s="18"/>
      <c r="AM35" s="18">
        <v>44.3</v>
      </c>
      <c r="AN35" s="18"/>
      <c r="AO35" s="18"/>
      <c r="AP35" s="18"/>
      <c r="AQ35" s="18"/>
      <c r="AR35" s="18"/>
      <c r="AS35" s="18"/>
      <c r="AT35" s="18"/>
      <c r="AU35" s="18">
        <v>0.1</v>
      </c>
      <c r="AV35" s="304">
        <v>0.3</v>
      </c>
      <c r="AW35" s="304">
        <v>0.7</v>
      </c>
      <c r="AX35" s="304">
        <v>1.2</v>
      </c>
      <c r="AY35" s="304">
        <v>1.2</v>
      </c>
      <c r="AZ35" s="303">
        <v>3</v>
      </c>
      <c r="BA35" s="6">
        <v>0</v>
      </c>
      <c r="BB35" s="6">
        <v>18</v>
      </c>
      <c r="BC35" s="5">
        <f t="shared" si="348"/>
        <v>0</v>
      </c>
      <c r="BD35" s="17">
        <v>2.9</v>
      </c>
      <c r="BE35" s="17">
        <v>1.1000000000000001</v>
      </c>
      <c r="BF35" s="17">
        <v>1.1000000000000001</v>
      </c>
      <c r="BG35" s="6">
        <v>2.8567385150918447</v>
      </c>
      <c r="BH35" s="6">
        <v>18</v>
      </c>
      <c r="BI35" s="5">
        <v>9136.2909090909088</v>
      </c>
      <c r="BJ35" s="17">
        <v>2.9</v>
      </c>
      <c r="BK35" s="17">
        <v>1.1000000000000001</v>
      </c>
      <c r="BL35" s="17">
        <v>1.1000000000000001</v>
      </c>
      <c r="BM35" s="5">
        <v>694.53335216192738</v>
      </c>
      <c r="BN35" s="6">
        <v>179.9</v>
      </c>
      <c r="BO35" s="6">
        <v>3714.8122501409416</v>
      </c>
      <c r="BP35" s="17">
        <v>2.9</v>
      </c>
      <c r="BQ35" s="17">
        <v>1.1000000000000001</v>
      </c>
      <c r="BR35" s="17">
        <v>1.1000000000000001</v>
      </c>
      <c r="BS35" s="221">
        <v>2</v>
      </c>
      <c r="BT35" s="54">
        <v>1.5</v>
      </c>
      <c r="BU35" s="54">
        <v>0.7</v>
      </c>
      <c r="BV35" s="54">
        <v>0.7</v>
      </c>
      <c r="BW35" s="54">
        <v>0.5</v>
      </c>
      <c r="BX35" s="5">
        <v>247.60012756555616</v>
      </c>
      <c r="BY35" s="5">
        <v>6737.2536284221387</v>
      </c>
      <c r="BZ35" s="17">
        <v>2.8</v>
      </c>
      <c r="CA35" s="19">
        <v>1</v>
      </c>
      <c r="CB35" s="19">
        <v>1</v>
      </c>
      <c r="CC35" s="221">
        <v>2</v>
      </c>
      <c r="CD35" s="221">
        <v>2</v>
      </c>
      <c r="CE35" s="221">
        <v>1</v>
      </c>
      <c r="CF35" s="221">
        <v>1</v>
      </c>
      <c r="CG35" s="54">
        <v>0.5</v>
      </c>
      <c r="CH35" s="5">
        <v>518.06555086275444</v>
      </c>
      <c r="CI35" s="5">
        <v>500</v>
      </c>
      <c r="CJ35" s="19">
        <v>1.7</v>
      </c>
      <c r="CK35" s="19">
        <v>0.6</v>
      </c>
      <c r="CL35" s="19">
        <v>0.6</v>
      </c>
      <c r="CM35" s="54">
        <v>2</v>
      </c>
      <c r="CN35" s="54">
        <v>1.5</v>
      </c>
      <c r="CO35" s="54">
        <v>0.5</v>
      </c>
      <c r="CP35" s="54">
        <v>1</v>
      </c>
      <c r="CQ35" s="54">
        <v>0.5</v>
      </c>
      <c r="CR35" s="5">
        <v>152.75337966852516</v>
      </c>
      <c r="CS35" s="8">
        <v>29</v>
      </c>
      <c r="CT35" s="17">
        <v>1.4</v>
      </c>
      <c r="CU35" s="19">
        <v>0.5</v>
      </c>
      <c r="CV35" s="19">
        <v>0.5</v>
      </c>
      <c r="CW35" s="54">
        <v>2</v>
      </c>
      <c r="CX35" s="54">
        <v>1</v>
      </c>
      <c r="CY35" s="54">
        <v>0.5</v>
      </c>
      <c r="CZ35" s="54">
        <v>0.7</v>
      </c>
      <c r="DA35" s="54">
        <v>0.2</v>
      </c>
      <c r="DB35" s="403">
        <v>0</v>
      </c>
      <c r="DC35" s="403">
        <v>0</v>
      </c>
      <c r="DD35" s="403">
        <v>0</v>
      </c>
      <c r="DE35" s="403">
        <v>0</v>
      </c>
      <c r="DF35" s="403">
        <v>0</v>
      </c>
      <c r="DG35" s="403">
        <v>0</v>
      </c>
      <c r="DH35" s="403">
        <v>0</v>
      </c>
      <c r="DI35" s="403">
        <v>0</v>
      </c>
      <c r="DJ35" s="403">
        <v>0</v>
      </c>
      <c r="DK35" s="403">
        <v>0</v>
      </c>
      <c r="DL35" s="403">
        <v>0</v>
      </c>
      <c r="DM35" s="403">
        <v>0</v>
      </c>
      <c r="DN35" s="403">
        <v>0</v>
      </c>
      <c r="DO35" s="403">
        <v>0</v>
      </c>
      <c r="DP35" s="403">
        <v>0</v>
      </c>
      <c r="DQ35" s="403">
        <v>0</v>
      </c>
      <c r="DR35" s="403">
        <v>0</v>
      </c>
      <c r="DS35" s="403">
        <v>0</v>
      </c>
      <c r="DT35" s="403">
        <v>0</v>
      </c>
      <c r="DU35" s="403">
        <v>0</v>
      </c>
      <c r="DV35" s="403">
        <v>0</v>
      </c>
      <c r="DW35" s="403">
        <v>0</v>
      </c>
      <c r="DX35" s="403">
        <v>0</v>
      </c>
      <c r="DY35" s="403">
        <v>0</v>
      </c>
      <c r="DZ35" s="404">
        <v>0</v>
      </c>
      <c r="EA35" s="404">
        <v>0</v>
      </c>
      <c r="EB35" s="404">
        <v>0</v>
      </c>
      <c r="EC35" s="404">
        <v>0</v>
      </c>
      <c r="ED35" s="404">
        <v>0</v>
      </c>
      <c r="EE35" s="404">
        <v>0</v>
      </c>
      <c r="EF35" s="404">
        <v>2.3331596698950001</v>
      </c>
      <c r="EG35" s="404">
        <v>0</v>
      </c>
      <c r="EH35" s="404">
        <v>0</v>
      </c>
      <c r="EI35" s="404">
        <v>0.98609088910742004</v>
      </c>
      <c r="EJ35" s="404">
        <v>9.6999770847580005E-2</v>
      </c>
      <c r="EK35" s="404">
        <v>-0.74905005460903995</v>
      </c>
      <c r="EL35" s="404">
        <v>2.3331596698949899</v>
      </c>
      <c r="EM35" s="404">
        <v>0</v>
      </c>
      <c r="EN35" s="404">
        <v>0</v>
      </c>
      <c r="EO35" s="404">
        <v>0.98609088910742004</v>
      </c>
      <c r="EP35" s="404">
        <v>0</v>
      </c>
      <c r="EQ35" s="404">
        <v>-0.74905005460903995</v>
      </c>
      <c r="ER35" s="404">
        <v>0</v>
      </c>
      <c r="ES35" s="404">
        <v>0</v>
      </c>
      <c r="ET35" s="404">
        <v>0</v>
      </c>
      <c r="EU35" s="404">
        <v>0</v>
      </c>
      <c r="EV35" s="404">
        <v>0</v>
      </c>
      <c r="EW35" s="404">
        <v>0</v>
      </c>
      <c r="EX35" s="404">
        <v>0</v>
      </c>
      <c r="EY35" s="404">
        <v>0</v>
      </c>
      <c r="EZ35" s="404">
        <v>0</v>
      </c>
      <c r="FA35" s="404">
        <v>0</v>
      </c>
      <c r="FB35" s="404">
        <v>0</v>
      </c>
      <c r="FC35" s="404">
        <v>0</v>
      </c>
      <c r="FD35" s="404">
        <v>0</v>
      </c>
      <c r="FE35" s="404">
        <v>0</v>
      </c>
      <c r="FF35" s="404">
        <v>0</v>
      </c>
      <c r="FG35" s="404">
        <v>0</v>
      </c>
      <c r="FH35" s="404">
        <v>0</v>
      </c>
      <c r="FI35" s="404">
        <v>0</v>
      </c>
      <c r="FJ35" s="404">
        <v>0</v>
      </c>
      <c r="FK35" s="404">
        <v>0</v>
      </c>
      <c r="FL35" s="404">
        <v>0</v>
      </c>
      <c r="FM35" s="404">
        <v>0</v>
      </c>
      <c r="FN35" s="404">
        <v>0</v>
      </c>
      <c r="FO35" s="404">
        <v>0</v>
      </c>
      <c r="FP35" s="404">
        <v>0</v>
      </c>
      <c r="FQ35" s="404">
        <v>0</v>
      </c>
      <c r="FR35" s="404">
        <v>0</v>
      </c>
      <c r="FS35" s="404">
        <v>0</v>
      </c>
      <c r="FT35" s="404">
        <v>0</v>
      </c>
      <c r="FU35" s="404">
        <v>0</v>
      </c>
      <c r="FV35" s="404">
        <v>0</v>
      </c>
      <c r="FW35" s="404">
        <v>0</v>
      </c>
      <c r="FX35" s="404">
        <v>0</v>
      </c>
      <c r="FY35" s="404">
        <v>0</v>
      </c>
      <c r="FZ35" s="404">
        <v>0</v>
      </c>
      <c r="GA35" s="404">
        <v>0</v>
      </c>
      <c r="GB35" s="404">
        <v>0</v>
      </c>
      <c r="GC35" s="404">
        <v>0</v>
      </c>
      <c r="GD35" s="404">
        <v>0</v>
      </c>
      <c r="GE35" s="404">
        <v>0</v>
      </c>
      <c r="GF35" s="404">
        <v>0</v>
      </c>
      <c r="GG35" s="404">
        <v>0</v>
      </c>
      <c r="GH35" s="404">
        <v>-55.82</v>
      </c>
      <c r="GI35" s="404">
        <v>-11.99</v>
      </c>
      <c r="GJ35" s="404">
        <v>-19.61</v>
      </c>
      <c r="GK35" s="404">
        <v>-12.92</v>
      </c>
      <c r="GL35" s="404">
        <v>4.6060068064949999E-2</v>
      </c>
      <c r="GM35" s="404">
        <v>-3.91</v>
      </c>
      <c r="GN35" s="404">
        <v>0</v>
      </c>
      <c r="GO35" s="404">
        <v>0</v>
      </c>
      <c r="GP35" s="404">
        <v>0</v>
      </c>
      <c r="GQ35" s="404">
        <v>0</v>
      </c>
      <c r="GR35" s="404">
        <v>0</v>
      </c>
      <c r="GS35" s="404">
        <v>0</v>
      </c>
      <c r="GT35" s="404">
        <v>0</v>
      </c>
      <c r="GU35" s="404">
        <v>0</v>
      </c>
      <c r="GV35" s="404">
        <v>0</v>
      </c>
      <c r="GW35" s="404">
        <v>0</v>
      </c>
      <c r="GX35" s="404">
        <v>0</v>
      </c>
      <c r="GY35" s="404">
        <v>0</v>
      </c>
      <c r="GZ35" s="404">
        <v>0</v>
      </c>
      <c r="HA35" s="404">
        <v>0</v>
      </c>
      <c r="HB35" s="404">
        <v>0</v>
      </c>
      <c r="HC35" s="404">
        <v>0</v>
      </c>
      <c r="HD35" s="404">
        <v>0</v>
      </c>
      <c r="HE35" s="404">
        <v>0</v>
      </c>
      <c r="HF35" s="404">
        <v>0</v>
      </c>
      <c r="HG35" s="404">
        <v>0</v>
      </c>
      <c r="HH35" s="404">
        <v>0</v>
      </c>
      <c r="HI35" s="404">
        <v>0</v>
      </c>
      <c r="HJ35" s="404">
        <v>0</v>
      </c>
      <c r="HK35" s="404">
        <v>0</v>
      </c>
      <c r="HL35" s="397">
        <v>-0.6</v>
      </c>
      <c r="HM35" s="405">
        <v>0</v>
      </c>
      <c r="HN35" s="405">
        <v>0</v>
      </c>
      <c r="HO35" s="405">
        <v>0</v>
      </c>
      <c r="HP35" s="405">
        <v>0</v>
      </c>
      <c r="HQ35" s="397">
        <v>-3.1108822695035498</v>
      </c>
      <c r="HR35" s="397">
        <v>0.1</v>
      </c>
      <c r="HS35" s="397">
        <v>0</v>
      </c>
      <c r="HT35" s="397">
        <v>0</v>
      </c>
      <c r="HU35" s="397">
        <v>0</v>
      </c>
      <c r="HV35" s="397">
        <v>0</v>
      </c>
      <c r="HW35" s="397">
        <v>0.23</v>
      </c>
      <c r="HX35" s="397">
        <v>-9.0767508396599993E-3</v>
      </c>
      <c r="HY35" s="397">
        <v>0</v>
      </c>
      <c r="HZ35" s="397">
        <v>0</v>
      </c>
      <c r="IA35" s="397">
        <v>-2.3954794799700002E-3</v>
      </c>
      <c r="IB35" s="397">
        <v>0</v>
      </c>
      <c r="IC35" s="397">
        <v>-0.47</v>
      </c>
      <c r="ID35" s="405">
        <v>0</v>
      </c>
      <c r="IE35" s="405">
        <v>0</v>
      </c>
      <c r="IF35" s="405">
        <v>0</v>
      </c>
      <c r="IG35" s="405">
        <v>0</v>
      </c>
      <c r="IH35" s="405">
        <v>0</v>
      </c>
      <c r="II35" s="405">
        <v>0</v>
      </c>
      <c r="IJ35" s="405">
        <v>0</v>
      </c>
      <c r="IK35" s="405">
        <v>0</v>
      </c>
      <c r="IL35" s="405">
        <v>0</v>
      </c>
      <c r="IM35" s="405">
        <v>0</v>
      </c>
      <c r="IN35" s="405">
        <v>0</v>
      </c>
      <c r="IO35" s="405">
        <v>0</v>
      </c>
      <c r="IP35" s="404">
        <v>-55.82</v>
      </c>
      <c r="IQ35" s="404">
        <v>-11.99</v>
      </c>
      <c r="IR35" s="404">
        <v>-19.61</v>
      </c>
      <c r="IS35" s="404">
        <v>-12.92</v>
      </c>
      <c r="IT35" s="404">
        <v>-1.07225369578546</v>
      </c>
      <c r="IU35" s="404">
        <v>-0.59</v>
      </c>
      <c r="IV35" s="404">
        <v>-0.12913436945737</v>
      </c>
      <c r="IW35" s="404">
        <v>0</v>
      </c>
      <c r="IX35" s="404">
        <v>0</v>
      </c>
      <c r="IY35" s="404">
        <v>0</v>
      </c>
      <c r="IZ35" s="404">
        <v>-0.75737307686747002</v>
      </c>
      <c r="JA35" s="404">
        <v>0</v>
      </c>
      <c r="JB35" s="404">
        <v>-0.15496124334884001</v>
      </c>
      <c r="JC35" s="404">
        <v>0</v>
      </c>
      <c r="JD35" s="404">
        <v>0</v>
      </c>
      <c r="JE35" s="404">
        <v>0</v>
      </c>
      <c r="JF35" s="404">
        <v>-1.39367584496439</v>
      </c>
      <c r="JG35" s="404">
        <v>0</v>
      </c>
      <c r="JH35" s="404">
        <v>0</v>
      </c>
      <c r="JI35" s="404">
        <v>0</v>
      </c>
      <c r="JJ35" s="404">
        <v>0</v>
      </c>
      <c r="JK35" s="404">
        <v>0</v>
      </c>
      <c r="JL35" s="404">
        <v>0</v>
      </c>
      <c r="JM35" s="404">
        <v>0</v>
      </c>
      <c r="JN35" s="404">
        <v>-0.15496124334885</v>
      </c>
      <c r="JO35" s="404">
        <v>0</v>
      </c>
      <c r="JP35" s="404">
        <v>0</v>
      </c>
      <c r="JQ35" s="404">
        <v>0</v>
      </c>
      <c r="JR35" s="404">
        <v>-1.3435541332540599</v>
      </c>
      <c r="JS35" s="404">
        <v>0</v>
      </c>
      <c r="JT35" s="404">
        <v>-55.82</v>
      </c>
      <c r="JU35" s="404">
        <v>-11.99</v>
      </c>
      <c r="JV35" s="404">
        <v>-19.61</v>
      </c>
      <c r="JW35" s="404">
        <v>-12.92</v>
      </c>
      <c r="JX35" s="404">
        <v>-0.84497718120804999</v>
      </c>
      <c r="JY35" s="404">
        <v>-0.9</v>
      </c>
      <c r="JZ35" s="404">
        <v>0</v>
      </c>
      <c r="KA35" s="404">
        <v>0</v>
      </c>
      <c r="KB35" s="404">
        <v>0</v>
      </c>
      <c r="KC35" s="404">
        <v>0</v>
      </c>
      <c r="KD35" s="404">
        <v>0</v>
      </c>
      <c r="KE35" s="404">
        <v>0</v>
      </c>
      <c r="KF35" s="404">
        <v>0</v>
      </c>
      <c r="KG35" s="404">
        <v>0</v>
      </c>
      <c r="KH35" s="404">
        <v>0</v>
      </c>
      <c r="KI35" s="404">
        <v>0</v>
      </c>
      <c r="KJ35" s="404">
        <v>0</v>
      </c>
      <c r="KK35" s="404">
        <v>0</v>
      </c>
      <c r="KL35" s="404">
        <v>0</v>
      </c>
      <c r="KM35" s="404">
        <v>0</v>
      </c>
      <c r="KN35" s="404">
        <v>0</v>
      </c>
      <c r="KO35" s="404">
        <v>0</v>
      </c>
      <c r="KP35" s="404">
        <v>0</v>
      </c>
      <c r="KQ35" s="404">
        <v>0</v>
      </c>
      <c r="KR35" s="404">
        <v>0</v>
      </c>
      <c r="KS35" s="404">
        <v>0</v>
      </c>
      <c r="KT35" s="404">
        <v>0</v>
      </c>
      <c r="KU35" s="404">
        <v>0</v>
      </c>
      <c r="KV35" s="404">
        <v>0</v>
      </c>
      <c r="KW35" s="404">
        <v>0</v>
      </c>
      <c r="KX35" s="404">
        <v>1.0046888903139199</v>
      </c>
      <c r="KY35" s="404">
        <v>0.16710577309979999</v>
      </c>
      <c r="KZ35" s="404">
        <v>-0.20275762945598999</v>
      </c>
      <c r="LA35" s="404">
        <v>1.2390474038300001E-2</v>
      </c>
      <c r="LB35" s="404">
        <v>-5.5329298001249999E-2</v>
      </c>
      <c r="LC35" s="404">
        <v>-0.44750344212965998</v>
      </c>
      <c r="LD35" s="404">
        <v>-2.6800558377699998E-3</v>
      </c>
      <c r="LE35" s="404">
        <v>0</v>
      </c>
      <c r="LF35" s="404">
        <v>0</v>
      </c>
      <c r="LG35" s="404">
        <v>0</v>
      </c>
      <c r="LH35" s="404">
        <v>4.3345790606010001E-2</v>
      </c>
      <c r="LI35" s="404">
        <v>0</v>
      </c>
      <c r="LJ35" s="404">
        <v>0</v>
      </c>
      <c r="LK35" s="404">
        <v>0</v>
      </c>
      <c r="LL35" s="404">
        <v>0</v>
      </c>
      <c r="LM35" s="404">
        <v>0</v>
      </c>
      <c r="LN35" s="404">
        <v>0.14138326334163001</v>
      </c>
      <c r="LO35" s="404">
        <v>-6.76163329988798</v>
      </c>
      <c r="LP35" s="404">
        <v>0.12020443037641</v>
      </c>
      <c r="LQ35" s="404">
        <v>0</v>
      </c>
      <c r="LR35" s="404">
        <v>0</v>
      </c>
      <c r="LS35" s="404">
        <v>0</v>
      </c>
      <c r="LT35" s="404">
        <v>0</v>
      </c>
      <c r="LU35" s="404">
        <v>-3.11</v>
      </c>
      <c r="LV35" s="401">
        <v>6.8506595710599999E-3</v>
      </c>
      <c r="LW35" s="401">
        <v>0</v>
      </c>
      <c r="LX35" s="401">
        <v>0</v>
      </c>
      <c r="LY35" s="401">
        <v>0</v>
      </c>
      <c r="LZ35" s="401">
        <v>0</v>
      </c>
      <c r="MA35" s="401">
        <v>-0.43889541996992998</v>
      </c>
      <c r="MB35" s="404">
        <v>0</v>
      </c>
      <c r="MC35" s="404">
        <v>0</v>
      </c>
      <c r="MD35" s="404">
        <v>0</v>
      </c>
      <c r="ME35" s="404">
        <v>0</v>
      </c>
      <c r="MF35" s="404">
        <v>0</v>
      </c>
      <c r="MG35" s="404">
        <v>0</v>
      </c>
    </row>
    <row r="36" spans="1:345" ht="18" customHeight="1">
      <c r="A36" s="10" t="s">
        <v>24</v>
      </c>
      <c r="B36" s="15">
        <v>0</v>
      </c>
      <c r="C36" s="15">
        <v>0</v>
      </c>
      <c r="D36" s="15">
        <v>0</v>
      </c>
      <c r="E36" s="255">
        <v>226.96116504854368</v>
      </c>
      <c r="F36" s="256">
        <v>-0.9</v>
      </c>
      <c r="G36" s="16">
        <v>-8.9</v>
      </c>
      <c r="H36" s="16">
        <v>-8.9</v>
      </c>
      <c r="I36" s="5">
        <v>1793.1240783837679</v>
      </c>
      <c r="J36" s="6">
        <v>12</v>
      </c>
      <c r="K36" s="6">
        <v>375.63170000000008</v>
      </c>
      <c r="L36" s="17">
        <v>0.4</v>
      </c>
      <c r="M36" s="17">
        <v>0.2</v>
      </c>
      <c r="N36" s="17">
        <v>0.2</v>
      </c>
      <c r="O36" s="16">
        <v>0.1</v>
      </c>
      <c r="P36" s="16">
        <v>0</v>
      </c>
      <c r="Q36" s="16">
        <v>95.9</v>
      </c>
      <c r="R36" s="16">
        <v>4</v>
      </c>
      <c r="S36" s="252">
        <v>0</v>
      </c>
      <c r="T36" s="303">
        <v>2</v>
      </c>
      <c r="U36" s="304">
        <v>1.5</v>
      </c>
      <c r="V36" s="303">
        <v>1</v>
      </c>
      <c r="W36" s="304">
        <v>0.8</v>
      </c>
      <c r="X36" s="304">
        <v>0.5</v>
      </c>
      <c r="Y36" s="5">
        <v>13348.646246340531</v>
      </c>
      <c r="Z36" s="14">
        <v>1.64</v>
      </c>
      <c r="AA36" s="5">
        <v>166.59615137496732</v>
      </c>
      <c r="AB36" s="19">
        <v>0.9</v>
      </c>
      <c r="AC36" s="19">
        <v>0.6</v>
      </c>
      <c r="AD36" s="17">
        <v>0.6</v>
      </c>
      <c r="AE36" s="254">
        <v>0.16762304400128739</v>
      </c>
      <c r="AF36" s="254">
        <v>0.17453208696510045</v>
      </c>
      <c r="AG36" s="18">
        <v>0.83208583782305068</v>
      </c>
      <c r="AH36" s="18">
        <v>2.3050170849892727E-2</v>
      </c>
      <c r="AI36" s="18">
        <v>1.6043932105848411</v>
      </c>
      <c r="AJ36" s="18">
        <v>48.008271042990678</v>
      </c>
      <c r="AK36" s="18"/>
      <c r="AL36" s="18"/>
      <c r="AM36" s="18">
        <v>48.782942535839638</v>
      </c>
      <c r="AN36" s="18"/>
      <c r="AO36" s="18"/>
      <c r="AP36" s="18"/>
      <c r="AQ36" s="18"/>
      <c r="AR36" s="18"/>
      <c r="AS36" s="18"/>
      <c r="AT36" s="18">
        <v>0.58056034712037508</v>
      </c>
      <c r="AU36" s="18">
        <v>0.1686968547915226</v>
      </c>
      <c r="AV36" s="304">
        <v>0.3</v>
      </c>
      <c r="AW36" s="304">
        <v>0.7</v>
      </c>
      <c r="AX36" s="304">
        <v>1.2</v>
      </c>
      <c r="AY36" s="304">
        <v>1.2</v>
      </c>
      <c r="AZ36" s="303">
        <v>3</v>
      </c>
      <c r="BA36" s="6">
        <v>0</v>
      </c>
      <c r="BB36" s="6">
        <v>18</v>
      </c>
      <c r="BC36" s="5">
        <f t="shared" si="348"/>
        <v>0</v>
      </c>
      <c r="BD36" s="19">
        <v>3.4</v>
      </c>
      <c r="BE36" s="19">
        <v>1.9</v>
      </c>
      <c r="BF36" s="17">
        <v>1.9</v>
      </c>
      <c r="BG36" s="6">
        <v>0</v>
      </c>
      <c r="BH36" s="6">
        <v>18</v>
      </c>
      <c r="BI36" s="5">
        <v>6182.4221359223293</v>
      </c>
      <c r="BJ36" s="19">
        <v>3.4</v>
      </c>
      <c r="BK36" s="19">
        <v>1.9</v>
      </c>
      <c r="BL36" s="17">
        <v>1.9</v>
      </c>
      <c r="BM36" s="5">
        <v>269.32489069344996</v>
      </c>
      <c r="BN36" s="6">
        <v>179.9</v>
      </c>
      <c r="BO36" s="6">
        <v>2792.482568972554</v>
      </c>
      <c r="BP36" s="19">
        <v>3.4</v>
      </c>
      <c r="BQ36" s="19">
        <v>1.9</v>
      </c>
      <c r="BR36" s="17">
        <v>1.9</v>
      </c>
      <c r="BS36" s="221">
        <v>2</v>
      </c>
      <c r="BT36" s="54">
        <v>1.5</v>
      </c>
      <c r="BU36" s="54">
        <v>0.7</v>
      </c>
      <c r="BV36" s="54">
        <v>0.7</v>
      </c>
      <c r="BW36" s="54">
        <v>0.5</v>
      </c>
      <c r="BX36" s="5">
        <v>333.75012607534359</v>
      </c>
      <c r="BY36" s="5">
        <v>5508.8979830572771</v>
      </c>
      <c r="BZ36" s="19">
        <v>3.9</v>
      </c>
      <c r="CA36" s="19">
        <v>1.8</v>
      </c>
      <c r="CB36" s="17">
        <v>1.8</v>
      </c>
      <c r="CC36" s="221">
        <v>2</v>
      </c>
      <c r="CD36" s="221">
        <v>2</v>
      </c>
      <c r="CE36" s="221">
        <v>1</v>
      </c>
      <c r="CF36" s="221">
        <v>1</v>
      </c>
      <c r="CG36" s="54">
        <v>0.5</v>
      </c>
      <c r="CH36" s="5">
        <v>593.59065906361229</v>
      </c>
      <c r="CI36" s="5">
        <v>500</v>
      </c>
      <c r="CJ36" s="19">
        <v>2.2000000000000002</v>
      </c>
      <c r="CK36" s="19">
        <v>1.2</v>
      </c>
      <c r="CL36" s="19">
        <v>1.2</v>
      </c>
      <c r="CM36" s="54">
        <v>2</v>
      </c>
      <c r="CN36" s="54">
        <v>1.5</v>
      </c>
      <c r="CO36" s="54">
        <v>0.5</v>
      </c>
      <c r="CP36" s="54">
        <v>1</v>
      </c>
      <c r="CQ36" s="54">
        <v>0.5</v>
      </c>
      <c r="CR36" s="5"/>
      <c r="CS36" s="8">
        <v>29</v>
      </c>
      <c r="CT36" s="19">
        <v>0</v>
      </c>
      <c r="CU36" s="19">
        <v>0</v>
      </c>
      <c r="CV36" s="19">
        <v>0</v>
      </c>
      <c r="CW36" s="54">
        <v>2</v>
      </c>
      <c r="CX36" s="54">
        <v>1</v>
      </c>
      <c r="CY36" s="54">
        <v>0.5</v>
      </c>
      <c r="CZ36" s="54">
        <v>0.7</v>
      </c>
      <c r="DA36" s="54">
        <v>0.2</v>
      </c>
      <c r="DB36" s="403">
        <v>0</v>
      </c>
      <c r="DC36" s="403">
        <v>0</v>
      </c>
      <c r="DD36" s="403">
        <v>0</v>
      </c>
      <c r="DE36" s="403">
        <v>0</v>
      </c>
      <c r="DF36" s="403">
        <v>0</v>
      </c>
      <c r="DG36" s="403">
        <v>0</v>
      </c>
      <c r="DH36" s="403">
        <v>0</v>
      </c>
      <c r="DI36" s="403">
        <v>0</v>
      </c>
      <c r="DJ36" s="403">
        <v>0</v>
      </c>
      <c r="DK36" s="403">
        <v>0</v>
      </c>
      <c r="DL36" s="403">
        <v>0</v>
      </c>
      <c r="DM36" s="403">
        <v>0</v>
      </c>
      <c r="DN36" s="403">
        <v>0</v>
      </c>
      <c r="DO36" s="403">
        <v>0</v>
      </c>
      <c r="DP36" s="403">
        <v>0</v>
      </c>
      <c r="DQ36" s="403">
        <v>0</v>
      </c>
      <c r="DR36" s="403">
        <v>0</v>
      </c>
      <c r="DS36" s="403">
        <v>0</v>
      </c>
      <c r="DT36" s="403">
        <v>0</v>
      </c>
      <c r="DU36" s="403">
        <v>0</v>
      </c>
      <c r="DV36" s="403">
        <v>0</v>
      </c>
      <c r="DW36" s="403">
        <v>0</v>
      </c>
      <c r="DX36" s="403">
        <v>0</v>
      </c>
      <c r="DY36" s="403">
        <v>0</v>
      </c>
      <c r="DZ36" s="404">
        <v>0</v>
      </c>
      <c r="EA36" s="404">
        <v>0</v>
      </c>
      <c r="EB36" s="404">
        <v>0</v>
      </c>
      <c r="EC36" s="404">
        <v>0</v>
      </c>
      <c r="ED36" s="404">
        <v>0</v>
      </c>
      <c r="EE36" s="404">
        <v>0</v>
      </c>
      <c r="EF36" s="404">
        <v>2.3331596698950001</v>
      </c>
      <c r="EG36" s="404">
        <v>0</v>
      </c>
      <c r="EH36" s="404">
        <v>0</v>
      </c>
      <c r="EI36" s="404">
        <v>0.98609088910742004</v>
      </c>
      <c r="EJ36" s="404">
        <v>9.6999770847580005E-2</v>
      </c>
      <c r="EK36" s="404">
        <v>-0.74905005460903995</v>
      </c>
      <c r="EL36" s="404">
        <v>2.3331596698949899</v>
      </c>
      <c r="EM36" s="404">
        <v>0</v>
      </c>
      <c r="EN36" s="404">
        <v>0</v>
      </c>
      <c r="EO36" s="404">
        <v>0.98609088910742004</v>
      </c>
      <c r="EP36" s="404">
        <v>0</v>
      </c>
      <c r="EQ36" s="404">
        <v>-0.74905005460903995</v>
      </c>
      <c r="ER36" s="404">
        <v>0</v>
      </c>
      <c r="ES36" s="404">
        <v>0</v>
      </c>
      <c r="ET36" s="404">
        <v>0</v>
      </c>
      <c r="EU36" s="404">
        <v>0</v>
      </c>
      <c r="EV36" s="404">
        <v>0</v>
      </c>
      <c r="EW36" s="404">
        <v>0</v>
      </c>
      <c r="EX36" s="404">
        <v>0</v>
      </c>
      <c r="EY36" s="404">
        <v>0</v>
      </c>
      <c r="EZ36" s="404">
        <v>0</v>
      </c>
      <c r="FA36" s="404">
        <v>0</v>
      </c>
      <c r="FB36" s="404">
        <v>0</v>
      </c>
      <c r="FC36" s="404">
        <v>0</v>
      </c>
      <c r="FD36" s="404">
        <v>0</v>
      </c>
      <c r="FE36" s="404">
        <v>0</v>
      </c>
      <c r="FF36" s="404">
        <v>0</v>
      </c>
      <c r="FG36" s="404">
        <v>0</v>
      </c>
      <c r="FH36" s="404">
        <v>0</v>
      </c>
      <c r="FI36" s="404">
        <v>0</v>
      </c>
      <c r="FJ36" s="404">
        <v>0</v>
      </c>
      <c r="FK36" s="404">
        <v>0</v>
      </c>
      <c r="FL36" s="404">
        <v>0</v>
      </c>
      <c r="FM36" s="404">
        <v>0</v>
      </c>
      <c r="FN36" s="404">
        <v>0</v>
      </c>
      <c r="FO36" s="404">
        <v>0</v>
      </c>
      <c r="FP36" s="404">
        <v>0</v>
      </c>
      <c r="FQ36" s="404">
        <v>0</v>
      </c>
      <c r="FR36" s="404">
        <v>0</v>
      </c>
      <c r="FS36" s="404">
        <v>0</v>
      </c>
      <c r="FT36" s="404">
        <v>0</v>
      </c>
      <c r="FU36" s="404">
        <v>0</v>
      </c>
      <c r="FV36" s="404">
        <v>0</v>
      </c>
      <c r="FW36" s="404">
        <v>0</v>
      </c>
      <c r="FX36" s="404">
        <v>0</v>
      </c>
      <c r="FY36" s="404">
        <v>0</v>
      </c>
      <c r="FZ36" s="404">
        <v>0</v>
      </c>
      <c r="GA36" s="404">
        <v>0</v>
      </c>
      <c r="GB36" s="404">
        <v>0</v>
      </c>
      <c r="GC36" s="404">
        <v>0</v>
      </c>
      <c r="GD36" s="404">
        <v>0</v>
      </c>
      <c r="GE36" s="404">
        <v>0</v>
      </c>
      <c r="GF36" s="404">
        <v>0</v>
      </c>
      <c r="GG36" s="404">
        <v>0</v>
      </c>
      <c r="GH36" s="404">
        <v>-55.82</v>
      </c>
      <c r="GI36" s="404">
        <v>-11.99</v>
      </c>
      <c r="GJ36" s="404">
        <v>-19.61</v>
      </c>
      <c r="GK36" s="404">
        <v>-12.92</v>
      </c>
      <c r="GL36" s="404">
        <v>4.6060068064949999E-2</v>
      </c>
      <c r="GM36" s="404">
        <v>-3.91</v>
      </c>
      <c r="GN36" s="404">
        <v>0</v>
      </c>
      <c r="GO36" s="404">
        <v>0</v>
      </c>
      <c r="GP36" s="404">
        <v>0</v>
      </c>
      <c r="GQ36" s="404">
        <v>0</v>
      </c>
      <c r="GR36" s="404">
        <v>0</v>
      </c>
      <c r="GS36" s="404">
        <v>0</v>
      </c>
      <c r="GT36" s="404">
        <v>0</v>
      </c>
      <c r="GU36" s="404">
        <v>0</v>
      </c>
      <c r="GV36" s="404">
        <v>0</v>
      </c>
      <c r="GW36" s="404">
        <v>0</v>
      </c>
      <c r="GX36" s="404">
        <v>0</v>
      </c>
      <c r="GY36" s="404">
        <v>0</v>
      </c>
      <c r="GZ36" s="404">
        <v>0</v>
      </c>
      <c r="HA36" s="404">
        <v>0</v>
      </c>
      <c r="HB36" s="404">
        <v>0</v>
      </c>
      <c r="HC36" s="404">
        <v>0</v>
      </c>
      <c r="HD36" s="404">
        <v>0</v>
      </c>
      <c r="HE36" s="404">
        <v>0</v>
      </c>
      <c r="HF36" s="404">
        <v>0</v>
      </c>
      <c r="HG36" s="404">
        <v>0</v>
      </c>
      <c r="HH36" s="404">
        <v>0</v>
      </c>
      <c r="HI36" s="404">
        <v>0</v>
      </c>
      <c r="HJ36" s="404">
        <v>0</v>
      </c>
      <c r="HK36" s="404">
        <v>0</v>
      </c>
      <c r="HL36" s="397">
        <v>-0.6</v>
      </c>
      <c r="HM36" s="405">
        <v>0</v>
      </c>
      <c r="HN36" s="405">
        <v>0</v>
      </c>
      <c r="HO36" s="405">
        <v>0</v>
      </c>
      <c r="HP36" s="405">
        <v>0</v>
      </c>
      <c r="HQ36" s="397">
        <v>-3.1108822695035498</v>
      </c>
      <c r="HR36" s="397">
        <v>0.1</v>
      </c>
      <c r="HS36" s="397">
        <v>0</v>
      </c>
      <c r="HT36" s="397">
        <v>0</v>
      </c>
      <c r="HU36" s="397">
        <v>0</v>
      </c>
      <c r="HV36" s="397">
        <v>0</v>
      </c>
      <c r="HW36" s="397">
        <v>0.23</v>
      </c>
      <c r="HX36" s="397">
        <v>-9.0767508396599993E-3</v>
      </c>
      <c r="HY36" s="397">
        <v>0</v>
      </c>
      <c r="HZ36" s="397">
        <v>0</v>
      </c>
      <c r="IA36" s="397">
        <v>-2.3954794799700002E-3</v>
      </c>
      <c r="IB36" s="397">
        <v>0</v>
      </c>
      <c r="IC36" s="397">
        <v>-0.47</v>
      </c>
      <c r="ID36" s="405">
        <v>0</v>
      </c>
      <c r="IE36" s="405">
        <v>0</v>
      </c>
      <c r="IF36" s="405">
        <v>0</v>
      </c>
      <c r="IG36" s="405">
        <v>0</v>
      </c>
      <c r="IH36" s="405">
        <v>0</v>
      </c>
      <c r="II36" s="405">
        <v>0</v>
      </c>
      <c r="IJ36" s="405">
        <v>0</v>
      </c>
      <c r="IK36" s="405">
        <v>0</v>
      </c>
      <c r="IL36" s="405">
        <v>0</v>
      </c>
      <c r="IM36" s="405">
        <v>0</v>
      </c>
      <c r="IN36" s="405">
        <v>0</v>
      </c>
      <c r="IO36" s="405">
        <v>0</v>
      </c>
      <c r="IP36" s="404">
        <v>-55.82</v>
      </c>
      <c r="IQ36" s="404">
        <v>-11.99</v>
      </c>
      <c r="IR36" s="404">
        <v>-19.61</v>
      </c>
      <c r="IS36" s="404">
        <v>-12.92</v>
      </c>
      <c r="IT36" s="404">
        <v>-1.07225369578546</v>
      </c>
      <c r="IU36" s="404">
        <v>-0.59</v>
      </c>
      <c r="IV36" s="404">
        <v>-0.12913436945737</v>
      </c>
      <c r="IW36" s="404">
        <v>0</v>
      </c>
      <c r="IX36" s="404">
        <v>0</v>
      </c>
      <c r="IY36" s="404">
        <v>0</v>
      </c>
      <c r="IZ36" s="404">
        <v>-0.75737307686747002</v>
      </c>
      <c r="JA36" s="404">
        <v>0</v>
      </c>
      <c r="JB36" s="404">
        <v>-0.15496124334884001</v>
      </c>
      <c r="JC36" s="404">
        <v>0</v>
      </c>
      <c r="JD36" s="404">
        <v>0</v>
      </c>
      <c r="JE36" s="404">
        <v>0</v>
      </c>
      <c r="JF36" s="404">
        <v>-1.39367584496439</v>
      </c>
      <c r="JG36" s="404">
        <v>0</v>
      </c>
      <c r="JH36" s="404">
        <v>0</v>
      </c>
      <c r="JI36" s="404">
        <v>0</v>
      </c>
      <c r="JJ36" s="404">
        <v>0</v>
      </c>
      <c r="JK36" s="404">
        <v>0</v>
      </c>
      <c r="JL36" s="404">
        <v>0</v>
      </c>
      <c r="JM36" s="404">
        <v>0</v>
      </c>
      <c r="JN36" s="404">
        <v>-0.15496124334885</v>
      </c>
      <c r="JO36" s="404">
        <v>0</v>
      </c>
      <c r="JP36" s="404">
        <v>0</v>
      </c>
      <c r="JQ36" s="404">
        <v>0</v>
      </c>
      <c r="JR36" s="404">
        <v>-1.3435541332540599</v>
      </c>
      <c r="JS36" s="404">
        <v>0</v>
      </c>
      <c r="JT36" s="404">
        <v>-55.82</v>
      </c>
      <c r="JU36" s="404">
        <v>-11.99</v>
      </c>
      <c r="JV36" s="404">
        <v>-19.61</v>
      </c>
      <c r="JW36" s="404">
        <v>-12.92</v>
      </c>
      <c r="JX36" s="404">
        <v>-0.84497718120804999</v>
      </c>
      <c r="JY36" s="404">
        <v>-0.9</v>
      </c>
      <c r="JZ36" s="404">
        <v>0</v>
      </c>
      <c r="KA36" s="404">
        <v>0</v>
      </c>
      <c r="KB36" s="404">
        <v>0</v>
      </c>
      <c r="KC36" s="404">
        <v>0</v>
      </c>
      <c r="KD36" s="404">
        <v>0</v>
      </c>
      <c r="KE36" s="404">
        <v>0</v>
      </c>
      <c r="KF36" s="404">
        <v>0</v>
      </c>
      <c r="KG36" s="404">
        <v>0</v>
      </c>
      <c r="KH36" s="404">
        <v>0</v>
      </c>
      <c r="KI36" s="404">
        <v>0</v>
      </c>
      <c r="KJ36" s="404">
        <v>0</v>
      </c>
      <c r="KK36" s="404">
        <v>0</v>
      </c>
      <c r="KL36" s="404">
        <v>0</v>
      </c>
      <c r="KM36" s="404">
        <v>0</v>
      </c>
      <c r="KN36" s="404">
        <v>0</v>
      </c>
      <c r="KO36" s="404">
        <v>0</v>
      </c>
      <c r="KP36" s="404">
        <v>0</v>
      </c>
      <c r="KQ36" s="404">
        <v>0</v>
      </c>
      <c r="KR36" s="404">
        <v>0</v>
      </c>
      <c r="KS36" s="404">
        <v>0</v>
      </c>
      <c r="KT36" s="404">
        <v>0</v>
      </c>
      <c r="KU36" s="404">
        <v>0</v>
      </c>
      <c r="KV36" s="404">
        <v>0</v>
      </c>
      <c r="KW36" s="404">
        <v>0</v>
      </c>
      <c r="KX36" s="404">
        <v>1.0046888903139199</v>
      </c>
      <c r="KY36" s="404">
        <v>0.16710577309979999</v>
      </c>
      <c r="KZ36" s="404">
        <v>-0.20275762945598999</v>
      </c>
      <c r="LA36" s="404">
        <v>1.2390474038300001E-2</v>
      </c>
      <c r="LB36" s="404">
        <v>-5.5329298001249999E-2</v>
      </c>
      <c r="LC36" s="404">
        <v>-0.44750344212965998</v>
      </c>
      <c r="LD36" s="404">
        <v>-2.6800558377699998E-3</v>
      </c>
      <c r="LE36" s="404">
        <v>0</v>
      </c>
      <c r="LF36" s="404">
        <v>0</v>
      </c>
      <c r="LG36" s="404">
        <v>0</v>
      </c>
      <c r="LH36" s="404">
        <v>4.3345790606010001E-2</v>
      </c>
      <c r="LI36" s="404">
        <v>0</v>
      </c>
      <c r="LJ36" s="404">
        <v>0</v>
      </c>
      <c r="LK36" s="404">
        <v>0</v>
      </c>
      <c r="LL36" s="404">
        <v>0</v>
      </c>
      <c r="LM36" s="404">
        <v>0</v>
      </c>
      <c r="LN36" s="404">
        <v>0.14138326334163001</v>
      </c>
      <c r="LO36" s="404">
        <v>-6.76163329988798</v>
      </c>
      <c r="LP36" s="404">
        <v>0.12020443037641</v>
      </c>
      <c r="LQ36" s="404">
        <v>0</v>
      </c>
      <c r="LR36" s="404">
        <v>0</v>
      </c>
      <c r="LS36" s="404">
        <v>0</v>
      </c>
      <c r="LT36" s="404">
        <v>0</v>
      </c>
      <c r="LU36" s="404">
        <v>-3.11</v>
      </c>
      <c r="LV36" s="401">
        <v>6.8506595710599999E-3</v>
      </c>
      <c r="LW36" s="401">
        <v>0</v>
      </c>
      <c r="LX36" s="401">
        <v>0</v>
      </c>
      <c r="LY36" s="401">
        <v>0</v>
      </c>
      <c r="LZ36" s="401">
        <v>0</v>
      </c>
      <c r="MA36" s="401">
        <v>-0.43889541996992998</v>
      </c>
      <c r="MB36" s="404">
        <v>0</v>
      </c>
      <c r="MC36" s="404">
        <v>0</v>
      </c>
      <c r="MD36" s="404">
        <v>0</v>
      </c>
      <c r="ME36" s="404">
        <v>0</v>
      </c>
      <c r="MF36" s="404">
        <v>0</v>
      </c>
      <c r="MG36" s="404">
        <v>0</v>
      </c>
    </row>
    <row r="37" spans="1:345" ht="18" customHeight="1">
      <c r="A37" s="10" t="s">
        <v>8</v>
      </c>
      <c r="B37" s="15">
        <v>-0.3</v>
      </c>
      <c r="C37" s="15">
        <v>0.1</v>
      </c>
      <c r="D37" s="15">
        <v>0.1</v>
      </c>
      <c r="E37" s="255">
        <v>223.22222222222223</v>
      </c>
      <c r="F37" s="256">
        <v>-7.6</v>
      </c>
      <c r="G37" s="16">
        <v>-4.5</v>
      </c>
      <c r="H37" s="16">
        <v>-4.5</v>
      </c>
      <c r="I37" s="5">
        <v>689.39284274161412</v>
      </c>
      <c r="J37" s="6">
        <v>12</v>
      </c>
      <c r="K37" s="6">
        <v>376.24290000000008</v>
      </c>
      <c r="L37" s="17">
        <v>0.5</v>
      </c>
      <c r="M37" s="17">
        <v>0.8</v>
      </c>
      <c r="N37" s="17">
        <v>0.8</v>
      </c>
      <c r="O37" s="16">
        <v>0.8</v>
      </c>
      <c r="P37" s="16">
        <v>0.2</v>
      </c>
      <c r="Q37" s="16">
        <v>94.7</v>
      </c>
      <c r="R37" s="16">
        <v>4.3</v>
      </c>
      <c r="S37" s="252">
        <v>0</v>
      </c>
      <c r="T37" s="303">
        <v>2</v>
      </c>
      <c r="U37" s="304">
        <v>1.5</v>
      </c>
      <c r="V37" s="303">
        <v>1</v>
      </c>
      <c r="W37" s="304">
        <v>0.8</v>
      </c>
      <c r="X37" s="304">
        <v>0.5</v>
      </c>
      <c r="Y37" s="5">
        <v>7388.5637462906834</v>
      </c>
      <c r="Z37" s="14">
        <v>1.74</v>
      </c>
      <c r="AA37" s="5">
        <v>167.7072446678124</v>
      </c>
      <c r="AB37" s="17">
        <v>1.4</v>
      </c>
      <c r="AC37" s="17">
        <v>0.9</v>
      </c>
      <c r="AD37" s="17">
        <v>0.9</v>
      </c>
      <c r="AE37" s="254">
        <v>0.17577939230295198</v>
      </c>
      <c r="AF37" s="254">
        <v>0.17366977723647017</v>
      </c>
      <c r="AG37" s="18">
        <v>0.2629495213426396</v>
      </c>
      <c r="AH37" s="18">
        <v>5.0037767411100699E-2</v>
      </c>
      <c r="AI37" s="18">
        <v>0.48317161965461464</v>
      </c>
      <c r="AJ37" s="18">
        <v>42.941497793929337</v>
      </c>
      <c r="AK37" s="18">
        <v>1.3016100587745205</v>
      </c>
      <c r="AL37" s="18">
        <v>2.5371433573121271E-2</v>
      </c>
      <c r="AM37" s="18">
        <v>54.707983349920738</v>
      </c>
      <c r="AN37" s="18">
        <v>5.6355298946078519E-2</v>
      </c>
      <c r="AO37" s="18">
        <v>8.3882554697909328E-4</v>
      </c>
      <c r="AP37" s="18">
        <v>2.9987000230170493E-4</v>
      </c>
      <c r="AQ37" s="18">
        <v>0</v>
      </c>
      <c r="AR37" s="18">
        <v>1.9856256909166946E-4</v>
      </c>
      <c r="AS37" s="18">
        <v>0</v>
      </c>
      <c r="AT37" s="18">
        <v>9.8106118320598311E-3</v>
      </c>
      <c r="AU37" s="18">
        <v>0.15987528649742111</v>
      </c>
      <c r="AV37" s="304">
        <v>0.3</v>
      </c>
      <c r="AW37" s="304">
        <v>0.7</v>
      </c>
      <c r="AX37" s="304">
        <v>1.2</v>
      </c>
      <c r="AY37" s="304">
        <v>1.2</v>
      </c>
      <c r="AZ37" s="303">
        <v>3</v>
      </c>
      <c r="BA37" s="6">
        <v>5.1160712608838885</v>
      </c>
      <c r="BB37" s="6">
        <v>18</v>
      </c>
      <c r="BC37" s="5">
        <f t="shared" si="348"/>
        <v>92.089282695909986</v>
      </c>
      <c r="BD37" s="17">
        <v>2.8</v>
      </c>
      <c r="BE37" s="19">
        <v>2</v>
      </c>
      <c r="BF37" s="19">
        <v>2</v>
      </c>
      <c r="BG37" s="6">
        <v>5.1160712608838885</v>
      </c>
      <c r="BH37" s="6">
        <v>18</v>
      </c>
      <c r="BI37" s="5">
        <v>6303.7955555555554</v>
      </c>
      <c r="BJ37" s="17">
        <v>2.8</v>
      </c>
      <c r="BK37" s="19">
        <v>2</v>
      </c>
      <c r="BL37" s="19">
        <v>2</v>
      </c>
      <c r="BM37" s="5">
        <v>599.65114313615823</v>
      </c>
      <c r="BN37" s="6">
        <v>179.9</v>
      </c>
      <c r="BO37" s="6">
        <v>2734.3044444444545</v>
      </c>
      <c r="BP37" s="17">
        <v>2.8</v>
      </c>
      <c r="BQ37" s="19">
        <v>2</v>
      </c>
      <c r="BR37" s="19">
        <v>2</v>
      </c>
      <c r="BS37" s="221">
        <v>2</v>
      </c>
      <c r="BT37" s="54">
        <v>1.5</v>
      </c>
      <c r="BU37" s="54">
        <v>0.7</v>
      </c>
      <c r="BV37" s="54">
        <v>0.7</v>
      </c>
      <c r="BW37" s="54">
        <v>0.5</v>
      </c>
      <c r="BX37" s="5"/>
      <c r="BY37" s="5">
        <v>6840.6634444444853</v>
      </c>
      <c r="BZ37" s="17">
        <v>2.2999999999999998</v>
      </c>
      <c r="CA37" s="19">
        <v>0.8</v>
      </c>
      <c r="CB37" s="19">
        <v>0.8</v>
      </c>
      <c r="CC37" s="221">
        <v>2</v>
      </c>
      <c r="CD37" s="221">
        <v>2</v>
      </c>
      <c r="CE37" s="221">
        <v>1</v>
      </c>
      <c r="CF37" s="221">
        <v>1</v>
      </c>
      <c r="CG37" s="54">
        <v>0.5</v>
      </c>
      <c r="CH37" s="5"/>
      <c r="CI37" s="5">
        <v>500</v>
      </c>
      <c r="CJ37" s="19">
        <v>1.3</v>
      </c>
      <c r="CK37" s="19">
        <v>0.9</v>
      </c>
      <c r="CL37" s="19">
        <v>0.9</v>
      </c>
      <c r="CM37" s="54">
        <v>2</v>
      </c>
      <c r="CN37" s="54">
        <v>1.5</v>
      </c>
      <c r="CO37" s="54">
        <v>0.5</v>
      </c>
      <c r="CP37" s="54">
        <v>1</v>
      </c>
      <c r="CQ37" s="54">
        <v>0.5</v>
      </c>
      <c r="CR37" s="5"/>
      <c r="CS37" s="8">
        <v>29</v>
      </c>
      <c r="CT37" s="17">
        <v>1.2</v>
      </c>
      <c r="CU37" s="19">
        <v>0.7</v>
      </c>
      <c r="CV37" s="19">
        <v>0.7</v>
      </c>
      <c r="CW37" s="54">
        <v>2</v>
      </c>
      <c r="CX37" s="54">
        <v>1</v>
      </c>
      <c r="CY37" s="54">
        <v>0.5</v>
      </c>
      <c r="CZ37" s="54">
        <v>0.7</v>
      </c>
      <c r="DA37" s="54">
        <v>0.2</v>
      </c>
      <c r="DB37" s="403">
        <v>0</v>
      </c>
      <c r="DC37" s="403">
        <v>0</v>
      </c>
      <c r="DD37" s="403">
        <v>0</v>
      </c>
      <c r="DE37" s="403">
        <v>0</v>
      </c>
      <c r="DF37" s="403">
        <v>0</v>
      </c>
      <c r="DG37" s="403">
        <v>0</v>
      </c>
      <c r="DH37" s="403">
        <v>0</v>
      </c>
      <c r="DI37" s="403">
        <v>0</v>
      </c>
      <c r="DJ37" s="403">
        <v>0</v>
      </c>
      <c r="DK37" s="403">
        <v>0</v>
      </c>
      <c r="DL37" s="403">
        <v>0</v>
      </c>
      <c r="DM37" s="403">
        <v>0</v>
      </c>
      <c r="DN37" s="403">
        <v>0</v>
      </c>
      <c r="DO37" s="403">
        <v>0</v>
      </c>
      <c r="DP37" s="403">
        <v>0</v>
      </c>
      <c r="DQ37" s="403">
        <v>0</v>
      </c>
      <c r="DR37" s="403">
        <v>0</v>
      </c>
      <c r="DS37" s="403">
        <v>0</v>
      </c>
      <c r="DT37" s="403">
        <v>0</v>
      </c>
      <c r="DU37" s="403">
        <v>0</v>
      </c>
      <c r="DV37" s="403">
        <v>0</v>
      </c>
      <c r="DW37" s="403">
        <v>0</v>
      </c>
      <c r="DX37" s="403">
        <v>0</v>
      </c>
      <c r="DY37" s="403">
        <v>0</v>
      </c>
      <c r="DZ37" s="404">
        <v>0</v>
      </c>
      <c r="EA37" s="404">
        <v>0</v>
      </c>
      <c r="EB37" s="404">
        <v>0</v>
      </c>
      <c r="EC37" s="404">
        <v>0</v>
      </c>
      <c r="ED37" s="404">
        <v>0</v>
      </c>
      <c r="EE37" s="404">
        <v>0</v>
      </c>
      <c r="EF37" s="404">
        <v>2.3331596698950001</v>
      </c>
      <c r="EG37" s="404">
        <v>0</v>
      </c>
      <c r="EH37" s="404">
        <v>0</v>
      </c>
      <c r="EI37" s="404">
        <v>0.98609088910742004</v>
      </c>
      <c r="EJ37" s="404">
        <v>9.6999770847580005E-2</v>
      </c>
      <c r="EK37" s="404">
        <v>-0.74905005460903995</v>
      </c>
      <c r="EL37" s="404">
        <v>2.3331596698949899</v>
      </c>
      <c r="EM37" s="404">
        <v>0</v>
      </c>
      <c r="EN37" s="404">
        <v>0</v>
      </c>
      <c r="EO37" s="404">
        <v>0.98609088910742004</v>
      </c>
      <c r="EP37" s="404">
        <v>0</v>
      </c>
      <c r="EQ37" s="404">
        <v>-0.74905005460903995</v>
      </c>
      <c r="ER37" s="404">
        <v>0</v>
      </c>
      <c r="ES37" s="404">
        <v>0</v>
      </c>
      <c r="ET37" s="404">
        <v>0</v>
      </c>
      <c r="EU37" s="404">
        <v>0</v>
      </c>
      <c r="EV37" s="404">
        <v>0</v>
      </c>
      <c r="EW37" s="404">
        <v>0</v>
      </c>
      <c r="EX37" s="404">
        <v>0</v>
      </c>
      <c r="EY37" s="404">
        <v>0</v>
      </c>
      <c r="EZ37" s="404">
        <v>0</v>
      </c>
      <c r="FA37" s="404">
        <v>0</v>
      </c>
      <c r="FB37" s="404">
        <v>0</v>
      </c>
      <c r="FC37" s="404">
        <v>0</v>
      </c>
      <c r="FD37" s="404">
        <v>0</v>
      </c>
      <c r="FE37" s="404">
        <v>0</v>
      </c>
      <c r="FF37" s="404">
        <v>0</v>
      </c>
      <c r="FG37" s="404">
        <v>0</v>
      </c>
      <c r="FH37" s="404">
        <v>0</v>
      </c>
      <c r="FI37" s="404">
        <v>0</v>
      </c>
      <c r="FJ37" s="404">
        <v>0</v>
      </c>
      <c r="FK37" s="404">
        <v>0</v>
      </c>
      <c r="FL37" s="404">
        <v>0</v>
      </c>
      <c r="FM37" s="404">
        <v>0</v>
      </c>
      <c r="FN37" s="404">
        <v>0</v>
      </c>
      <c r="FO37" s="404">
        <v>0</v>
      </c>
      <c r="FP37" s="404">
        <v>0</v>
      </c>
      <c r="FQ37" s="404">
        <v>0</v>
      </c>
      <c r="FR37" s="404">
        <v>0</v>
      </c>
      <c r="FS37" s="404">
        <v>0</v>
      </c>
      <c r="FT37" s="404">
        <v>0</v>
      </c>
      <c r="FU37" s="404">
        <v>0</v>
      </c>
      <c r="FV37" s="404">
        <v>0</v>
      </c>
      <c r="FW37" s="404">
        <v>0</v>
      </c>
      <c r="FX37" s="404">
        <v>0</v>
      </c>
      <c r="FY37" s="404">
        <v>0</v>
      </c>
      <c r="FZ37" s="404">
        <v>0</v>
      </c>
      <c r="GA37" s="404">
        <v>0</v>
      </c>
      <c r="GB37" s="404">
        <v>0</v>
      </c>
      <c r="GC37" s="404">
        <v>0</v>
      </c>
      <c r="GD37" s="404">
        <v>0</v>
      </c>
      <c r="GE37" s="404">
        <v>0</v>
      </c>
      <c r="GF37" s="404">
        <v>0</v>
      </c>
      <c r="GG37" s="404">
        <v>0</v>
      </c>
      <c r="GH37" s="404">
        <v>-55.82</v>
      </c>
      <c r="GI37" s="404">
        <v>-11.99</v>
      </c>
      <c r="GJ37" s="404">
        <v>-19.61</v>
      </c>
      <c r="GK37" s="404">
        <v>-12.92</v>
      </c>
      <c r="GL37" s="404">
        <v>4.6060068064949999E-2</v>
      </c>
      <c r="GM37" s="404">
        <v>-3.91</v>
      </c>
      <c r="GN37" s="404">
        <v>0</v>
      </c>
      <c r="GO37" s="404">
        <v>0</v>
      </c>
      <c r="GP37" s="404">
        <v>0</v>
      </c>
      <c r="GQ37" s="404">
        <v>0</v>
      </c>
      <c r="GR37" s="404">
        <v>0</v>
      </c>
      <c r="GS37" s="404">
        <v>0</v>
      </c>
      <c r="GT37" s="404">
        <v>0</v>
      </c>
      <c r="GU37" s="404">
        <v>0</v>
      </c>
      <c r="GV37" s="404">
        <v>0</v>
      </c>
      <c r="GW37" s="404">
        <v>0</v>
      </c>
      <c r="GX37" s="404">
        <v>0</v>
      </c>
      <c r="GY37" s="404">
        <v>0</v>
      </c>
      <c r="GZ37" s="404">
        <v>0</v>
      </c>
      <c r="HA37" s="404">
        <v>0</v>
      </c>
      <c r="HB37" s="404">
        <v>0</v>
      </c>
      <c r="HC37" s="404">
        <v>0</v>
      </c>
      <c r="HD37" s="404">
        <v>0</v>
      </c>
      <c r="HE37" s="404">
        <v>0</v>
      </c>
      <c r="HF37" s="404">
        <v>0</v>
      </c>
      <c r="HG37" s="404">
        <v>0</v>
      </c>
      <c r="HH37" s="404">
        <v>0</v>
      </c>
      <c r="HI37" s="404">
        <v>0</v>
      </c>
      <c r="HJ37" s="404">
        <v>0</v>
      </c>
      <c r="HK37" s="404">
        <v>0</v>
      </c>
      <c r="HL37" s="397">
        <v>-0.6</v>
      </c>
      <c r="HM37" s="405">
        <v>0</v>
      </c>
      <c r="HN37" s="405">
        <v>0</v>
      </c>
      <c r="HO37" s="405">
        <v>0</v>
      </c>
      <c r="HP37" s="405">
        <v>0</v>
      </c>
      <c r="HQ37" s="397">
        <v>-3.1108822695035498</v>
      </c>
      <c r="HR37" s="397">
        <v>0.1</v>
      </c>
      <c r="HS37" s="397">
        <v>0</v>
      </c>
      <c r="HT37" s="397">
        <v>0</v>
      </c>
      <c r="HU37" s="397">
        <v>0</v>
      </c>
      <c r="HV37" s="397">
        <v>0</v>
      </c>
      <c r="HW37" s="397">
        <v>0.23</v>
      </c>
      <c r="HX37" s="397">
        <v>-9.0767508396599993E-3</v>
      </c>
      <c r="HY37" s="397">
        <v>0</v>
      </c>
      <c r="HZ37" s="397">
        <v>0</v>
      </c>
      <c r="IA37" s="397">
        <v>-2.3954794799700002E-3</v>
      </c>
      <c r="IB37" s="397">
        <v>0</v>
      </c>
      <c r="IC37" s="397">
        <v>-0.47</v>
      </c>
      <c r="ID37" s="405">
        <v>0</v>
      </c>
      <c r="IE37" s="405">
        <v>0</v>
      </c>
      <c r="IF37" s="405">
        <v>0</v>
      </c>
      <c r="IG37" s="405">
        <v>0</v>
      </c>
      <c r="IH37" s="405">
        <v>0</v>
      </c>
      <c r="II37" s="405">
        <v>0</v>
      </c>
      <c r="IJ37" s="405">
        <v>0</v>
      </c>
      <c r="IK37" s="405">
        <v>0</v>
      </c>
      <c r="IL37" s="405">
        <v>0</v>
      </c>
      <c r="IM37" s="405">
        <v>0</v>
      </c>
      <c r="IN37" s="405">
        <v>0</v>
      </c>
      <c r="IO37" s="405">
        <v>0</v>
      </c>
      <c r="IP37" s="404">
        <v>-55.82</v>
      </c>
      <c r="IQ37" s="404">
        <v>-11.99</v>
      </c>
      <c r="IR37" s="404">
        <v>-19.61</v>
      </c>
      <c r="IS37" s="404">
        <v>-12.92</v>
      </c>
      <c r="IT37" s="404">
        <v>-1.07225369578546</v>
      </c>
      <c r="IU37" s="404">
        <v>-0.59</v>
      </c>
      <c r="IV37" s="404">
        <v>-0.12913436945737</v>
      </c>
      <c r="IW37" s="404">
        <v>0</v>
      </c>
      <c r="IX37" s="404">
        <v>0</v>
      </c>
      <c r="IY37" s="404">
        <v>0</v>
      </c>
      <c r="IZ37" s="404">
        <v>-0.75737307686747002</v>
      </c>
      <c r="JA37" s="404">
        <v>0</v>
      </c>
      <c r="JB37" s="404">
        <v>-0.15496124334884001</v>
      </c>
      <c r="JC37" s="404">
        <v>0</v>
      </c>
      <c r="JD37" s="404">
        <v>0</v>
      </c>
      <c r="JE37" s="404">
        <v>0</v>
      </c>
      <c r="JF37" s="404">
        <v>-1.39367584496439</v>
      </c>
      <c r="JG37" s="404">
        <v>0</v>
      </c>
      <c r="JH37" s="404">
        <v>0</v>
      </c>
      <c r="JI37" s="404">
        <v>0</v>
      </c>
      <c r="JJ37" s="404">
        <v>0</v>
      </c>
      <c r="JK37" s="404">
        <v>0</v>
      </c>
      <c r="JL37" s="404">
        <v>0</v>
      </c>
      <c r="JM37" s="404">
        <v>0</v>
      </c>
      <c r="JN37" s="404">
        <v>-0.15496124334885</v>
      </c>
      <c r="JO37" s="404">
        <v>0</v>
      </c>
      <c r="JP37" s="404">
        <v>0</v>
      </c>
      <c r="JQ37" s="404">
        <v>0</v>
      </c>
      <c r="JR37" s="404">
        <v>-1.3435541332540599</v>
      </c>
      <c r="JS37" s="404">
        <v>0</v>
      </c>
      <c r="JT37" s="404">
        <v>-55.82</v>
      </c>
      <c r="JU37" s="404">
        <v>-11.99</v>
      </c>
      <c r="JV37" s="404">
        <v>-19.61</v>
      </c>
      <c r="JW37" s="404">
        <v>-12.92</v>
      </c>
      <c r="JX37" s="404">
        <v>-0.84497718120804999</v>
      </c>
      <c r="JY37" s="404">
        <v>-0.9</v>
      </c>
      <c r="JZ37" s="404">
        <v>0</v>
      </c>
      <c r="KA37" s="404">
        <v>0</v>
      </c>
      <c r="KB37" s="404">
        <v>0</v>
      </c>
      <c r="KC37" s="404">
        <v>0</v>
      </c>
      <c r="KD37" s="404">
        <v>0</v>
      </c>
      <c r="KE37" s="404">
        <v>0</v>
      </c>
      <c r="KF37" s="404">
        <v>0</v>
      </c>
      <c r="KG37" s="404">
        <v>0</v>
      </c>
      <c r="KH37" s="404">
        <v>0</v>
      </c>
      <c r="KI37" s="404">
        <v>0</v>
      </c>
      <c r="KJ37" s="404">
        <v>0</v>
      </c>
      <c r="KK37" s="404">
        <v>0</v>
      </c>
      <c r="KL37" s="404">
        <v>0</v>
      </c>
      <c r="KM37" s="404">
        <v>0</v>
      </c>
      <c r="KN37" s="404">
        <v>0</v>
      </c>
      <c r="KO37" s="404">
        <v>0</v>
      </c>
      <c r="KP37" s="404">
        <v>0</v>
      </c>
      <c r="KQ37" s="404">
        <v>0</v>
      </c>
      <c r="KR37" s="404">
        <v>0</v>
      </c>
      <c r="KS37" s="404">
        <v>0</v>
      </c>
      <c r="KT37" s="404">
        <v>0</v>
      </c>
      <c r="KU37" s="404">
        <v>0</v>
      </c>
      <c r="KV37" s="404">
        <v>0</v>
      </c>
      <c r="KW37" s="404">
        <v>0</v>
      </c>
      <c r="KX37" s="404">
        <v>1.0046888903139199</v>
      </c>
      <c r="KY37" s="404">
        <v>0.16710577309979999</v>
      </c>
      <c r="KZ37" s="404">
        <v>-0.20275762945598999</v>
      </c>
      <c r="LA37" s="404">
        <v>1.2390474038300001E-2</v>
      </c>
      <c r="LB37" s="404">
        <v>-5.5329298001249999E-2</v>
      </c>
      <c r="LC37" s="404">
        <v>-0.44750344212965998</v>
      </c>
      <c r="LD37" s="404">
        <v>-2.6800558377699998E-3</v>
      </c>
      <c r="LE37" s="404">
        <v>0</v>
      </c>
      <c r="LF37" s="404">
        <v>0</v>
      </c>
      <c r="LG37" s="404">
        <v>0</v>
      </c>
      <c r="LH37" s="404">
        <v>4.3345790606010001E-2</v>
      </c>
      <c r="LI37" s="404">
        <v>0</v>
      </c>
      <c r="LJ37" s="404">
        <v>0</v>
      </c>
      <c r="LK37" s="404">
        <v>0</v>
      </c>
      <c r="LL37" s="404">
        <v>0</v>
      </c>
      <c r="LM37" s="404">
        <v>0</v>
      </c>
      <c r="LN37" s="404">
        <v>0.14138326334163001</v>
      </c>
      <c r="LO37" s="404">
        <v>-6.76163329988798</v>
      </c>
      <c r="LP37" s="404">
        <v>0.12020443037641</v>
      </c>
      <c r="LQ37" s="404">
        <v>0</v>
      </c>
      <c r="LR37" s="404">
        <v>0</v>
      </c>
      <c r="LS37" s="404">
        <v>0</v>
      </c>
      <c r="LT37" s="404">
        <v>0</v>
      </c>
      <c r="LU37" s="404">
        <v>-3.11</v>
      </c>
      <c r="LV37" s="401">
        <v>6.8506595710599999E-3</v>
      </c>
      <c r="LW37" s="401">
        <v>0</v>
      </c>
      <c r="LX37" s="401">
        <v>0</v>
      </c>
      <c r="LY37" s="401">
        <v>0</v>
      </c>
      <c r="LZ37" s="401">
        <v>0</v>
      </c>
      <c r="MA37" s="401">
        <v>-0.43889541996992998</v>
      </c>
      <c r="MB37" s="404">
        <v>0</v>
      </c>
      <c r="MC37" s="404">
        <v>0</v>
      </c>
      <c r="MD37" s="404">
        <v>0</v>
      </c>
      <c r="ME37" s="404">
        <v>0</v>
      </c>
      <c r="MF37" s="404">
        <v>0</v>
      </c>
      <c r="MG37" s="404">
        <v>0</v>
      </c>
    </row>
    <row r="38" spans="1:345" ht="18" customHeight="1">
      <c r="A38" s="10" t="s">
        <v>23</v>
      </c>
      <c r="B38" s="15">
        <v>0.8</v>
      </c>
      <c r="C38" s="15">
        <v>0.6</v>
      </c>
      <c r="D38" s="15">
        <v>0.6</v>
      </c>
      <c r="E38" s="298">
        <v>28.8</v>
      </c>
      <c r="F38" s="16">
        <v>-0.5</v>
      </c>
      <c r="G38" s="16">
        <v>-2.1</v>
      </c>
      <c r="H38" s="16">
        <v>-2.1</v>
      </c>
      <c r="I38" s="5">
        <v>990.07981098369419</v>
      </c>
      <c r="J38" s="6">
        <v>12</v>
      </c>
      <c r="K38" s="6">
        <v>405.14239999999995</v>
      </c>
      <c r="L38" s="19">
        <v>1.1000000000000001</v>
      </c>
      <c r="M38" s="19">
        <v>1</v>
      </c>
      <c r="N38" s="19">
        <v>1</v>
      </c>
      <c r="O38" s="16">
        <v>0.3</v>
      </c>
      <c r="P38" s="16">
        <v>0</v>
      </c>
      <c r="Q38" s="16">
        <v>79.599999999999994</v>
      </c>
      <c r="R38" s="16">
        <v>20.100000000000001</v>
      </c>
      <c r="S38" s="252">
        <v>0</v>
      </c>
      <c r="T38" s="303">
        <v>2</v>
      </c>
      <c r="U38" s="304">
        <v>1.5</v>
      </c>
      <c r="V38" s="303">
        <v>1</v>
      </c>
      <c r="W38" s="304">
        <v>0.8</v>
      </c>
      <c r="X38" s="304">
        <v>0.5</v>
      </c>
      <c r="Y38" s="5">
        <v>11423.774107200925</v>
      </c>
      <c r="Z38" s="14">
        <v>1.45</v>
      </c>
      <c r="AA38" s="5">
        <v>156.08031768997961</v>
      </c>
      <c r="AB38" s="19">
        <v>0.8</v>
      </c>
      <c r="AC38" s="19">
        <v>0.5</v>
      </c>
      <c r="AD38" s="19">
        <v>0.5</v>
      </c>
      <c r="AE38" s="254">
        <v>0.1822167202203919</v>
      </c>
      <c r="AF38" s="254">
        <v>0.1789444822334269</v>
      </c>
      <c r="AG38" s="18">
        <v>2.5210004182921463E-4</v>
      </c>
      <c r="AH38" s="18">
        <v>0.21021265026374514</v>
      </c>
      <c r="AI38" s="18">
        <v>5.3114763889888135</v>
      </c>
      <c r="AJ38" s="18">
        <v>52.247016153601066</v>
      </c>
      <c r="AK38" s="18">
        <v>2.1746537454406254</v>
      </c>
      <c r="AL38" s="18">
        <v>1.2092075467892829</v>
      </c>
      <c r="AM38" s="18">
        <v>33.647637444457992</v>
      </c>
      <c r="AN38" s="18">
        <v>1.6425287340718832E-2</v>
      </c>
      <c r="AO38" s="18">
        <v>8.2107044392684209E-2</v>
      </c>
      <c r="AP38" s="18">
        <v>7.5630012548764394E-4</v>
      </c>
      <c r="AQ38" s="18">
        <v>1.8422695364442609E-3</v>
      </c>
      <c r="AR38" s="18">
        <v>5.8176932729818755E-5</v>
      </c>
      <c r="AS38" s="18">
        <v>0.59679836825339083</v>
      </c>
      <c r="AT38" s="18">
        <v>3.9131356338948895</v>
      </c>
      <c r="AU38" s="18">
        <v>0.58842088994029684</v>
      </c>
      <c r="AV38" s="304">
        <v>0.3</v>
      </c>
      <c r="AW38" s="304">
        <v>0.7</v>
      </c>
      <c r="AX38" s="304">
        <v>1.2</v>
      </c>
      <c r="AY38" s="304">
        <v>1.2</v>
      </c>
      <c r="AZ38" s="303">
        <v>3</v>
      </c>
      <c r="BA38" s="6">
        <v>7.3249462297562387</v>
      </c>
      <c r="BB38" s="6">
        <v>18</v>
      </c>
      <c r="BC38" s="5">
        <f t="shared" si="348"/>
        <v>131.8490321356123</v>
      </c>
      <c r="BD38" s="19">
        <v>1.5</v>
      </c>
      <c r="BE38" s="19">
        <v>0.9</v>
      </c>
      <c r="BF38" s="19">
        <v>0.9</v>
      </c>
      <c r="BG38" s="6">
        <v>7.3249462297562387</v>
      </c>
      <c r="BH38" s="6">
        <v>18</v>
      </c>
      <c r="BI38" s="5">
        <v>842.11199999999997</v>
      </c>
      <c r="BJ38" s="19">
        <v>1.5</v>
      </c>
      <c r="BK38" s="19">
        <v>0.9</v>
      </c>
      <c r="BL38" s="19">
        <v>0.9</v>
      </c>
      <c r="BM38" s="5">
        <v>1305.1946206365653</v>
      </c>
      <c r="BN38" s="6">
        <v>179.9</v>
      </c>
      <c r="BO38" s="6">
        <v>1505.55600000001</v>
      </c>
      <c r="BP38" s="19">
        <v>1.5</v>
      </c>
      <c r="BQ38" s="19">
        <v>0.9</v>
      </c>
      <c r="BR38" s="19">
        <v>0.9</v>
      </c>
      <c r="BS38" s="221">
        <v>2</v>
      </c>
      <c r="BT38" s="54">
        <v>1.5</v>
      </c>
      <c r="BU38" s="54">
        <v>0.7</v>
      </c>
      <c r="BV38" s="54">
        <v>0.7</v>
      </c>
      <c r="BW38" s="54">
        <v>0.5</v>
      </c>
      <c r="BX38" s="5">
        <v>95.354781745581008</v>
      </c>
      <c r="BY38" s="5">
        <v>5760.6480000000411</v>
      </c>
      <c r="BZ38" s="19">
        <v>1.9</v>
      </c>
      <c r="CA38" s="19">
        <v>1.3</v>
      </c>
      <c r="CB38" s="19">
        <v>1.3</v>
      </c>
      <c r="CC38" s="221">
        <v>2</v>
      </c>
      <c r="CD38" s="221">
        <v>2</v>
      </c>
      <c r="CE38" s="221">
        <v>1</v>
      </c>
      <c r="CF38" s="221">
        <v>1</v>
      </c>
      <c r="CG38" s="54">
        <v>0.5</v>
      </c>
      <c r="CH38" s="5">
        <v>213.20177484077675</v>
      </c>
      <c r="CI38" s="5">
        <v>500</v>
      </c>
      <c r="CJ38" s="19">
        <v>1.2</v>
      </c>
      <c r="CK38" s="19">
        <v>0.7</v>
      </c>
      <c r="CL38" s="19">
        <v>0.7</v>
      </c>
      <c r="CM38" s="54">
        <v>2</v>
      </c>
      <c r="CN38" s="54">
        <v>1.5</v>
      </c>
      <c r="CO38" s="54">
        <v>0.5</v>
      </c>
      <c r="CP38" s="54">
        <v>1</v>
      </c>
      <c r="CQ38" s="54">
        <v>0.5</v>
      </c>
      <c r="CR38" s="5"/>
      <c r="CS38" s="8">
        <v>29</v>
      </c>
      <c r="CT38" s="19">
        <v>1.7</v>
      </c>
      <c r="CU38" s="19">
        <v>1.4</v>
      </c>
      <c r="CV38" s="19">
        <v>1.4</v>
      </c>
      <c r="CW38" s="54">
        <v>2</v>
      </c>
      <c r="CX38" s="54">
        <v>1</v>
      </c>
      <c r="CY38" s="54">
        <v>0.5</v>
      </c>
      <c r="CZ38" s="54">
        <v>0.7</v>
      </c>
      <c r="DA38" s="54">
        <v>0.2</v>
      </c>
      <c r="DB38" s="403">
        <v>0</v>
      </c>
      <c r="DC38" s="403">
        <v>0</v>
      </c>
      <c r="DD38" s="403">
        <v>0</v>
      </c>
      <c r="DE38" s="403">
        <v>0</v>
      </c>
      <c r="DF38" s="403">
        <v>0</v>
      </c>
      <c r="DG38" s="403">
        <v>0</v>
      </c>
      <c r="DH38" s="403">
        <v>0</v>
      </c>
      <c r="DI38" s="403">
        <v>0</v>
      </c>
      <c r="DJ38" s="403">
        <v>0</v>
      </c>
      <c r="DK38" s="403">
        <v>0</v>
      </c>
      <c r="DL38" s="403">
        <v>0</v>
      </c>
      <c r="DM38" s="403">
        <v>0</v>
      </c>
      <c r="DN38" s="403">
        <v>0</v>
      </c>
      <c r="DO38" s="403">
        <v>0</v>
      </c>
      <c r="DP38" s="403">
        <v>0</v>
      </c>
      <c r="DQ38" s="403">
        <v>0</v>
      </c>
      <c r="DR38" s="403">
        <v>0</v>
      </c>
      <c r="DS38" s="403">
        <v>0</v>
      </c>
      <c r="DT38" s="403">
        <v>0</v>
      </c>
      <c r="DU38" s="403">
        <v>0</v>
      </c>
      <c r="DV38" s="403">
        <v>0</v>
      </c>
      <c r="DW38" s="403">
        <v>0</v>
      </c>
      <c r="DX38" s="403">
        <v>0</v>
      </c>
      <c r="DY38" s="403">
        <v>0</v>
      </c>
      <c r="DZ38" s="404">
        <v>0</v>
      </c>
      <c r="EA38" s="404">
        <v>0</v>
      </c>
      <c r="EB38" s="404">
        <v>0</v>
      </c>
      <c r="EC38" s="404">
        <v>0</v>
      </c>
      <c r="ED38" s="404">
        <v>0</v>
      </c>
      <c r="EE38" s="404">
        <v>0</v>
      </c>
      <c r="EF38" s="404">
        <v>2.3331596698950001</v>
      </c>
      <c r="EG38" s="404">
        <v>0</v>
      </c>
      <c r="EH38" s="404">
        <v>0</v>
      </c>
      <c r="EI38" s="404">
        <v>0.98609088910742004</v>
      </c>
      <c r="EJ38" s="404">
        <v>9.6999770847580005E-2</v>
      </c>
      <c r="EK38" s="404">
        <v>-0.74905005460903995</v>
      </c>
      <c r="EL38" s="404">
        <v>2.3331596698949899</v>
      </c>
      <c r="EM38" s="404">
        <v>0</v>
      </c>
      <c r="EN38" s="404">
        <v>0</v>
      </c>
      <c r="EO38" s="404">
        <v>0.98609088910742004</v>
      </c>
      <c r="EP38" s="404">
        <v>0</v>
      </c>
      <c r="EQ38" s="404">
        <v>-0.74905005460903995</v>
      </c>
      <c r="ER38" s="404">
        <v>0</v>
      </c>
      <c r="ES38" s="404">
        <v>0</v>
      </c>
      <c r="ET38" s="404">
        <v>0</v>
      </c>
      <c r="EU38" s="404">
        <v>0</v>
      </c>
      <c r="EV38" s="404">
        <v>0</v>
      </c>
      <c r="EW38" s="404">
        <v>0</v>
      </c>
      <c r="EX38" s="404">
        <v>0</v>
      </c>
      <c r="EY38" s="404">
        <v>0</v>
      </c>
      <c r="EZ38" s="404">
        <v>0</v>
      </c>
      <c r="FA38" s="404">
        <v>0</v>
      </c>
      <c r="FB38" s="404">
        <v>0</v>
      </c>
      <c r="FC38" s="404">
        <v>0</v>
      </c>
      <c r="FD38" s="404">
        <v>0</v>
      </c>
      <c r="FE38" s="404">
        <v>0</v>
      </c>
      <c r="FF38" s="404">
        <v>0</v>
      </c>
      <c r="FG38" s="404">
        <v>0</v>
      </c>
      <c r="FH38" s="404">
        <v>0</v>
      </c>
      <c r="FI38" s="404">
        <v>0</v>
      </c>
      <c r="FJ38" s="404">
        <v>0</v>
      </c>
      <c r="FK38" s="404">
        <v>0</v>
      </c>
      <c r="FL38" s="404">
        <v>0</v>
      </c>
      <c r="FM38" s="404">
        <v>0</v>
      </c>
      <c r="FN38" s="404">
        <v>0</v>
      </c>
      <c r="FO38" s="404">
        <v>0</v>
      </c>
      <c r="FP38" s="404">
        <v>0</v>
      </c>
      <c r="FQ38" s="404">
        <v>0</v>
      </c>
      <c r="FR38" s="404">
        <v>0</v>
      </c>
      <c r="FS38" s="404">
        <v>0</v>
      </c>
      <c r="FT38" s="404">
        <v>0</v>
      </c>
      <c r="FU38" s="404">
        <v>0</v>
      </c>
      <c r="FV38" s="404">
        <v>0</v>
      </c>
      <c r="FW38" s="404">
        <v>0</v>
      </c>
      <c r="FX38" s="404">
        <v>0</v>
      </c>
      <c r="FY38" s="404">
        <v>0</v>
      </c>
      <c r="FZ38" s="404">
        <v>0</v>
      </c>
      <c r="GA38" s="404">
        <v>0</v>
      </c>
      <c r="GB38" s="404">
        <v>0</v>
      </c>
      <c r="GC38" s="404">
        <v>0</v>
      </c>
      <c r="GD38" s="404">
        <v>0</v>
      </c>
      <c r="GE38" s="404">
        <v>0</v>
      </c>
      <c r="GF38" s="404">
        <v>0</v>
      </c>
      <c r="GG38" s="404">
        <v>0</v>
      </c>
      <c r="GH38" s="404">
        <v>-55.82</v>
      </c>
      <c r="GI38" s="404">
        <v>-11.99</v>
      </c>
      <c r="GJ38" s="404">
        <v>-19.61</v>
      </c>
      <c r="GK38" s="404">
        <v>-12.92</v>
      </c>
      <c r="GL38" s="404">
        <v>4.6060068064949999E-2</v>
      </c>
      <c r="GM38" s="404">
        <v>-3.91</v>
      </c>
      <c r="GN38" s="404">
        <v>0</v>
      </c>
      <c r="GO38" s="404">
        <v>0</v>
      </c>
      <c r="GP38" s="404">
        <v>0</v>
      </c>
      <c r="GQ38" s="404">
        <v>0</v>
      </c>
      <c r="GR38" s="404">
        <v>0</v>
      </c>
      <c r="GS38" s="404">
        <v>0</v>
      </c>
      <c r="GT38" s="404">
        <v>0</v>
      </c>
      <c r="GU38" s="404">
        <v>0</v>
      </c>
      <c r="GV38" s="404">
        <v>0</v>
      </c>
      <c r="GW38" s="404">
        <v>0</v>
      </c>
      <c r="GX38" s="404">
        <v>0</v>
      </c>
      <c r="GY38" s="404">
        <v>0</v>
      </c>
      <c r="GZ38" s="404">
        <v>0</v>
      </c>
      <c r="HA38" s="404">
        <v>0</v>
      </c>
      <c r="HB38" s="404">
        <v>0</v>
      </c>
      <c r="HC38" s="404">
        <v>0</v>
      </c>
      <c r="HD38" s="404">
        <v>0</v>
      </c>
      <c r="HE38" s="404">
        <v>0</v>
      </c>
      <c r="HF38" s="404">
        <v>0</v>
      </c>
      <c r="HG38" s="404">
        <v>0</v>
      </c>
      <c r="HH38" s="404">
        <v>0</v>
      </c>
      <c r="HI38" s="404">
        <v>0</v>
      </c>
      <c r="HJ38" s="404">
        <v>0</v>
      </c>
      <c r="HK38" s="404">
        <v>0</v>
      </c>
      <c r="HL38" s="397">
        <v>-0.6</v>
      </c>
      <c r="HM38" s="405">
        <v>0</v>
      </c>
      <c r="HN38" s="405">
        <v>0</v>
      </c>
      <c r="HO38" s="405">
        <v>0</v>
      </c>
      <c r="HP38" s="405">
        <v>0</v>
      </c>
      <c r="HQ38" s="397">
        <v>-3.1108822695035498</v>
      </c>
      <c r="HR38" s="397">
        <v>0.1</v>
      </c>
      <c r="HS38" s="397">
        <v>0</v>
      </c>
      <c r="HT38" s="397">
        <v>0</v>
      </c>
      <c r="HU38" s="397">
        <v>0</v>
      </c>
      <c r="HV38" s="397">
        <v>0</v>
      </c>
      <c r="HW38" s="397">
        <v>0.23</v>
      </c>
      <c r="HX38" s="397">
        <v>-9.0767508396599993E-3</v>
      </c>
      <c r="HY38" s="397">
        <v>0</v>
      </c>
      <c r="HZ38" s="397">
        <v>0</v>
      </c>
      <c r="IA38" s="397">
        <v>-2.3954794799700002E-3</v>
      </c>
      <c r="IB38" s="397">
        <v>0</v>
      </c>
      <c r="IC38" s="397">
        <v>-0.47</v>
      </c>
      <c r="ID38" s="405">
        <v>0</v>
      </c>
      <c r="IE38" s="405">
        <v>0</v>
      </c>
      <c r="IF38" s="405">
        <v>0</v>
      </c>
      <c r="IG38" s="405">
        <v>0</v>
      </c>
      <c r="IH38" s="405">
        <v>0</v>
      </c>
      <c r="II38" s="405">
        <v>0</v>
      </c>
      <c r="IJ38" s="405">
        <v>0</v>
      </c>
      <c r="IK38" s="405">
        <v>0</v>
      </c>
      <c r="IL38" s="405">
        <v>0</v>
      </c>
      <c r="IM38" s="405">
        <v>0</v>
      </c>
      <c r="IN38" s="405">
        <v>0</v>
      </c>
      <c r="IO38" s="405">
        <v>0</v>
      </c>
      <c r="IP38" s="404">
        <v>-55.82</v>
      </c>
      <c r="IQ38" s="404">
        <v>-11.99</v>
      </c>
      <c r="IR38" s="404">
        <v>-19.61</v>
      </c>
      <c r="IS38" s="404">
        <v>-12.92</v>
      </c>
      <c r="IT38" s="404">
        <v>-1.07225369578546</v>
      </c>
      <c r="IU38" s="404">
        <v>-0.59</v>
      </c>
      <c r="IV38" s="404">
        <v>-0.12913436945737</v>
      </c>
      <c r="IW38" s="404">
        <v>0</v>
      </c>
      <c r="IX38" s="404">
        <v>0</v>
      </c>
      <c r="IY38" s="404">
        <v>0</v>
      </c>
      <c r="IZ38" s="404">
        <v>-0.75737307686747002</v>
      </c>
      <c r="JA38" s="404">
        <v>0</v>
      </c>
      <c r="JB38" s="404">
        <v>-0.15496124334884001</v>
      </c>
      <c r="JC38" s="404">
        <v>0</v>
      </c>
      <c r="JD38" s="404">
        <v>0</v>
      </c>
      <c r="JE38" s="404">
        <v>0</v>
      </c>
      <c r="JF38" s="404">
        <v>-1.39367584496439</v>
      </c>
      <c r="JG38" s="404">
        <v>0</v>
      </c>
      <c r="JH38" s="404">
        <v>0</v>
      </c>
      <c r="JI38" s="404">
        <v>0</v>
      </c>
      <c r="JJ38" s="404">
        <v>0</v>
      </c>
      <c r="JK38" s="404">
        <v>0</v>
      </c>
      <c r="JL38" s="404">
        <v>0</v>
      </c>
      <c r="JM38" s="404">
        <v>0</v>
      </c>
      <c r="JN38" s="404">
        <v>-0.15496124334885</v>
      </c>
      <c r="JO38" s="404">
        <v>0</v>
      </c>
      <c r="JP38" s="404">
        <v>0</v>
      </c>
      <c r="JQ38" s="404">
        <v>0</v>
      </c>
      <c r="JR38" s="404">
        <v>-1.3435541332540599</v>
      </c>
      <c r="JS38" s="404">
        <v>0</v>
      </c>
      <c r="JT38" s="404">
        <v>-55.82</v>
      </c>
      <c r="JU38" s="404">
        <v>-11.99</v>
      </c>
      <c r="JV38" s="404">
        <v>-19.61</v>
      </c>
      <c r="JW38" s="404">
        <v>-12.92</v>
      </c>
      <c r="JX38" s="404">
        <v>-0.84497718120804999</v>
      </c>
      <c r="JY38" s="404">
        <v>-0.9</v>
      </c>
      <c r="JZ38" s="404">
        <v>0</v>
      </c>
      <c r="KA38" s="404">
        <v>0</v>
      </c>
      <c r="KB38" s="404">
        <v>0</v>
      </c>
      <c r="KC38" s="404">
        <v>0</v>
      </c>
      <c r="KD38" s="404">
        <v>0</v>
      </c>
      <c r="KE38" s="404">
        <v>0</v>
      </c>
      <c r="KF38" s="404">
        <v>0</v>
      </c>
      <c r="KG38" s="404">
        <v>0</v>
      </c>
      <c r="KH38" s="404">
        <v>0</v>
      </c>
      <c r="KI38" s="404">
        <v>0</v>
      </c>
      <c r="KJ38" s="404">
        <v>0</v>
      </c>
      <c r="KK38" s="404">
        <v>0</v>
      </c>
      <c r="KL38" s="404">
        <v>0</v>
      </c>
      <c r="KM38" s="404">
        <v>0</v>
      </c>
      <c r="KN38" s="404">
        <v>0</v>
      </c>
      <c r="KO38" s="404">
        <v>0</v>
      </c>
      <c r="KP38" s="404">
        <v>0</v>
      </c>
      <c r="KQ38" s="404">
        <v>0</v>
      </c>
      <c r="KR38" s="404">
        <v>0</v>
      </c>
      <c r="KS38" s="404">
        <v>0</v>
      </c>
      <c r="KT38" s="404">
        <v>0</v>
      </c>
      <c r="KU38" s="404">
        <v>0</v>
      </c>
      <c r="KV38" s="404">
        <v>0</v>
      </c>
      <c r="KW38" s="404">
        <v>0</v>
      </c>
      <c r="KX38" s="404">
        <v>1.0046888903139199</v>
      </c>
      <c r="KY38" s="404">
        <v>0.16710577309979999</v>
      </c>
      <c r="KZ38" s="404">
        <v>-0.20275762945598999</v>
      </c>
      <c r="LA38" s="404">
        <v>1.2390474038300001E-2</v>
      </c>
      <c r="LB38" s="404">
        <v>-5.5329298001249999E-2</v>
      </c>
      <c r="LC38" s="404">
        <v>-0.44750344212965998</v>
      </c>
      <c r="LD38" s="404">
        <v>-2.6800558377699998E-3</v>
      </c>
      <c r="LE38" s="404">
        <v>0</v>
      </c>
      <c r="LF38" s="404">
        <v>0</v>
      </c>
      <c r="LG38" s="404">
        <v>0</v>
      </c>
      <c r="LH38" s="404">
        <v>4.3345790606010001E-2</v>
      </c>
      <c r="LI38" s="404">
        <v>0</v>
      </c>
      <c r="LJ38" s="404">
        <v>0</v>
      </c>
      <c r="LK38" s="404">
        <v>0</v>
      </c>
      <c r="LL38" s="404">
        <v>0</v>
      </c>
      <c r="LM38" s="404">
        <v>0</v>
      </c>
      <c r="LN38" s="404">
        <v>0.14138326334163001</v>
      </c>
      <c r="LO38" s="404">
        <v>-6.76163329988798</v>
      </c>
      <c r="LP38" s="404">
        <v>0.12020443037641</v>
      </c>
      <c r="LQ38" s="404">
        <v>0</v>
      </c>
      <c r="LR38" s="404">
        <v>0</v>
      </c>
      <c r="LS38" s="404">
        <v>0</v>
      </c>
      <c r="LT38" s="404">
        <v>0</v>
      </c>
      <c r="LU38" s="404">
        <v>-3.11</v>
      </c>
      <c r="LV38" s="401">
        <v>6.8506595710599999E-3</v>
      </c>
      <c r="LW38" s="401">
        <v>0</v>
      </c>
      <c r="LX38" s="401">
        <v>0</v>
      </c>
      <c r="LY38" s="401">
        <v>0</v>
      </c>
      <c r="LZ38" s="401">
        <v>0</v>
      </c>
      <c r="MA38" s="401">
        <v>-0.43889541996992998</v>
      </c>
      <c r="MB38" s="404">
        <v>0</v>
      </c>
      <c r="MC38" s="404">
        <v>0</v>
      </c>
      <c r="MD38" s="404">
        <v>0</v>
      </c>
      <c r="ME38" s="404">
        <v>0</v>
      </c>
      <c r="MF38" s="404">
        <v>0</v>
      </c>
      <c r="MG38" s="404">
        <v>0</v>
      </c>
    </row>
    <row r="39" spans="1:345" ht="18" customHeight="1">
      <c r="A39" s="10" t="s">
        <v>30</v>
      </c>
      <c r="B39" s="17">
        <v>0.1</v>
      </c>
      <c r="C39" s="17">
        <v>0.1</v>
      </c>
      <c r="D39" s="17">
        <v>0.1</v>
      </c>
      <c r="E39" s="255">
        <v>0</v>
      </c>
      <c r="F39" s="253">
        <v>-3.5</v>
      </c>
      <c r="G39" s="20">
        <v>-4.5</v>
      </c>
      <c r="H39" s="20">
        <v>-4.5</v>
      </c>
      <c r="I39" s="5">
        <v>738.27841644621572</v>
      </c>
      <c r="J39" s="6">
        <v>12</v>
      </c>
      <c r="K39" s="6">
        <v>368.29700000000003</v>
      </c>
      <c r="L39" s="17">
        <v>0.6</v>
      </c>
      <c r="M39" s="17">
        <v>0.5</v>
      </c>
      <c r="N39" s="17">
        <v>0.5</v>
      </c>
      <c r="O39" s="16">
        <v>1</v>
      </c>
      <c r="P39" s="16">
        <v>0</v>
      </c>
      <c r="Q39" s="16">
        <v>99</v>
      </c>
      <c r="R39" s="16">
        <v>0</v>
      </c>
      <c r="S39" s="252">
        <v>0</v>
      </c>
      <c r="T39" s="303">
        <v>2</v>
      </c>
      <c r="U39" s="304">
        <v>1.5</v>
      </c>
      <c r="V39" s="303">
        <v>1</v>
      </c>
      <c r="W39" s="304">
        <v>0.8</v>
      </c>
      <c r="X39" s="304">
        <v>0.5</v>
      </c>
      <c r="Y39" s="5">
        <v>11427.641256281695</v>
      </c>
      <c r="Z39" s="14">
        <v>1.61</v>
      </c>
      <c r="AA39" s="5">
        <v>162.96592818920806</v>
      </c>
      <c r="AB39" s="17">
        <v>0.8</v>
      </c>
      <c r="AC39" s="17">
        <v>0.5</v>
      </c>
      <c r="AD39" s="17">
        <v>0.5</v>
      </c>
      <c r="AE39" s="254">
        <v>0.19257506503275143</v>
      </c>
      <c r="AF39" s="254">
        <v>0.18193358900561235</v>
      </c>
      <c r="AG39" s="18">
        <v>1.2862287772251757E-2</v>
      </c>
      <c r="AH39" s="18">
        <v>9.2179729034470928E-2</v>
      </c>
      <c r="AI39" s="18">
        <v>0.93251586348825255</v>
      </c>
      <c r="AJ39" s="18">
        <v>66.442291202195165</v>
      </c>
      <c r="AK39" s="18">
        <v>1.9572114560109759</v>
      </c>
      <c r="AL39" s="18"/>
      <c r="AM39" s="18">
        <v>29.638998456525467</v>
      </c>
      <c r="AN39" s="18">
        <v>0.15220373863831246</v>
      </c>
      <c r="AO39" s="18"/>
      <c r="AP39" s="18">
        <v>2.1437146287086265E-3</v>
      </c>
      <c r="AQ39" s="18">
        <v>0</v>
      </c>
      <c r="AR39" s="18">
        <v>0</v>
      </c>
      <c r="AS39" s="18">
        <v>0.15006002400960386</v>
      </c>
      <c r="AT39" s="18">
        <v>4.287429257417253E-3</v>
      </c>
      <c r="AU39" s="18">
        <v>0.61524609843937572</v>
      </c>
      <c r="AV39" s="304">
        <v>0.3</v>
      </c>
      <c r="AW39" s="304">
        <v>0.7</v>
      </c>
      <c r="AX39" s="304">
        <v>1.2</v>
      </c>
      <c r="AY39" s="304">
        <v>1.2</v>
      </c>
      <c r="AZ39" s="303">
        <v>3</v>
      </c>
      <c r="BA39" s="6">
        <v>3.7658425631410335</v>
      </c>
      <c r="BB39" s="6">
        <v>18</v>
      </c>
      <c r="BC39" s="5">
        <f t="shared" si="348"/>
        <v>67.785166136538606</v>
      </c>
      <c r="BD39" s="17">
        <v>1.6</v>
      </c>
      <c r="BE39" s="17">
        <v>1.2</v>
      </c>
      <c r="BF39" s="17">
        <v>1.2</v>
      </c>
      <c r="BG39" s="6">
        <v>3.7658425631410335</v>
      </c>
      <c r="BH39" s="6">
        <v>18</v>
      </c>
      <c r="BI39" s="5">
        <v>0</v>
      </c>
      <c r="BJ39" s="17">
        <v>1.6</v>
      </c>
      <c r="BK39" s="17">
        <v>1.2</v>
      </c>
      <c r="BL39" s="17">
        <v>1.2</v>
      </c>
      <c r="BM39" s="5">
        <v>2375.6537374490717</v>
      </c>
      <c r="BN39" s="6">
        <v>179.9</v>
      </c>
      <c r="BO39" s="6">
        <v>1323.54000000001</v>
      </c>
      <c r="BP39" s="17">
        <v>1.6</v>
      </c>
      <c r="BQ39" s="17">
        <v>1.2</v>
      </c>
      <c r="BR39" s="17">
        <v>1.2</v>
      </c>
      <c r="BS39" s="221">
        <v>2</v>
      </c>
      <c r="BT39" s="54">
        <v>1.5</v>
      </c>
      <c r="BU39" s="54">
        <v>0.7</v>
      </c>
      <c r="BV39" s="54">
        <v>0.7</v>
      </c>
      <c r="BW39" s="54">
        <v>0.5</v>
      </c>
      <c r="BX39" s="5"/>
      <c r="BY39" s="5">
        <v>5600.6640000000407</v>
      </c>
      <c r="BZ39" s="17">
        <v>1.9</v>
      </c>
      <c r="CA39" s="17">
        <v>1.1000000000000001</v>
      </c>
      <c r="CB39" s="17">
        <v>1.1000000000000001</v>
      </c>
      <c r="CC39" s="221">
        <v>2</v>
      </c>
      <c r="CD39" s="221">
        <v>2</v>
      </c>
      <c r="CE39" s="221">
        <v>1</v>
      </c>
      <c r="CF39" s="221">
        <v>1</v>
      </c>
      <c r="CG39" s="54">
        <v>0.5</v>
      </c>
      <c r="CH39" s="5"/>
      <c r="CI39" s="5">
        <v>500</v>
      </c>
      <c r="CJ39" s="19">
        <v>1.5</v>
      </c>
      <c r="CK39" s="19">
        <v>0.7</v>
      </c>
      <c r="CL39" s="19">
        <v>0.7</v>
      </c>
      <c r="CM39" s="54">
        <v>2</v>
      </c>
      <c r="CN39" s="54">
        <v>1.5</v>
      </c>
      <c r="CO39" s="54">
        <v>0.5</v>
      </c>
      <c r="CP39" s="54">
        <v>1</v>
      </c>
      <c r="CQ39" s="54">
        <v>0.5</v>
      </c>
      <c r="CR39" s="5"/>
      <c r="CS39" s="8">
        <v>29</v>
      </c>
      <c r="CT39" s="19">
        <v>1</v>
      </c>
      <c r="CU39" s="17">
        <v>0.7</v>
      </c>
      <c r="CV39" s="17">
        <v>0.7</v>
      </c>
      <c r="CW39" s="54">
        <v>2</v>
      </c>
      <c r="CX39" s="54">
        <v>1</v>
      </c>
      <c r="CY39" s="54">
        <v>0.5</v>
      </c>
      <c r="CZ39" s="54">
        <v>0.7</v>
      </c>
      <c r="DA39" s="54">
        <v>0.2</v>
      </c>
      <c r="DB39" s="403">
        <v>0</v>
      </c>
      <c r="DC39" s="403">
        <v>0</v>
      </c>
      <c r="DD39" s="403">
        <v>0</v>
      </c>
      <c r="DE39" s="403">
        <v>0</v>
      </c>
      <c r="DF39" s="403">
        <v>0</v>
      </c>
      <c r="DG39" s="403">
        <v>0</v>
      </c>
      <c r="DH39" s="403">
        <v>0</v>
      </c>
      <c r="DI39" s="403">
        <v>0</v>
      </c>
      <c r="DJ39" s="403">
        <v>0</v>
      </c>
      <c r="DK39" s="403">
        <v>0</v>
      </c>
      <c r="DL39" s="403">
        <v>0</v>
      </c>
      <c r="DM39" s="403">
        <v>0</v>
      </c>
      <c r="DN39" s="403">
        <v>0</v>
      </c>
      <c r="DO39" s="403">
        <v>0</v>
      </c>
      <c r="DP39" s="403">
        <v>0</v>
      </c>
      <c r="DQ39" s="403">
        <v>0</v>
      </c>
      <c r="DR39" s="403">
        <v>0</v>
      </c>
      <c r="DS39" s="403">
        <v>0</v>
      </c>
      <c r="DT39" s="403">
        <v>0</v>
      </c>
      <c r="DU39" s="403">
        <v>0</v>
      </c>
      <c r="DV39" s="403">
        <v>0</v>
      </c>
      <c r="DW39" s="403">
        <v>0</v>
      </c>
      <c r="DX39" s="403">
        <v>0</v>
      </c>
      <c r="DY39" s="403">
        <v>0</v>
      </c>
      <c r="DZ39" s="404">
        <v>0</v>
      </c>
      <c r="EA39" s="404">
        <v>0</v>
      </c>
      <c r="EB39" s="404">
        <v>0</v>
      </c>
      <c r="EC39" s="404">
        <v>0</v>
      </c>
      <c r="ED39" s="404">
        <v>0</v>
      </c>
      <c r="EE39" s="404">
        <v>0</v>
      </c>
      <c r="EF39" s="404">
        <v>2.3331596698950001</v>
      </c>
      <c r="EG39" s="404">
        <v>0</v>
      </c>
      <c r="EH39" s="404">
        <v>0</v>
      </c>
      <c r="EI39" s="404">
        <v>0.98609088910742004</v>
      </c>
      <c r="EJ39" s="404">
        <v>9.6999770847580005E-2</v>
      </c>
      <c r="EK39" s="404">
        <v>-0.74905005460903995</v>
      </c>
      <c r="EL39" s="404">
        <v>2.3331596698949899</v>
      </c>
      <c r="EM39" s="404">
        <v>0</v>
      </c>
      <c r="EN39" s="404">
        <v>0</v>
      </c>
      <c r="EO39" s="404">
        <v>0.98609088910742004</v>
      </c>
      <c r="EP39" s="404">
        <v>0</v>
      </c>
      <c r="EQ39" s="404">
        <v>-0.74905005460903995</v>
      </c>
      <c r="ER39" s="404">
        <v>0</v>
      </c>
      <c r="ES39" s="404">
        <v>0</v>
      </c>
      <c r="ET39" s="404">
        <v>0</v>
      </c>
      <c r="EU39" s="404">
        <v>0</v>
      </c>
      <c r="EV39" s="404">
        <v>0</v>
      </c>
      <c r="EW39" s="404">
        <v>0</v>
      </c>
      <c r="EX39" s="404">
        <v>0</v>
      </c>
      <c r="EY39" s="404">
        <v>0</v>
      </c>
      <c r="EZ39" s="404">
        <v>0</v>
      </c>
      <c r="FA39" s="404">
        <v>0</v>
      </c>
      <c r="FB39" s="404">
        <v>0</v>
      </c>
      <c r="FC39" s="404">
        <v>0</v>
      </c>
      <c r="FD39" s="404">
        <v>0</v>
      </c>
      <c r="FE39" s="404">
        <v>0</v>
      </c>
      <c r="FF39" s="404">
        <v>0</v>
      </c>
      <c r="FG39" s="404">
        <v>0</v>
      </c>
      <c r="FH39" s="404">
        <v>0</v>
      </c>
      <c r="FI39" s="404">
        <v>0</v>
      </c>
      <c r="FJ39" s="404">
        <v>0</v>
      </c>
      <c r="FK39" s="404">
        <v>0</v>
      </c>
      <c r="FL39" s="404">
        <v>0</v>
      </c>
      <c r="FM39" s="404">
        <v>0</v>
      </c>
      <c r="FN39" s="404">
        <v>0</v>
      </c>
      <c r="FO39" s="404">
        <v>0</v>
      </c>
      <c r="FP39" s="404">
        <v>0</v>
      </c>
      <c r="FQ39" s="404">
        <v>0</v>
      </c>
      <c r="FR39" s="404">
        <v>0</v>
      </c>
      <c r="FS39" s="404">
        <v>0</v>
      </c>
      <c r="FT39" s="404">
        <v>0</v>
      </c>
      <c r="FU39" s="404">
        <v>0</v>
      </c>
      <c r="FV39" s="404">
        <v>0</v>
      </c>
      <c r="FW39" s="404">
        <v>0</v>
      </c>
      <c r="FX39" s="404">
        <v>0</v>
      </c>
      <c r="FY39" s="404">
        <v>0</v>
      </c>
      <c r="FZ39" s="404">
        <v>0</v>
      </c>
      <c r="GA39" s="404">
        <v>0</v>
      </c>
      <c r="GB39" s="404">
        <v>0</v>
      </c>
      <c r="GC39" s="404">
        <v>0</v>
      </c>
      <c r="GD39" s="404">
        <v>0</v>
      </c>
      <c r="GE39" s="404">
        <v>0</v>
      </c>
      <c r="GF39" s="404">
        <v>0</v>
      </c>
      <c r="GG39" s="404">
        <v>0</v>
      </c>
      <c r="GH39" s="404">
        <v>-55.82</v>
      </c>
      <c r="GI39" s="404">
        <v>-11.99</v>
      </c>
      <c r="GJ39" s="404">
        <v>-19.61</v>
      </c>
      <c r="GK39" s="404">
        <v>-12.92</v>
      </c>
      <c r="GL39" s="404">
        <v>4.6060068064949999E-2</v>
      </c>
      <c r="GM39" s="404">
        <v>-3.91</v>
      </c>
      <c r="GN39" s="404">
        <v>0</v>
      </c>
      <c r="GO39" s="404">
        <v>0</v>
      </c>
      <c r="GP39" s="404">
        <v>0</v>
      </c>
      <c r="GQ39" s="404">
        <v>0</v>
      </c>
      <c r="GR39" s="404">
        <v>0</v>
      </c>
      <c r="GS39" s="404">
        <v>0</v>
      </c>
      <c r="GT39" s="404">
        <v>0</v>
      </c>
      <c r="GU39" s="404">
        <v>0</v>
      </c>
      <c r="GV39" s="404">
        <v>0</v>
      </c>
      <c r="GW39" s="404">
        <v>0</v>
      </c>
      <c r="GX39" s="404">
        <v>0</v>
      </c>
      <c r="GY39" s="404">
        <v>0</v>
      </c>
      <c r="GZ39" s="404">
        <v>0</v>
      </c>
      <c r="HA39" s="404">
        <v>0</v>
      </c>
      <c r="HB39" s="404">
        <v>0</v>
      </c>
      <c r="HC39" s="404">
        <v>0</v>
      </c>
      <c r="HD39" s="404">
        <v>0</v>
      </c>
      <c r="HE39" s="404">
        <v>0</v>
      </c>
      <c r="HF39" s="404">
        <v>0</v>
      </c>
      <c r="HG39" s="404">
        <v>0</v>
      </c>
      <c r="HH39" s="404">
        <v>0</v>
      </c>
      <c r="HI39" s="404">
        <v>0</v>
      </c>
      <c r="HJ39" s="404">
        <v>0</v>
      </c>
      <c r="HK39" s="404">
        <v>0</v>
      </c>
      <c r="HL39" s="397">
        <v>-0.6</v>
      </c>
      <c r="HM39" s="405">
        <v>0</v>
      </c>
      <c r="HN39" s="405">
        <v>0</v>
      </c>
      <c r="HO39" s="405">
        <v>0</v>
      </c>
      <c r="HP39" s="405">
        <v>0</v>
      </c>
      <c r="HQ39" s="397">
        <v>-3.1108822695035498</v>
      </c>
      <c r="HR39" s="397">
        <v>0.1</v>
      </c>
      <c r="HS39" s="397">
        <v>0</v>
      </c>
      <c r="HT39" s="397">
        <v>0</v>
      </c>
      <c r="HU39" s="397">
        <v>0</v>
      </c>
      <c r="HV39" s="397">
        <v>0</v>
      </c>
      <c r="HW39" s="397">
        <v>0.23</v>
      </c>
      <c r="HX39" s="397">
        <v>-9.0767508396599993E-3</v>
      </c>
      <c r="HY39" s="397">
        <v>0</v>
      </c>
      <c r="HZ39" s="397">
        <v>0</v>
      </c>
      <c r="IA39" s="397">
        <v>-2.3954794799700002E-3</v>
      </c>
      <c r="IB39" s="397">
        <v>0</v>
      </c>
      <c r="IC39" s="397">
        <v>-0.47</v>
      </c>
      <c r="ID39" s="405">
        <v>0</v>
      </c>
      <c r="IE39" s="405">
        <v>0</v>
      </c>
      <c r="IF39" s="405">
        <v>0</v>
      </c>
      <c r="IG39" s="405">
        <v>0</v>
      </c>
      <c r="IH39" s="405">
        <v>0</v>
      </c>
      <c r="II39" s="405">
        <v>0</v>
      </c>
      <c r="IJ39" s="405">
        <v>0</v>
      </c>
      <c r="IK39" s="405">
        <v>0</v>
      </c>
      <c r="IL39" s="405">
        <v>0</v>
      </c>
      <c r="IM39" s="405">
        <v>0</v>
      </c>
      <c r="IN39" s="405">
        <v>0</v>
      </c>
      <c r="IO39" s="405">
        <v>0</v>
      </c>
      <c r="IP39" s="404">
        <v>-55.82</v>
      </c>
      <c r="IQ39" s="404">
        <v>-11.99</v>
      </c>
      <c r="IR39" s="404">
        <v>-19.61</v>
      </c>
      <c r="IS39" s="404">
        <v>-12.92</v>
      </c>
      <c r="IT39" s="404">
        <v>-1.07225369578546</v>
      </c>
      <c r="IU39" s="404">
        <v>-0.59</v>
      </c>
      <c r="IV39" s="404">
        <v>-0.12913436945737</v>
      </c>
      <c r="IW39" s="404">
        <v>0</v>
      </c>
      <c r="IX39" s="404">
        <v>0</v>
      </c>
      <c r="IY39" s="404">
        <v>0</v>
      </c>
      <c r="IZ39" s="404">
        <v>-0.75737307686747002</v>
      </c>
      <c r="JA39" s="404">
        <v>0</v>
      </c>
      <c r="JB39" s="404">
        <v>-0.15496124334884001</v>
      </c>
      <c r="JC39" s="404">
        <v>0</v>
      </c>
      <c r="JD39" s="404">
        <v>0</v>
      </c>
      <c r="JE39" s="404">
        <v>0</v>
      </c>
      <c r="JF39" s="404">
        <v>-1.39367584496439</v>
      </c>
      <c r="JG39" s="404">
        <v>0</v>
      </c>
      <c r="JH39" s="404">
        <v>0</v>
      </c>
      <c r="JI39" s="404">
        <v>0</v>
      </c>
      <c r="JJ39" s="404">
        <v>0</v>
      </c>
      <c r="JK39" s="404">
        <v>0</v>
      </c>
      <c r="JL39" s="404">
        <v>0</v>
      </c>
      <c r="JM39" s="404">
        <v>0</v>
      </c>
      <c r="JN39" s="404">
        <v>-0.15496124334885</v>
      </c>
      <c r="JO39" s="404">
        <v>0</v>
      </c>
      <c r="JP39" s="404">
        <v>0</v>
      </c>
      <c r="JQ39" s="404">
        <v>0</v>
      </c>
      <c r="JR39" s="404">
        <v>-1.3435541332540599</v>
      </c>
      <c r="JS39" s="404">
        <v>0</v>
      </c>
      <c r="JT39" s="404">
        <v>-55.82</v>
      </c>
      <c r="JU39" s="404">
        <v>-11.99</v>
      </c>
      <c r="JV39" s="404">
        <v>-19.61</v>
      </c>
      <c r="JW39" s="404">
        <v>-12.92</v>
      </c>
      <c r="JX39" s="404">
        <v>-0.84497718120804999</v>
      </c>
      <c r="JY39" s="404">
        <v>-0.9</v>
      </c>
      <c r="JZ39" s="404">
        <v>0</v>
      </c>
      <c r="KA39" s="404">
        <v>0</v>
      </c>
      <c r="KB39" s="404">
        <v>0</v>
      </c>
      <c r="KC39" s="404">
        <v>0</v>
      </c>
      <c r="KD39" s="404">
        <v>0</v>
      </c>
      <c r="KE39" s="404">
        <v>0</v>
      </c>
      <c r="KF39" s="404">
        <v>0</v>
      </c>
      <c r="KG39" s="404">
        <v>0</v>
      </c>
      <c r="KH39" s="404">
        <v>0</v>
      </c>
      <c r="KI39" s="404">
        <v>0</v>
      </c>
      <c r="KJ39" s="404">
        <v>0</v>
      </c>
      <c r="KK39" s="404">
        <v>0</v>
      </c>
      <c r="KL39" s="404">
        <v>0</v>
      </c>
      <c r="KM39" s="404">
        <v>0</v>
      </c>
      <c r="KN39" s="404">
        <v>0</v>
      </c>
      <c r="KO39" s="404">
        <v>0</v>
      </c>
      <c r="KP39" s="404">
        <v>0</v>
      </c>
      <c r="KQ39" s="404">
        <v>0</v>
      </c>
      <c r="KR39" s="404">
        <v>0</v>
      </c>
      <c r="KS39" s="404">
        <v>0</v>
      </c>
      <c r="KT39" s="404">
        <v>0</v>
      </c>
      <c r="KU39" s="404">
        <v>0</v>
      </c>
      <c r="KV39" s="404">
        <v>0</v>
      </c>
      <c r="KW39" s="404">
        <v>0</v>
      </c>
      <c r="KX39" s="404">
        <v>1.0046888903139199</v>
      </c>
      <c r="KY39" s="404">
        <v>0.16710577309979999</v>
      </c>
      <c r="KZ39" s="404">
        <v>-0.20275762945598999</v>
      </c>
      <c r="LA39" s="404">
        <v>1.2390474038300001E-2</v>
      </c>
      <c r="LB39" s="404">
        <v>-5.5329298001249999E-2</v>
      </c>
      <c r="LC39" s="404">
        <v>-0.44750344212965998</v>
      </c>
      <c r="LD39" s="404">
        <v>-2.6800558377699998E-3</v>
      </c>
      <c r="LE39" s="404">
        <v>0</v>
      </c>
      <c r="LF39" s="404">
        <v>0</v>
      </c>
      <c r="LG39" s="404">
        <v>0</v>
      </c>
      <c r="LH39" s="404">
        <v>4.3345790606010001E-2</v>
      </c>
      <c r="LI39" s="404">
        <v>0</v>
      </c>
      <c r="LJ39" s="404">
        <v>0</v>
      </c>
      <c r="LK39" s="404">
        <v>0</v>
      </c>
      <c r="LL39" s="404">
        <v>0</v>
      </c>
      <c r="LM39" s="404">
        <v>0</v>
      </c>
      <c r="LN39" s="404">
        <v>0.14138326334163001</v>
      </c>
      <c r="LO39" s="404">
        <v>-6.76163329988798</v>
      </c>
      <c r="LP39" s="404">
        <v>0.12020443037641</v>
      </c>
      <c r="LQ39" s="404">
        <v>0</v>
      </c>
      <c r="LR39" s="404">
        <v>0</v>
      </c>
      <c r="LS39" s="404">
        <v>0</v>
      </c>
      <c r="LT39" s="404">
        <v>0</v>
      </c>
      <c r="LU39" s="404">
        <v>-3.11</v>
      </c>
      <c r="LV39" s="401">
        <v>6.8506595710599999E-3</v>
      </c>
      <c r="LW39" s="401">
        <v>0</v>
      </c>
      <c r="LX39" s="401">
        <v>0</v>
      </c>
      <c r="LY39" s="401">
        <v>0</v>
      </c>
      <c r="LZ39" s="401">
        <v>0</v>
      </c>
      <c r="MA39" s="401">
        <v>-0.43889541996992998</v>
      </c>
      <c r="MB39" s="404">
        <v>0</v>
      </c>
      <c r="MC39" s="404">
        <v>0</v>
      </c>
      <c r="MD39" s="404">
        <v>0</v>
      </c>
      <c r="ME39" s="404">
        <v>0</v>
      </c>
      <c r="MF39" s="404">
        <v>0</v>
      </c>
      <c r="MG39" s="404">
        <v>0</v>
      </c>
    </row>
    <row r="40" spans="1:345" ht="18" customHeight="1">
      <c r="A40" s="10" t="s">
        <v>28</v>
      </c>
      <c r="B40" s="15">
        <v>0.5</v>
      </c>
      <c r="C40" s="15">
        <v>0.5</v>
      </c>
      <c r="D40" s="15">
        <v>0.5</v>
      </c>
      <c r="E40" s="5">
        <v>259.61373390557941</v>
      </c>
      <c r="F40" s="16">
        <v>-5.8</v>
      </c>
      <c r="G40" s="16">
        <v>-1.5</v>
      </c>
      <c r="H40" s="16">
        <v>-1.5</v>
      </c>
      <c r="I40" s="5">
        <v>541.70374958491891</v>
      </c>
      <c r="J40" s="6">
        <v>12</v>
      </c>
      <c r="K40" s="6">
        <v>368.29250000000002</v>
      </c>
      <c r="L40" s="17">
        <v>0.3</v>
      </c>
      <c r="M40" s="17">
        <v>0.1</v>
      </c>
      <c r="N40" s="17">
        <v>0.1</v>
      </c>
      <c r="O40" s="16">
        <v>2.5</v>
      </c>
      <c r="P40" s="16">
        <v>0</v>
      </c>
      <c r="Q40" s="16">
        <v>97.5</v>
      </c>
      <c r="R40" s="16">
        <v>0</v>
      </c>
      <c r="S40" s="252">
        <v>0</v>
      </c>
      <c r="T40" s="303">
        <v>2</v>
      </c>
      <c r="U40" s="304">
        <v>1.5</v>
      </c>
      <c r="V40" s="303">
        <v>1</v>
      </c>
      <c r="W40" s="304">
        <v>0.8</v>
      </c>
      <c r="X40" s="304">
        <v>0.5</v>
      </c>
      <c r="Y40" s="5">
        <v>10062.301353275248</v>
      </c>
      <c r="Z40" s="14">
        <v>1.56</v>
      </c>
      <c r="AA40" s="5">
        <v>165.33872261367091</v>
      </c>
      <c r="AB40" s="17">
        <v>0.8</v>
      </c>
      <c r="AC40" s="17">
        <v>0.6</v>
      </c>
      <c r="AD40" s="17">
        <v>0.6</v>
      </c>
      <c r="AE40" s="254">
        <v>0.18084</v>
      </c>
      <c r="AF40" s="254">
        <v>0.17335999999999999</v>
      </c>
      <c r="AG40" s="18"/>
      <c r="AH40" s="18">
        <v>1.202485753233595E-3</v>
      </c>
      <c r="AI40" s="18">
        <v>0.26457534563712537</v>
      </c>
      <c r="AJ40" s="18">
        <v>58.54078480422551</v>
      </c>
      <c r="AK40" s="18">
        <v>1.2708723837944664</v>
      </c>
      <c r="AL40" s="18">
        <v>0.39067812791701684</v>
      </c>
      <c r="AM40" s="18">
        <v>39.231528062568245</v>
      </c>
      <c r="AN40" s="18">
        <v>3.1881694641653864E-2</v>
      </c>
      <c r="AO40" s="18">
        <v>5.1042355788573383E-3</v>
      </c>
      <c r="AP40" s="18">
        <v>3.2910136404287863E-4</v>
      </c>
      <c r="AQ40" s="18"/>
      <c r="AR40" s="18"/>
      <c r="AS40" s="18">
        <v>8.6854280181585475E-2</v>
      </c>
      <c r="AT40" s="18">
        <v>1.0854016141029555E-3</v>
      </c>
      <c r="AU40" s="18">
        <v>0.17510407672416045</v>
      </c>
      <c r="AV40" s="304">
        <v>0.3</v>
      </c>
      <c r="AW40" s="304">
        <v>0.7</v>
      </c>
      <c r="AX40" s="304">
        <v>1.2</v>
      </c>
      <c r="AY40" s="304">
        <v>1.2</v>
      </c>
      <c r="AZ40" s="303">
        <v>3</v>
      </c>
      <c r="BA40" s="6">
        <v>1.0682498070272575</v>
      </c>
      <c r="BB40" s="6">
        <v>18</v>
      </c>
      <c r="BC40" s="5">
        <f t="shared" si="348"/>
        <v>19.228496526490634</v>
      </c>
      <c r="BD40" s="17">
        <v>1.1000000000000001</v>
      </c>
      <c r="BE40" s="17">
        <v>0.6</v>
      </c>
      <c r="BF40" s="17">
        <v>0.6</v>
      </c>
      <c r="BG40" s="6">
        <v>0.47705402341217251</v>
      </c>
      <c r="BH40" s="6">
        <v>18</v>
      </c>
      <c r="BI40" s="5">
        <v>8110.3330472103007</v>
      </c>
      <c r="BJ40" s="17">
        <v>1.1000000000000001</v>
      </c>
      <c r="BK40" s="17">
        <v>0.6</v>
      </c>
      <c r="BL40" s="17">
        <v>0.6</v>
      </c>
      <c r="BM40" s="5">
        <v>1020.0468636800275</v>
      </c>
      <c r="BN40" s="6">
        <v>179.9</v>
      </c>
      <c r="BO40" s="6">
        <v>2964.2987982832719</v>
      </c>
      <c r="BP40" s="17">
        <v>1.1000000000000001</v>
      </c>
      <c r="BQ40" s="17">
        <v>0.6</v>
      </c>
      <c r="BR40" s="17">
        <v>0.6</v>
      </c>
      <c r="BS40" s="221">
        <v>2</v>
      </c>
      <c r="BT40" s="54">
        <v>1.5</v>
      </c>
      <c r="BU40" s="54">
        <v>0.7</v>
      </c>
      <c r="BV40" s="54">
        <v>0.7</v>
      </c>
      <c r="BW40" s="54">
        <v>0.5</v>
      </c>
      <c r="BX40" s="5">
        <v>27.2564358745006</v>
      </c>
      <c r="BY40" s="5">
        <v>7042.8182918455341</v>
      </c>
      <c r="BZ40" s="17">
        <v>1.1000000000000001</v>
      </c>
      <c r="CA40" s="17">
        <v>0.7</v>
      </c>
      <c r="CB40" s="17">
        <v>0.7</v>
      </c>
      <c r="CC40" s="221">
        <v>2</v>
      </c>
      <c r="CD40" s="221">
        <v>2</v>
      </c>
      <c r="CE40" s="221">
        <v>1</v>
      </c>
      <c r="CF40" s="221">
        <v>1</v>
      </c>
      <c r="CG40" s="54">
        <v>0.5</v>
      </c>
      <c r="CH40" s="5">
        <v>270.36392543224167</v>
      </c>
      <c r="CI40" s="5">
        <v>500</v>
      </c>
      <c r="CJ40" s="19">
        <v>0.9</v>
      </c>
      <c r="CK40" s="19">
        <v>0.8</v>
      </c>
      <c r="CL40" s="19">
        <v>0.8</v>
      </c>
      <c r="CM40" s="54">
        <v>2</v>
      </c>
      <c r="CN40" s="54">
        <v>1.5</v>
      </c>
      <c r="CO40" s="54">
        <v>0.5</v>
      </c>
      <c r="CP40" s="54">
        <v>1</v>
      </c>
      <c r="CQ40" s="54">
        <v>0.5</v>
      </c>
      <c r="CR40" s="5"/>
      <c r="CS40" s="8">
        <v>29</v>
      </c>
      <c r="CT40" s="17">
        <v>0.7</v>
      </c>
      <c r="CU40" s="17">
        <v>0.4</v>
      </c>
      <c r="CV40" s="17">
        <v>0.4</v>
      </c>
      <c r="CW40" s="54">
        <v>2</v>
      </c>
      <c r="CX40" s="54">
        <v>1</v>
      </c>
      <c r="CY40" s="54">
        <v>0.5</v>
      </c>
      <c r="CZ40" s="54">
        <v>0.7</v>
      </c>
      <c r="DA40" s="54">
        <v>0.2</v>
      </c>
      <c r="DB40" s="403">
        <v>0</v>
      </c>
      <c r="DC40" s="403">
        <v>0</v>
      </c>
      <c r="DD40" s="403">
        <v>0</v>
      </c>
      <c r="DE40" s="403">
        <v>0</v>
      </c>
      <c r="DF40" s="403">
        <v>0</v>
      </c>
      <c r="DG40" s="403">
        <v>0</v>
      </c>
      <c r="DH40" s="403">
        <v>0</v>
      </c>
      <c r="DI40" s="403">
        <v>0</v>
      </c>
      <c r="DJ40" s="403">
        <v>0</v>
      </c>
      <c r="DK40" s="403">
        <v>0</v>
      </c>
      <c r="DL40" s="403">
        <v>0</v>
      </c>
      <c r="DM40" s="403">
        <v>0</v>
      </c>
      <c r="DN40" s="403">
        <v>0</v>
      </c>
      <c r="DO40" s="403">
        <v>0</v>
      </c>
      <c r="DP40" s="403">
        <v>0</v>
      </c>
      <c r="DQ40" s="403">
        <v>0</v>
      </c>
      <c r="DR40" s="403">
        <v>0</v>
      </c>
      <c r="DS40" s="403">
        <v>0</v>
      </c>
      <c r="DT40" s="403">
        <v>0</v>
      </c>
      <c r="DU40" s="403">
        <v>0</v>
      </c>
      <c r="DV40" s="403">
        <v>0</v>
      </c>
      <c r="DW40" s="403">
        <v>0</v>
      </c>
      <c r="DX40" s="403">
        <v>0</v>
      </c>
      <c r="DY40" s="403">
        <v>0</v>
      </c>
      <c r="DZ40" s="404">
        <v>0</v>
      </c>
      <c r="EA40" s="404">
        <v>0</v>
      </c>
      <c r="EB40" s="404">
        <v>0</v>
      </c>
      <c r="EC40" s="404">
        <v>0</v>
      </c>
      <c r="ED40" s="404">
        <v>0</v>
      </c>
      <c r="EE40" s="404">
        <v>0</v>
      </c>
      <c r="EF40" s="404">
        <v>2.3331596698950001</v>
      </c>
      <c r="EG40" s="404">
        <v>0</v>
      </c>
      <c r="EH40" s="404">
        <v>0</v>
      </c>
      <c r="EI40" s="404">
        <v>0.98609088910742004</v>
      </c>
      <c r="EJ40" s="404">
        <v>9.6999770847580005E-2</v>
      </c>
      <c r="EK40" s="404">
        <v>-0.74905005460903995</v>
      </c>
      <c r="EL40" s="404">
        <v>2.3331596698949899</v>
      </c>
      <c r="EM40" s="404">
        <v>0</v>
      </c>
      <c r="EN40" s="404">
        <v>0</v>
      </c>
      <c r="EO40" s="404">
        <v>0.98609088910742004</v>
      </c>
      <c r="EP40" s="404">
        <v>0</v>
      </c>
      <c r="EQ40" s="404">
        <v>-0.74905005460903995</v>
      </c>
      <c r="ER40" s="404">
        <v>0</v>
      </c>
      <c r="ES40" s="404">
        <v>0</v>
      </c>
      <c r="ET40" s="404">
        <v>0</v>
      </c>
      <c r="EU40" s="404">
        <v>0</v>
      </c>
      <c r="EV40" s="404">
        <v>0</v>
      </c>
      <c r="EW40" s="404">
        <v>0</v>
      </c>
      <c r="EX40" s="404">
        <v>0</v>
      </c>
      <c r="EY40" s="404">
        <v>0</v>
      </c>
      <c r="EZ40" s="404">
        <v>0</v>
      </c>
      <c r="FA40" s="404">
        <v>0</v>
      </c>
      <c r="FB40" s="404">
        <v>0</v>
      </c>
      <c r="FC40" s="404">
        <v>0</v>
      </c>
      <c r="FD40" s="404">
        <v>0</v>
      </c>
      <c r="FE40" s="404">
        <v>0</v>
      </c>
      <c r="FF40" s="404">
        <v>0</v>
      </c>
      <c r="FG40" s="404">
        <v>0</v>
      </c>
      <c r="FH40" s="404">
        <v>0</v>
      </c>
      <c r="FI40" s="404">
        <v>0</v>
      </c>
      <c r="FJ40" s="404">
        <v>0</v>
      </c>
      <c r="FK40" s="404">
        <v>0</v>
      </c>
      <c r="FL40" s="404">
        <v>0</v>
      </c>
      <c r="FM40" s="404">
        <v>0</v>
      </c>
      <c r="FN40" s="404">
        <v>0</v>
      </c>
      <c r="FO40" s="404">
        <v>0</v>
      </c>
      <c r="FP40" s="404">
        <v>0</v>
      </c>
      <c r="FQ40" s="404">
        <v>0</v>
      </c>
      <c r="FR40" s="404">
        <v>0</v>
      </c>
      <c r="FS40" s="404">
        <v>0</v>
      </c>
      <c r="FT40" s="404">
        <v>0</v>
      </c>
      <c r="FU40" s="404">
        <v>0</v>
      </c>
      <c r="FV40" s="404">
        <v>0</v>
      </c>
      <c r="FW40" s="404">
        <v>0</v>
      </c>
      <c r="FX40" s="404">
        <v>0</v>
      </c>
      <c r="FY40" s="404">
        <v>0</v>
      </c>
      <c r="FZ40" s="404">
        <v>0</v>
      </c>
      <c r="GA40" s="404">
        <v>0</v>
      </c>
      <c r="GB40" s="404">
        <v>0</v>
      </c>
      <c r="GC40" s="404">
        <v>0</v>
      </c>
      <c r="GD40" s="404">
        <v>0</v>
      </c>
      <c r="GE40" s="404">
        <v>0</v>
      </c>
      <c r="GF40" s="404">
        <v>0</v>
      </c>
      <c r="GG40" s="404">
        <v>0</v>
      </c>
      <c r="GH40" s="404">
        <v>-55.82</v>
      </c>
      <c r="GI40" s="404">
        <v>-11.99</v>
      </c>
      <c r="GJ40" s="404">
        <v>-19.61</v>
      </c>
      <c r="GK40" s="404">
        <v>-12.92</v>
      </c>
      <c r="GL40" s="404">
        <v>4.6060068064949999E-2</v>
      </c>
      <c r="GM40" s="404">
        <v>-3.91</v>
      </c>
      <c r="GN40" s="404">
        <v>0</v>
      </c>
      <c r="GO40" s="404">
        <v>0</v>
      </c>
      <c r="GP40" s="404">
        <v>0</v>
      </c>
      <c r="GQ40" s="404">
        <v>0</v>
      </c>
      <c r="GR40" s="404">
        <v>0</v>
      </c>
      <c r="GS40" s="404">
        <v>0</v>
      </c>
      <c r="GT40" s="404">
        <v>0</v>
      </c>
      <c r="GU40" s="404">
        <v>0</v>
      </c>
      <c r="GV40" s="404">
        <v>0</v>
      </c>
      <c r="GW40" s="404">
        <v>0</v>
      </c>
      <c r="GX40" s="404">
        <v>0</v>
      </c>
      <c r="GY40" s="404">
        <v>0</v>
      </c>
      <c r="GZ40" s="404">
        <v>0</v>
      </c>
      <c r="HA40" s="404">
        <v>0</v>
      </c>
      <c r="HB40" s="404">
        <v>0</v>
      </c>
      <c r="HC40" s="404">
        <v>0</v>
      </c>
      <c r="HD40" s="404">
        <v>0</v>
      </c>
      <c r="HE40" s="404">
        <v>0</v>
      </c>
      <c r="HF40" s="404">
        <v>0</v>
      </c>
      <c r="HG40" s="404">
        <v>0</v>
      </c>
      <c r="HH40" s="404">
        <v>0</v>
      </c>
      <c r="HI40" s="404">
        <v>0</v>
      </c>
      <c r="HJ40" s="404">
        <v>0</v>
      </c>
      <c r="HK40" s="404">
        <v>0</v>
      </c>
      <c r="HL40" s="397">
        <v>-0.6</v>
      </c>
      <c r="HM40" s="405">
        <v>0</v>
      </c>
      <c r="HN40" s="405">
        <v>0</v>
      </c>
      <c r="HO40" s="405">
        <v>0</v>
      </c>
      <c r="HP40" s="405">
        <v>0</v>
      </c>
      <c r="HQ40" s="397">
        <v>-3.1108822695035498</v>
      </c>
      <c r="HR40" s="397">
        <v>0.1</v>
      </c>
      <c r="HS40" s="397">
        <v>0</v>
      </c>
      <c r="HT40" s="397">
        <v>0</v>
      </c>
      <c r="HU40" s="397">
        <v>0</v>
      </c>
      <c r="HV40" s="397">
        <v>0</v>
      </c>
      <c r="HW40" s="397">
        <v>0.23</v>
      </c>
      <c r="HX40" s="397">
        <v>-9.0767508396599993E-3</v>
      </c>
      <c r="HY40" s="397">
        <v>0</v>
      </c>
      <c r="HZ40" s="397">
        <v>0</v>
      </c>
      <c r="IA40" s="397">
        <v>-2.3954794799700002E-3</v>
      </c>
      <c r="IB40" s="397">
        <v>0</v>
      </c>
      <c r="IC40" s="397">
        <v>-0.47</v>
      </c>
      <c r="ID40" s="405">
        <v>0</v>
      </c>
      <c r="IE40" s="405">
        <v>0</v>
      </c>
      <c r="IF40" s="405">
        <v>0</v>
      </c>
      <c r="IG40" s="405">
        <v>0</v>
      </c>
      <c r="IH40" s="405">
        <v>0</v>
      </c>
      <c r="II40" s="405">
        <v>0</v>
      </c>
      <c r="IJ40" s="405">
        <v>0</v>
      </c>
      <c r="IK40" s="405">
        <v>0</v>
      </c>
      <c r="IL40" s="405">
        <v>0</v>
      </c>
      <c r="IM40" s="405">
        <v>0</v>
      </c>
      <c r="IN40" s="405">
        <v>0</v>
      </c>
      <c r="IO40" s="405">
        <v>0</v>
      </c>
      <c r="IP40" s="404">
        <v>-55.82</v>
      </c>
      <c r="IQ40" s="404">
        <v>-11.99</v>
      </c>
      <c r="IR40" s="404">
        <v>-19.61</v>
      </c>
      <c r="IS40" s="404">
        <v>-12.92</v>
      </c>
      <c r="IT40" s="404">
        <v>-1.07225369578546</v>
      </c>
      <c r="IU40" s="404">
        <v>-0.59</v>
      </c>
      <c r="IV40" s="404">
        <v>-0.12913436945737</v>
      </c>
      <c r="IW40" s="404">
        <v>0</v>
      </c>
      <c r="IX40" s="404">
        <v>0</v>
      </c>
      <c r="IY40" s="404">
        <v>0</v>
      </c>
      <c r="IZ40" s="404">
        <v>-0.75737307686747002</v>
      </c>
      <c r="JA40" s="404">
        <v>0</v>
      </c>
      <c r="JB40" s="404">
        <v>-0.15496124334884001</v>
      </c>
      <c r="JC40" s="404">
        <v>0</v>
      </c>
      <c r="JD40" s="404">
        <v>0</v>
      </c>
      <c r="JE40" s="404">
        <v>0</v>
      </c>
      <c r="JF40" s="404">
        <v>-1.39367584496439</v>
      </c>
      <c r="JG40" s="404">
        <v>0</v>
      </c>
      <c r="JH40" s="404">
        <v>0</v>
      </c>
      <c r="JI40" s="404">
        <v>0</v>
      </c>
      <c r="JJ40" s="404">
        <v>0</v>
      </c>
      <c r="JK40" s="404">
        <v>0</v>
      </c>
      <c r="JL40" s="404">
        <v>0</v>
      </c>
      <c r="JM40" s="404">
        <v>0</v>
      </c>
      <c r="JN40" s="404">
        <v>-0.15496124334885</v>
      </c>
      <c r="JO40" s="404">
        <v>0</v>
      </c>
      <c r="JP40" s="404">
        <v>0</v>
      </c>
      <c r="JQ40" s="404">
        <v>0</v>
      </c>
      <c r="JR40" s="404">
        <v>-1.3435541332540599</v>
      </c>
      <c r="JS40" s="404">
        <v>0</v>
      </c>
      <c r="JT40" s="404">
        <v>-55.82</v>
      </c>
      <c r="JU40" s="404">
        <v>-11.99</v>
      </c>
      <c r="JV40" s="404">
        <v>-19.61</v>
      </c>
      <c r="JW40" s="404">
        <v>-12.92</v>
      </c>
      <c r="JX40" s="404">
        <v>-0.84497718120804999</v>
      </c>
      <c r="JY40" s="404">
        <v>-0.9</v>
      </c>
      <c r="JZ40" s="404">
        <v>0</v>
      </c>
      <c r="KA40" s="404">
        <v>0</v>
      </c>
      <c r="KB40" s="404">
        <v>0</v>
      </c>
      <c r="KC40" s="404">
        <v>0</v>
      </c>
      <c r="KD40" s="404">
        <v>0</v>
      </c>
      <c r="KE40" s="404">
        <v>0</v>
      </c>
      <c r="KF40" s="404">
        <v>0</v>
      </c>
      <c r="KG40" s="404">
        <v>0</v>
      </c>
      <c r="KH40" s="404">
        <v>0</v>
      </c>
      <c r="KI40" s="404">
        <v>0</v>
      </c>
      <c r="KJ40" s="404">
        <v>0</v>
      </c>
      <c r="KK40" s="404">
        <v>0</v>
      </c>
      <c r="KL40" s="404">
        <v>0</v>
      </c>
      <c r="KM40" s="404">
        <v>0</v>
      </c>
      <c r="KN40" s="404">
        <v>0</v>
      </c>
      <c r="KO40" s="404">
        <v>0</v>
      </c>
      <c r="KP40" s="404">
        <v>0</v>
      </c>
      <c r="KQ40" s="404">
        <v>0</v>
      </c>
      <c r="KR40" s="404">
        <v>0</v>
      </c>
      <c r="KS40" s="404">
        <v>0</v>
      </c>
      <c r="KT40" s="404">
        <v>0</v>
      </c>
      <c r="KU40" s="404">
        <v>0</v>
      </c>
      <c r="KV40" s="404">
        <v>0</v>
      </c>
      <c r="KW40" s="404">
        <v>0</v>
      </c>
      <c r="KX40" s="404">
        <v>1.0046888903139199</v>
      </c>
      <c r="KY40" s="404">
        <v>0.16710577309979999</v>
      </c>
      <c r="KZ40" s="404">
        <v>-0.20275762945598999</v>
      </c>
      <c r="LA40" s="404">
        <v>1.2390474038300001E-2</v>
      </c>
      <c r="LB40" s="404">
        <v>-5.5329298001249999E-2</v>
      </c>
      <c r="LC40" s="404">
        <v>-0.44750344212965998</v>
      </c>
      <c r="LD40" s="404">
        <v>-2.6800558377699998E-3</v>
      </c>
      <c r="LE40" s="404">
        <v>0</v>
      </c>
      <c r="LF40" s="404">
        <v>0</v>
      </c>
      <c r="LG40" s="404">
        <v>0</v>
      </c>
      <c r="LH40" s="404">
        <v>4.3345790606010001E-2</v>
      </c>
      <c r="LI40" s="404">
        <v>0</v>
      </c>
      <c r="LJ40" s="404">
        <v>0</v>
      </c>
      <c r="LK40" s="404">
        <v>0</v>
      </c>
      <c r="LL40" s="404">
        <v>0</v>
      </c>
      <c r="LM40" s="404">
        <v>0</v>
      </c>
      <c r="LN40" s="404">
        <v>0.14138326334163001</v>
      </c>
      <c r="LO40" s="404">
        <v>-6.76163329988798</v>
      </c>
      <c r="LP40" s="404">
        <v>0.12020443037641</v>
      </c>
      <c r="LQ40" s="404">
        <v>0</v>
      </c>
      <c r="LR40" s="404">
        <v>0</v>
      </c>
      <c r="LS40" s="404">
        <v>0</v>
      </c>
      <c r="LT40" s="404">
        <v>0</v>
      </c>
      <c r="LU40" s="404">
        <v>-3.11</v>
      </c>
      <c r="LV40" s="401">
        <v>6.8506595710599999E-3</v>
      </c>
      <c r="LW40" s="401">
        <v>0</v>
      </c>
      <c r="LX40" s="401">
        <v>0</v>
      </c>
      <c r="LY40" s="401">
        <v>0</v>
      </c>
      <c r="LZ40" s="401">
        <v>0</v>
      </c>
      <c r="MA40" s="401">
        <v>-0.43889541996992998</v>
      </c>
      <c r="MB40" s="404">
        <v>0</v>
      </c>
      <c r="MC40" s="404">
        <v>0</v>
      </c>
      <c r="MD40" s="404">
        <v>0</v>
      </c>
      <c r="ME40" s="404">
        <v>0</v>
      </c>
      <c r="MF40" s="404">
        <v>0</v>
      </c>
      <c r="MG40" s="404">
        <v>0</v>
      </c>
    </row>
    <row r="41" spans="1:345" ht="18" customHeight="1" thickBot="1">
      <c r="A41" s="328" t="s">
        <v>258</v>
      </c>
      <c r="B41" s="329">
        <f>INDEX(B42:B104,START!$D$3,1)</f>
        <v>0.5</v>
      </c>
      <c r="C41" s="329">
        <f>INDEX(C42:C104,START!$D$3,1)</f>
        <v>0.19999999999999998</v>
      </c>
      <c r="D41" s="329">
        <f>INDEX(D42:D104,START!$D$3,1)</f>
        <v>0.19999999999999998</v>
      </c>
      <c r="E41" s="329">
        <f>INDEX(E42:E104,START!$D$3,1)</f>
        <v>100.05590062111801</v>
      </c>
      <c r="F41" s="329">
        <f>INDEX(F42:F104,START!$D$3,1)</f>
        <v>-1</v>
      </c>
      <c r="G41" s="329">
        <f>INDEX(G42:G104,START!$D$3,1)</f>
        <v>-5.5</v>
      </c>
      <c r="H41" s="329">
        <f>INDEX(H42:H104,START!$D$3,1)</f>
        <v>-5.5</v>
      </c>
      <c r="I41" s="329">
        <f>INDEX(I42:I104,START!$D$3,1)</f>
        <v>1458.7130772690623</v>
      </c>
      <c r="J41" s="329">
        <f>INDEX(J42:J104,START!$D$3,1)</f>
        <v>18</v>
      </c>
      <c r="K41" s="329">
        <f>INDEX(K42:K104,START!$D$3,1)</f>
        <v>0</v>
      </c>
      <c r="L41" s="329">
        <f>INDEX(L42:L104,START!$D$3,1)</f>
        <v>0.26999999999999996</v>
      </c>
      <c r="M41" s="329">
        <f>INDEX(M42:M104,START!$D$3,1)</f>
        <v>0.29999999999999993</v>
      </c>
      <c r="N41" s="329">
        <f>INDEX(N42:N104,START!$D$3,1)</f>
        <v>0.29999999999999993</v>
      </c>
      <c r="O41" s="329">
        <f>INDEX(O42:O104,START!$D$3,1)</f>
        <v>0.2</v>
      </c>
      <c r="P41" s="329">
        <f>INDEX(P42:P104,START!$D$3,1)</f>
        <v>0</v>
      </c>
      <c r="Q41" s="329">
        <f>INDEX(Q42:Q104,START!$D$3,1)</f>
        <v>99.3</v>
      </c>
      <c r="R41" s="329">
        <f>INDEX(R42:R104,START!$D$3,1)</f>
        <v>0.5</v>
      </c>
      <c r="S41" s="329">
        <f>INDEX(S42:S104,START!$D$3,1)</f>
        <v>0</v>
      </c>
      <c r="T41" s="329">
        <f>INDEX(T42:T104,START!$D$3,1)</f>
        <v>1</v>
      </c>
      <c r="U41" s="329">
        <f>INDEX(U42:U104,START!$D$3,1)</f>
        <v>1</v>
      </c>
      <c r="V41" s="329">
        <f>INDEX(V42:V104,START!$D$3,1)</f>
        <v>1</v>
      </c>
      <c r="W41" s="329">
        <f>INDEX(W42:W104,START!$D$3,1)</f>
        <v>1</v>
      </c>
      <c r="X41" s="329">
        <f>INDEX(X42:X104,START!$D$3,1)</f>
        <v>1</v>
      </c>
      <c r="Y41" s="329">
        <f>INDEX(Y42:Y104,START!$D$3,1)</f>
        <v>0</v>
      </c>
      <c r="Z41" s="329">
        <f>INDEX(Z42:Z104,START!$D$3,1)</f>
        <v>0</v>
      </c>
      <c r="AA41" s="329">
        <f>INDEX(AA42:AA104,START!$D$3,1)</f>
        <v>0</v>
      </c>
      <c r="AB41" s="329">
        <f>INDEX(AB42:AB104,START!$D$3,1)</f>
        <v>0</v>
      </c>
      <c r="AC41" s="329">
        <f>INDEX(AC42:AC104,START!$D$3,1)</f>
        <v>0</v>
      </c>
      <c r="AD41" s="329">
        <f>INDEX(AD42:AD104,START!$D$3,1)</f>
        <v>0</v>
      </c>
      <c r="AE41" s="329">
        <f>INDEX(AE42:AE104,START!$D$3,1)</f>
        <v>0</v>
      </c>
      <c r="AF41" s="329">
        <f>INDEX(AF42:AF104,START!$D$3,1)</f>
        <v>0</v>
      </c>
      <c r="AG41" s="329">
        <f>INDEX(AG42:AG104,START!$D$3,1)</f>
        <v>0</v>
      </c>
      <c r="AH41" s="329">
        <f>INDEX(AH42:AH104,START!$D$3,1)</f>
        <v>0</v>
      </c>
      <c r="AI41" s="329">
        <f>INDEX(AI42:AI104,START!$D$3,1)</f>
        <v>0</v>
      </c>
      <c r="AJ41" s="329">
        <f>INDEX(AJ42:AJ104,START!$D$3,1)</f>
        <v>0</v>
      </c>
      <c r="AK41" s="329">
        <f>INDEX(AK42:AK104,START!$D$3,1)</f>
        <v>0</v>
      </c>
      <c r="AL41" s="329">
        <f>INDEX(AL42:AL104,START!$D$3,1)</f>
        <v>0</v>
      </c>
      <c r="AM41" s="329">
        <f>INDEX(AM42:AM104,START!$D$3,1)</f>
        <v>0</v>
      </c>
      <c r="AN41" s="329">
        <f>INDEX(AN42:AN104,START!$D$3,1)</f>
        <v>0</v>
      </c>
      <c r="AO41" s="329">
        <f>INDEX(AO42:AO104,START!$D$3,1)</f>
        <v>0</v>
      </c>
      <c r="AP41" s="329">
        <f>INDEX(AP42:AP104,START!$D$3,1)</f>
        <v>0</v>
      </c>
      <c r="AQ41" s="329">
        <f>INDEX(AQ42:AQ104,START!$D$3,1)</f>
        <v>0</v>
      </c>
      <c r="AR41" s="329">
        <f>INDEX(AR42:AR104,START!$D$3,1)</f>
        <v>0</v>
      </c>
      <c r="AS41" s="329">
        <f>INDEX(AS42:AS104,START!$D$3,1)</f>
        <v>0</v>
      </c>
      <c r="AT41" s="329">
        <f>INDEX(AT42:AT104,START!$D$3,1)</f>
        <v>0</v>
      </c>
      <c r="AU41" s="329">
        <f>INDEX(AU42:AU104,START!$D$3,1)</f>
        <v>0</v>
      </c>
      <c r="AV41" s="329">
        <f>INDEX(AV42:AV104,START!$D$3,1)</f>
        <v>0</v>
      </c>
      <c r="AW41" s="329">
        <f>INDEX(AW42:AW104,START!$D$3,1)</f>
        <v>1</v>
      </c>
      <c r="AX41" s="329">
        <f>INDEX(AX42:AX104,START!$D$3,1)</f>
        <v>1</v>
      </c>
      <c r="AY41" s="329">
        <f>INDEX(AY42:AY104,START!$D$3,1)</f>
        <v>1</v>
      </c>
      <c r="AZ41" s="329">
        <f>INDEX(AZ42:AZ104,START!$D$3,1)</f>
        <v>1</v>
      </c>
      <c r="BA41" s="329">
        <f>INDEX(BA42:BA104,START!$D$3,1)</f>
        <v>0</v>
      </c>
      <c r="BB41" s="329">
        <f>INDEX(BB42:BB104,START!$D$3,1)</f>
        <v>0</v>
      </c>
      <c r="BC41" s="329">
        <f>INDEX(BC42:BC104,START!$D$3,1)</f>
        <v>0</v>
      </c>
      <c r="BD41" s="329">
        <f>INDEX(BD42:BD104,START!$D$3,1)</f>
        <v>0</v>
      </c>
      <c r="BE41" s="329">
        <f>INDEX(BE42:BE104,START!$D$3,1)</f>
        <v>0</v>
      </c>
      <c r="BF41" s="329">
        <f>INDEX(BF42:BF104,START!$D$3,1)</f>
        <v>0</v>
      </c>
      <c r="BG41" s="329">
        <f>INDEX(BG42:BG104,START!$D$3,1)</f>
        <v>0</v>
      </c>
      <c r="BH41" s="329">
        <f>INDEX(BH42:BH104,START!$D$3,1)</f>
        <v>0</v>
      </c>
      <c r="BI41" s="329">
        <f>INDEX(BI42:BI104,START!$D$3,1)</f>
        <v>0</v>
      </c>
      <c r="BJ41" s="329">
        <f>INDEX(BJ42:BJ104,START!$D$3,1)</f>
        <v>0</v>
      </c>
      <c r="BK41" s="329">
        <f>INDEX(BK42:BK104,START!$D$3,1)</f>
        <v>0</v>
      </c>
      <c r="BL41" s="329">
        <f>INDEX(BL42:BL104,START!$D$3,1)</f>
        <v>0</v>
      </c>
      <c r="BM41" s="329">
        <f>INDEX(BM42:BM104,START!$D$3,1)</f>
        <v>0</v>
      </c>
      <c r="BN41" s="329">
        <f>INDEX(BN42:BN104,START!$D$3,1)</f>
        <v>0</v>
      </c>
      <c r="BO41" s="329">
        <f>INDEX(BO42:BO104,START!$D$3,1)</f>
        <v>0</v>
      </c>
      <c r="BP41" s="329">
        <f>INDEX(BP42:BP104,START!$D$3,1)</f>
        <v>0</v>
      </c>
      <c r="BQ41" s="329">
        <f>INDEX(BQ42:BQ104,START!$D$3,1)</f>
        <v>0</v>
      </c>
      <c r="BR41" s="329">
        <f>INDEX(BR42:BR104,START!$D$3,1)</f>
        <v>0</v>
      </c>
      <c r="BS41" s="329">
        <f>INDEX(BS42:BS104,START!$D$3,1)</f>
        <v>1</v>
      </c>
      <c r="BT41" s="329">
        <f>INDEX(BT42:BT104,START!$D$3,1)</f>
        <v>1</v>
      </c>
      <c r="BU41" s="329">
        <f>INDEX(BU42:BU104,START!$D$3,1)</f>
        <v>1</v>
      </c>
      <c r="BV41" s="329">
        <f>INDEX(BV42:BV104,START!$D$3,1)</f>
        <v>1</v>
      </c>
      <c r="BW41" s="329">
        <f>INDEX(BW42:BW104,START!$D$3,1)</f>
        <v>1</v>
      </c>
      <c r="BX41" s="329">
        <f>INDEX(BX42:BX104,START!$D$3,1)</f>
        <v>0</v>
      </c>
      <c r="BY41" s="329">
        <f>INDEX(BY42:BY104,START!$D$3,1)</f>
        <v>0</v>
      </c>
      <c r="BZ41" s="329">
        <f>INDEX(BZ42:BZ104,START!$D$3,1)</f>
        <v>0</v>
      </c>
      <c r="CA41" s="329">
        <f>INDEX(CA42:CA104,START!$D$3,1)</f>
        <v>0</v>
      </c>
      <c r="CB41" s="329">
        <f>INDEX(CB42:CB104,START!$D$3,1)</f>
        <v>0</v>
      </c>
      <c r="CC41" s="329">
        <f>INDEX(CC42:CC104,START!$D$3,1)</f>
        <v>1</v>
      </c>
      <c r="CD41" s="329">
        <f>INDEX(CD42:CD104,START!$D$3,1)</f>
        <v>1</v>
      </c>
      <c r="CE41" s="329">
        <f>INDEX(CE42:CE104,START!$D$3,1)</f>
        <v>1</v>
      </c>
      <c r="CF41" s="329">
        <f>INDEX(CF42:CF104,START!$D$3,1)</f>
        <v>1</v>
      </c>
      <c r="CG41" s="329">
        <f>INDEX(CG42:CG104,START!$D$3,1)</f>
        <v>1</v>
      </c>
      <c r="CH41" s="329">
        <f>INDEX(CH42:CH104,START!$D$3,1)</f>
        <v>0</v>
      </c>
      <c r="CI41" s="329">
        <f>INDEX(CI42:CI104,START!$D$3,1)</f>
        <v>0</v>
      </c>
      <c r="CJ41" s="329">
        <f>INDEX(CJ42:CJ104,START!$D$3,1)</f>
        <v>0</v>
      </c>
      <c r="CK41" s="329">
        <f>INDEX(CK42:CK104,START!$D$3,1)</f>
        <v>0</v>
      </c>
      <c r="CL41" s="329">
        <f>INDEX(CL42:CL104,START!$D$3,1)</f>
        <v>0</v>
      </c>
      <c r="CM41" s="329">
        <f>INDEX(CM42:CM104,START!$D$3,1)</f>
        <v>1</v>
      </c>
      <c r="CN41" s="329">
        <f>INDEX(CN42:CN104,START!$D$3,1)</f>
        <v>1</v>
      </c>
      <c r="CO41" s="329">
        <f>INDEX(CO42:CO104,START!$D$3,1)</f>
        <v>1</v>
      </c>
      <c r="CP41" s="329">
        <f>INDEX(CP42:CP104,START!$D$3,1)</f>
        <v>1</v>
      </c>
      <c r="CQ41" s="329">
        <f>INDEX(CQ42:CQ104,START!$D$3,1)</f>
        <v>1</v>
      </c>
      <c r="CR41" s="329">
        <f>INDEX(CR42:CR104,START!$D$3,1)</f>
        <v>0</v>
      </c>
      <c r="CS41" s="329">
        <f>INDEX(CS42:CS104,START!$D$3,1)</f>
        <v>0</v>
      </c>
      <c r="CT41" s="329">
        <f>INDEX(CT42:CT104,START!$D$3,1)</f>
        <v>0</v>
      </c>
      <c r="CU41" s="329">
        <f>INDEX(CU42:CU104,START!$D$3,1)</f>
        <v>0</v>
      </c>
      <c r="CV41" s="329">
        <f>INDEX(CV42:CV104,START!$D$3,1)</f>
        <v>0</v>
      </c>
      <c r="CW41" s="329">
        <f>INDEX(CW42:CW104,START!$D$3,1)</f>
        <v>1</v>
      </c>
      <c r="CX41" s="329">
        <f>INDEX(CX42:CX104,START!$D$3,1)</f>
        <v>1</v>
      </c>
      <c r="CY41" s="329">
        <f>INDEX(CY42:CY104,START!$D$3,1)</f>
        <v>1</v>
      </c>
      <c r="CZ41" s="329">
        <f>INDEX(CZ42:CZ104,START!$D$3,1)</f>
        <v>1</v>
      </c>
      <c r="DA41" s="329">
        <f>INDEX(DA42:DA104,START!$D$3,1)</f>
        <v>1</v>
      </c>
      <c r="DB41" s="329">
        <f>INDEX(DB42:DB104,START!$D$3,1)</f>
        <v>-548379.96591493534</v>
      </c>
      <c r="DC41" s="329">
        <f>INDEX(DC42:DC104,START!$D$3,1)</f>
        <v>-5.6057976196632886E-2</v>
      </c>
      <c r="DD41" s="329">
        <f>INDEX(DD42:DD104,START!$D$3,1)</f>
        <v>2.3169596365813168</v>
      </c>
      <c r="DE41" s="329">
        <f>INDEX(DE42:DE104,START!$D$3,1)</f>
        <v>2.3169596365813168</v>
      </c>
      <c r="DF41" s="329">
        <f>INDEX(DF42:DF104,START!$D$3,1)</f>
        <v>163008.86814203212</v>
      </c>
      <c r="DG41" s="329">
        <f>INDEX(DG42:DG104,START!$D$3,1)</f>
        <v>1.1935164277488752</v>
      </c>
      <c r="DH41" s="329">
        <f>INDEX(DH42:DH104,START!$D$3,1)</f>
        <v>0.16969509809525718</v>
      </c>
      <c r="DI41" s="329">
        <f>INDEX(DI42:DI104,START!$D$3,1)</f>
        <v>0.16969509809525718</v>
      </c>
      <c r="DJ41" s="329">
        <f>INDEX(DJ42:DJ104,START!$D$3,1)</f>
        <v>16971.749140328644</v>
      </c>
      <c r="DK41" s="329">
        <f>INDEX(DK42:DK104,START!$D$3,1)</f>
        <v>-0.49105974754584114</v>
      </c>
      <c r="DL41" s="329">
        <f>INDEX(DL42:DL104,START!$D$3,1)</f>
        <v>4.5777144812553239E-2</v>
      </c>
      <c r="DM41" s="329">
        <f>INDEX(DM42:DM104,START!$D$3,1)</f>
        <v>4.5777144812553239E-2</v>
      </c>
      <c r="DN41" s="329">
        <f>INDEX(DN42:DN104,START!$D$3,1)</f>
        <v>24937.229909639544</v>
      </c>
      <c r="DO41" s="329">
        <f>INDEX(DO42:DO104,START!$D$3,1)</f>
        <v>-0.5728508462310099</v>
      </c>
      <c r="DP41" s="329">
        <f>INDEX(DP42:DP104,START!$D$3,1)</f>
        <v>-0.31928389463363738</v>
      </c>
      <c r="DQ41" s="329">
        <f>INDEX(DQ42:DQ104,START!$D$3,1)</f>
        <v>-0.31928389463363738</v>
      </c>
      <c r="DR41" s="329">
        <f>INDEX(DR42:DR104,START!$D$3,1)</f>
        <v>46903.788460051932</v>
      </c>
      <c r="DS41" s="329">
        <f>INDEX(DS42:DS104,START!$D$3,1)</f>
        <v>-0.10286391912811554</v>
      </c>
      <c r="DT41" s="329">
        <f>INDEX(DT42:DT104,START!$D$3,1)</f>
        <v>-1.2470099209330618</v>
      </c>
      <c r="DU41" s="329">
        <f>INDEX(DU42:DU104,START!$D$3,1)</f>
        <v>-1.2470099209330618</v>
      </c>
      <c r="DV41" s="329">
        <f>INDEX(DV42:DV104,START!$D$3,1)</f>
        <v>-111907.03951127999</v>
      </c>
      <c r="DW41" s="329">
        <f>INDEX(DW42:DW104,START!$D$3,1)</f>
        <v>-1.0698418934196872</v>
      </c>
      <c r="DX41" s="329">
        <f>INDEX(DX42:DX104,START!$D$3,1)</f>
        <v>-1.6571095904057032</v>
      </c>
      <c r="DY41" s="329">
        <f>INDEX(DY42:DY104,START!$D$3,1)</f>
        <v>-1.6571095904057032</v>
      </c>
      <c r="DZ41" s="329">
        <f>INDEX(DZ42:DZ104,START!$D$3,1)</f>
        <v>0</v>
      </c>
      <c r="EA41" s="329">
        <f>INDEX(EA42:EA104,START!$D$3,1)</f>
        <v>0</v>
      </c>
      <c r="EB41" s="329">
        <f>INDEX(EB42:EB104,START!$D$3,1)</f>
        <v>0</v>
      </c>
      <c r="EC41" s="329">
        <f>INDEX(EC42:EC104,START!$D$3,1)</f>
        <v>0</v>
      </c>
      <c r="ED41" s="329">
        <f>INDEX(ED42:ED104,START!$D$3,1)</f>
        <v>0</v>
      </c>
      <c r="EE41" s="329">
        <f>INDEX(EE42:EE104,START!$D$3,1)</f>
        <v>0</v>
      </c>
      <c r="EF41" s="329">
        <f>INDEX(EF42:EF104,START!$D$3,1)</f>
        <v>2.3331596698950001</v>
      </c>
      <c r="EG41" s="329">
        <f>INDEX(EG42:EG104,START!$D$3,1)</f>
        <v>0</v>
      </c>
      <c r="EH41" s="329">
        <f>INDEX(EH42:EH104,START!$D$3,1)</f>
        <v>0</v>
      </c>
      <c r="EI41" s="329">
        <f>INDEX(EI42:EI104,START!$D$3,1)</f>
        <v>0.98609088910742004</v>
      </c>
      <c r="EJ41" s="329">
        <f>INDEX(EJ42:EJ104,START!$D$3,1)</f>
        <v>9.6999770847580005E-2</v>
      </c>
      <c r="EK41" s="329">
        <f>INDEX(EK42:EK104,START!$D$3,1)</f>
        <v>-0.74905005460903995</v>
      </c>
      <c r="EL41" s="329">
        <f>INDEX(EL42:EL104,START!$D$3,1)</f>
        <v>2.3331596698949899</v>
      </c>
      <c r="EM41" s="329">
        <f>INDEX(EM42:EM104,START!$D$3,1)</f>
        <v>0</v>
      </c>
      <c r="EN41" s="329">
        <f>INDEX(EN42:EN104,START!$D$3,1)</f>
        <v>0</v>
      </c>
      <c r="EO41" s="329">
        <f>INDEX(EO42:EO104,START!$D$3,1)</f>
        <v>0.98609088910742004</v>
      </c>
      <c r="EP41" s="329">
        <f>INDEX(EP42:EP104,START!$D$3,1)</f>
        <v>0</v>
      </c>
      <c r="EQ41" s="329">
        <f>INDEX(EQ42:EQ104,START!$D$3,1)</f>
        <v>-0.74905005460903995</v>
      </c>
      <c r="ER41" s="329">
        <f>INDEX(ER42:ER104,START!$D$3,1)</f>
        <v>0</v>
      </c>
      <c r="ES41" s="329">
        <f>INDEX(ES42:ES104,START!$D$3,1)</f>
        <v>0</v>
      </c>
      <c r="ET41" s="329">
        <f>INDEX(ET42:ET104,START!$D$3,1)</f>
        <v>0</v>
      </c>
      <c r="EU41" s="329">
        <f>INDEX(EU42:EU104,START!$D$3,1)</f>
        <v>0</v>
      </c>
      <c r="EV41" s="329">
        <f>INDEX(EV42:EV104,START!$D$3,1)</f>
        <v>0</v>
      </c>
      <c r="EW41" s="329">
        <f>INDEX(EW42:EW104,START!$D$3,1)</f>
        <v>0</v>
      </c>
      <c r="EX41" s="329">
        <f>INDEX(EX42:EX104,START!$D$3,1)</f>
        <v>0</v>
      </c>
      <c r="EY41" s="329">
        <f>INDEX(EY42:EY104,START!$D$3,1)</f>
        <v>0</v>
      </c>
      <c r="EZ41" s="329">
        <f>INDEX(EZ42:EZ104,START!$D$3,1)</f>
        <v>0</v>
      </c>
      <c r="FA41" s="329">
        <f>INDEX(FA42:FA104,START!$D$3,1)</f>
        <v>0</v>
      </c>
      <c r="FB41" s="329">
        <f>INDEX(FB42:FB104,START!$D$3,1)</f>
        <v>0</v>
      </c>
      <c r="FC41" s="329">
        <f>INDEX(FC42:FC104,START!$D$3,1)</f>
        <v>0</v>
      </c>
      <c r="FD41" s="329">
        <f>INDEX(FD42:FD104,START!$D$3,1)</f>
        <v>0</v>
      </c>
      <c r="FE41" s="329">
        <f>INDEX(FE42:FE104,START!$D$3,1)</f>
        <v>0</v>
      </c>
      <c r="FF41" s="329">
        <f>INDEX(FF42:FF104,START!$D$3,1)</f>
        <v>0</v>
      </c>
      <c r="FG41" s="329">
        <f>INDEX(FG42:FG104,START!$D$3,1)</f>
        <v>0</v>
      </c>
      <c r="FH41" s="329">
        <f>INDEX(FH42:FH104,START!$D$3,1)</f>
        <v>0</v>
      </c>
      <c r="FI41" s="329">
        <f>INDEX(FI42:FI104,START!$D$3,1)</f>
        <v>0</v>
      </c>
      <c r="FJ41" s="329">
        <f>INDEX(FJ42:FJ104,START!$D$3,1)</f>
        <v>0</v>
      </c>
      <c r="FK41" s="329">
        <f>INDEX(FK42:FK104,START!$D$3,1)</f>
        <v>0</v>
      </c>
      <c r="FL41" s="329">
        <f>INDEX(FL42:FL104,START!$D$3,1)</f>
        <v>0</v>
      </c>
      <c r="FM41" s="329">
        <f>INDEX(FM42:FM104,START!$D$3,1)</f>
        <v>0</v>
      </c>
      <c r="FN41" s="329">
        <f>INDEX(FN42:FN104,START!$D$3,1)</f>
        <v>0</v>
      </c>
      <c r="FO41" s="329">
        <f>INDEX(FO42:FO104,START!$D$3,1)</f>
        <v>0</v>
      </c>
      <c r="FP41" s="329">
        <f>INDEX(FP42:FP104,START!$D$3,1)</f>
        <v>0</v>
      </c>
      <c r="FQ41" s="329">
        <f>INDEX(FQ42:FQ104,START!$D$3,1)</f>
        <v>0</v>
      </c>
      <c r="FR41" s="329">
        <f>INDEX(FR42:FR104,START!$D$3,1)</f>
        <v>0</v>
      </c>
      <c r="FS41" s="329">
        <f>INDEX(FS42:FS104,START!$D$3,1)</f>
        <v>0</v>
      </c>
      <c r="FT41" s="329">
        <f>INDEX(FT42:FT104,START!$D$3,1)</f>
        <v>0</v>
      </c>
      <c r="FU41" s="329">
        <f>INDEX(FU42:FU104,START!$D$3,1)</f>
        <v>0</v>
      </c>
      <c r="FV41" s="329">
        <f>INDEX(FV42:FV104,START!$D$3,1)</f>
        <v>0</v>
      </c>
      <c r="FW41" s="329">
        <f>INDEX(FW42:FW104,START!$D$3,1)</f>
        <v>0</v>
      </c>
      <c r="FX41" s="329">
        <f>INDEX(FX42:FX104,START!$D$3,1)</f>
        <v>0</v>
      </c>
      <c r="FY41" s="329">
        <f>INDEX(FY42:FY104,START!$D$3,1)</f>
        <v>0</v>
      </c>
      <c r="FZ41" s="329">
        <f>INDEX(FZ42:FZ104,START!$D$3,1)</f>
        <v>0</v>
      </c>
      <c r="GA41" s="329">
        <f>INDEX(GA42:GA104,START!$D$3,1)</f>
        <v>0</v>
      </c>
      <c r="GB41" s="329">
        <f>INDEX(GB42:GB104,START!$D$3,1)</f>
        <v>0</v>
      </c>
      <c r="GC41" s="329">
        <f>INDEX(GC42:GC104,START!$D$3,1)</f>
        <v>0</v>
      </c>
      <c r="GD41" s="329">
        <f>INDEX(GD42:GD104,START!$D$3,1)</f>
        <v>0</v>
      </c>
      <c r="GE41" s="329">
        <f>INDEX(GE42:GE104,START!$D$3,1)</f>
        <v>0</v>
      </c>
      <c r="GF41" s="329">
        <f>INDEX(GF42:GF104,START!$D$3,1)</f>
        <v>0</v>
      </c>
      <c r="GG41" s="329">
        <f>INDEX(GG42:GG104,START!$D$3,1)</f>
        <v>0</v>
      </c>
      <c r="GH41" s="329">
        <f>INDEX(GH42:GH104,START!$D$3,1)</f>
        <v>-55.82</v>
      </c>
      <c r="GI41" s="329">
        <f>INDEX(GI42:GI104,START!$D$3,1)</f>
        <v>-11.99</v>
      </c>
      <c r="GJ41" s="329">
        <f>INDEX(GJ42:GJ104,START!$D$3,1)</f>
        <v>-19.61</v>
      </c>
      <c r="GK41" s="329">
        <f>INDEX(GK42:GK104,START!$D$3,1)</f>
        <v>-12.92</v>
      </c>
      <c r="GL41" s="329">
        <f>INDEX(GL42:GL104,START!$D$3,1)</f>
        <v>4.6060068064949999E-2</v>
      </c>
      <c r="GM41" s="329">
        <f>INDEX(GM42:GM104,START!$D$3,1)</f>
        <v>-3.91</v>
      </c>
      <c r="GN41" s="329">
        <f>INDEX(GN42:GN104,START!$D$3,1)</f>
        <v>0</v>
      </c>
      <c r="GO41" s="329">
        <f>INDEX(GO42:GO104,START!$D$3,1)</f>
        <v>0</v>
      </c>
      <c r="GP41" s="329">
        <f>INDEX(GP42:GP104,START!$D$3,1)</f>
        <v>0</v>
      </c>
      <c r="GQ41" s="329">
        <f>INDEX(GQ42:GQ104,START!$D$3,1)</f>
        <v>0</v>
      </c>
      <c r="GR41" s="329">
        <f>INDEX(GR42:GR104,START!$D$3,1)</f>
        <v>0</v>
      </c>
      <c r="GS41" s="329">
        <f>INDEX(GS42:GS104,START!$D$3,1)</f>
        <v>0</v>
      </c>
      <c r="GT41" s="329">
        <f>INDEX(GT42:GT104,START!$D$3,1)</f>
        <v>0</v>
      </c>
      <c r="GU41" s="329">
        <f>INDEX(GU42:GU104,START!$D$3,1)</f>
        <v>0</v>
      </c>
      <c r="GV41" s="329">
        <f>INDEX(GV42:GV104,START!$D$3,1)</f>
        <v>0</v>
      </c>
      <c r="GW41" s="329">
        <f>INDEX(GW42:GW104,START!$D$3,1)</f>
        <v>0</v>
      </c>
      <c r="GX41" s="329">
        <f>INDEX(GX42:GX104,START!$D$3,1)</f>
        <v>0</v>
      </c>
      <c r="GY41" s="329">
        <f>INDEX(GY42:GY104,START!$D$3,1)</f>
        <v>0</v>
      </c>
      <c r="GZ41" s="329">
        <f>INDEX(GZ42:GZ104,START!$D$3,1)</f>
        <v>0</v>
      </c>
      <c r="HA41" s="329">
        <f>INDEX(HA42:HA104,START!$D$3,1)</f>
        <v>0</v>
      </c>
      <c r="HB41" s="329">
        <f>INDEX(HB42:HB104,START!$D$3,1)</f>
        <v>0</v>
      </c>
      <c r="HC41" s="329">
        <f>INDEX(HC42:HC104,START!$D$3,1)</f>
        <v>0</v>
      </c>
      <c r="HD41" s="329">
        <f>INDEX(HD42:HD104,START!$D$3,1)</f>
        <v>0</v>
      </c>
      <c r="HE41" s="329">
        <f>INDEX(HE42:HE104,START!$D$3,1)</f>
        <v>0</v>
      </c>
      <c r="HF41" s="329">
        <f>INDEX(HF42:HF104,START!$D$3,1)</f>
        <v>0</v>
      </c>
      <c r="HG41" s="329">
        <f>INDEX(HG42:HG104,START!$D$3,1)</f>
        <v>0</v>
      </c>
      <c r="HH41" s="329">
        <f>INDEX(HH42:HH104,START!$D$3,1)</f>
        <v>0</v>
      </c>
      <c r="HI41" s="329">
        <f>INDEX(HI42:HI104,START!$D$3,1)</f>
        <v>0</v>
      </c>
      <c r="HJ41" s="329">
        <f>INDEX(HJ42:HJ104,START!$D$3,1)</f>
        <v>0</v>
      </c>
      <c r="HK41" s="329">
        <f>INDEX(HK42:HK104,START!$D$3,1)</f>
        <v>0</v>
      </c>
      <c r="HL41" s="329">
        <f>INDEX(HL42:HL104,START!$D$3,1)</f>
        <v>-0.6</v>
      </c>
      <c r="HM41" s="329">
        <f>INDEX(HM42:HM104,START!$D$3,1)</f>
        <v>0</v>
      </c>
      <c r="HN41" s="329">
        <f>INDEX(HN42:HN104,START!$D$3,1)</f>
        <v>0</v>
      </c>
      <c r="HO41" s="329">
        <f>INDEX(HO42:HO104,START!$D$3,1)</f>
        <v>0</v>
      </c>
      <c r="HP41" s="329">
        <f>INDEX(HP42:HP104,START!$D$3,1)</f>
        <v>0</v>
      </c>
      <c r="HQ41" s="329">
        <f>INDEX(HQ42:HQ104,START!$D$3,1)</f>
        <v>-3.1108822695035498</v>
      </c>
      <c r="HR41" s="329">
        <f>INDEX(HR42:HR104,START!$D$3,1)</f>
        <v>0.1</v>
      </c>
      <c r="HS41" s="329">
        <f>INDEX(HS42:HS104,START!$D$3,1)</f>
        <v>0</v>
      </c>
      <c r="HT41" s="329">
        <f>INDEX(HT42:HT104,START!$D$3,1)</f>
        <v>0</v>
      </c>
      <c r="HU41" s="329">
        <f>INDEX(HU42:HU104,START!$D$3,1)</f>
        <v>0</v>
      </c>
      <c r="HV41" s="329">
        <f>INDEX(HV42:HV104,START!$D$3,1)</f>
        <v>0</v>
      </c>
      <c r="HW41" s="329">
        <f>INDEX(HW42:HW104,START!$D$3,1)</f>
        <v>0.23</v>
      </c>
      <c r="HX41" s="329">
        <f>INDEX(HX42:HX104,START!$D$3,1)</f>
        <v>-9.0767508396599993E-3</v>
      </c>
      <c r="HY41" s="329">
        <f>INDEX(HY42:HY104,START!$D$3,1)</f>
        <v>0</v>
      </c>
      <c r="HZ41" s="329">
        <f>INDEX(HZ42:HZ104,START!$D$3,1)</f>
        <v>0</v>
      </c>
      <c r="IA41" s="329">
        <f>INDEX(IA42:IA104,START!$D$3,1)</f>
        <v>-2.3954794799700002E-3</v>
      </c>
      <c r="IB41" s="329">
        <f>INDEX(IB42:IB104,START!$D$3,1)</f>
        <v>0</v>
      </c>
      <c r="IC41" s="329">
        <f>INDEX(IC42:IC104,START!$D$3,1)</f>
        <v>-0.47</v>
      </c>
      <c r="ID41" s="329">
        <f>INDEX(ID42:ID104,START!$D$3,1)</f>
        <v>0</v>
      </c>
      <c r="IE41" s="329">
        <f>INDEX(IE42:IE104,START!$D$3,1)</f>
        <v>0</v>
      </c>
      <c r="IF41" s="329">
        <f>INDEX(IF42:IF104,START!$D$3,1)</f>
        <v>0</v>
      </c>
      <c r="IG41" s="329">
        <f>INDEX(IG42:IG104,START!$D$3,1)</f>
        <v>0</v>
      </c>
      <c r="IH41" s="329">
        <f>INDEX(IH42:IH104,START!$D$3,1)</f>
        <v>0</v>
      </c>
      <c r="II41" s="329">
        <f>INDEX(II42:II104,START!$D$3,1)</f>
        <v>0</v>
      </c>
      <c r="IJ41" s="329">
        <f>INDEX(IJ42:IJ104,START!$D$3,1)</f>
        <v>0</v>
      </c>
      <c r="IK41" s="329">
        <f>INDEX(IK42:IK104,START!$D$3,1)</f>
        <v>0</v>
      </c>
      <c r="IL41" s="329">
        <f>INDEX(IL42:IL104,START!$D$3,1)</f>
        <v>0</v>
      </c>
      <c r="IM41" s="329">
        <f>INDEX(IM42:IM104,START!$D$3,1)</f>
        <v>0</v>
      </c>
      <c r="IN41" s="329">
        <f>INDEX(IN42:IN104,START!$D$3,1)</f>
        <v>0</v>
      </c>
      <c r="IO41" s="329">
        <f>INDEX(IO42:IO104,START!$D$3,1)</f>
        <v>0</v>
      </c>
      <c r="IP41" s="329">
        <f>INDEX(IP42:IP104,START!$D$3,1)</f>
        <v>-55.82</v>
      </c>
      <c r="IQ41" s="329">
        <f>INDEX(IQ42:IQ104,START!$D$3,1)</f>
        <v>-11.99</v>
      </c>
      <c r="IR41" s="329">
        <f>INDEX(IR42:IR104,START!$D$3,1)</f>
        <v>-19.61</v>
      </c>
      <c r="IS41" s="329">
        <f>INDEX(IS42:IS104,START!$D$3,1)</f>
        <v>-12.92</v>
      </c>
      <c r="IT41" s="329">
        <f>INDEX(IT42:IT104,START!$D$3,1)</f>
        <v>-1.07225369578546</v>
      </c>
      <c r="IU41" s="329">
        <f>INDEX(IU42:IU104,START!$D$3,1)</f>
        <v>-0.59</v>
      </c>
      <c r="IV41" s="329">
        <f>INDEX(IV42:IV104,START!$D$3,1)</f>
        <v>-0.12913436945737</v>
      </c>
      <c r="IW41" s="329">
        <f>INDEX(IW42:IW104,START!$D$3,1)</f>
        <v>0</v>
      </c>
      <c r="IX41" s="329">
        <f>INDEX(IX42:IX104,START!$D$3,1)</f>
        <v>0</v>
      </c>
      <c r="IY41" s="329">
        <f>INDEX(IY42:IY104,START!$D$3,1)</f>
        <v>0</v>
      </c>
      <c r="IZ41" s="329">
        <f>INDEX(IZ42:IZ104,START!$D$3,1)</f>
        <v>-0.75737307686747002</v>
      </c>
      <c r="JA41" s="329">
        <f>INDEX(JA42:JA104,START!$D$3,1)</f>
        <v>0</v>
      </c>
      <c r="JB41" s="329">
        <f>INDEX(JB42:JB104,START!$D$3,1)</f>
        <v>-0.15496124334884001</v>
      </c>
      <c r="JC41" s="329">
        <f>INDEX(JC42:JC104,START!$D$3,1)</f>
        <v>0</v>
      </c>
      <c r="JD41" s="329">
        <f>INDEX(JD42:JD104,START!$D$3,1)</f>
        <v>0</v>
      </c>
      <c r="JE41" s="329">
        <f>INDEX(JE42:JE104,START!$D$3,1)</f>
        <v>0</v>
      </c>
      <c r="JF41" s="329">
        <f>INDEX(JF42:JF104,START!$D$3,1)</f>
        <v>-1.39367584496439</v>
      </c>
      <c r="JG41" s="329">
        <f>INDEX(JG42:JG104,START!$D$3,1)</f>
        <v>0</v>
      </c>
      <c r="JH41" s="329">
        <f>INDEX(JH42:JH104,START!$D$3,1)</f>
        <v>0</v>
      </c>
      <c r="JI41" s="329">
        <f>INDEX(JI42:JI104,START!$D$3,1)</f>
        <v>0</v>
      </c>
      <c r="JJ41" s="329">
        <f>INDEX(JJ42:JJ104,START!$D$3,1)</f>
        <v>0</v>
      </c>
      <c r="JK41" s="329">
        <f>INDEX(JK42:JK104,START!$D$3,1)</f>
        <v>0</v>
      </c>
      <c r="JL41" s="329">
        <f>INDEX(JL42:JL104,START!$D$3,1)</f>
        <v>0</v>
      </c>
      <c r="JM41" s="329">
        <f>INDEX(JM42:JM104,START!$D$3,1)</f>
        <v>0</v>
      </c>
      <c r="JN41" s="329">
        <f>INDEX(JN42:JN104,START!$D$3,1)</f>
        <v>-0.15496124334885</v>
      </c>
      <c r="JO41" s="329">
        <f>INDEX(JO42:JO104,START!$D$3,1)</f>
        <v>0</v>
      </c>
      <c r="JP41" s="329">
        <f>INDEX(JP42:JP104,START!$D$3,1)</f>
        <v>0</v>
      </c>
      <c r="JQ41" s="329">
        <f>INDEX(JQ42:JQ104,START!$D$3,1)</f>
        <v>0</v>
      </c>
      <c r="JR41" s="329">
        <f>INDEX(JR42:JR104,START!$D$3,1)</f>
        <v>-1.3435541332540599</v>
      </c>
      <c r="JS41" s="329">
        <f>INDEX(JS42:JS104,START!$D$3,1)</f>
        <v>0</v>
      </c>
      <c r="JT41" s="329">
        <f>INDEX(JT42:JT104,START!$D$3,1)</f>
        <v>-55.82</v>
      </c>
      <c r="JU41" s="329">
        <f>INDEX(JU42:JU104,START!$D$3,1)</f>
        <v>-11.99</v>
      </c>
      <c r="JV41" s="329">
        <f>INDEX(JV42:JV104,START!$D$3,1)</f>
        <v>-19.61</v>
      </c>
      <c r="JW41" s="329">
        <f>INDEX(JW42:JW104,START!$D$3,1)</f>
        <v>-12.92</v>
      </c>
      <c r="JX41" s="329">
        <f>INDEX(JX42:JX104,START!$D$3,1)</f>
        <v>-0.84497718120804999</v>
      </c>
      <c r="JY41" s="329">
        <f>INDEX(JY42:JY104,START!$D$3,1)</f>
        <v>-0.9</v>
      </c>
      <c r="JZ41" s="329">
        <f>INDEX(JZ42:JZ104,START!$D$3,1)</f>
        <v>0</v>
      </c>
      <c r="KA41" s="329">
        <f>INDEX(KA42:KA104,START!$D$3,1)</f>
        <v>0</v>
      </c>
      <c r="KB41" s="329">
        <f>INDEX(KB42:KB104,START!$D$3,1)</f>
        <v>0</v>
      </c>
      <c r="KC41" s="329">
        <f>INDEX(KC42:KC104,START!$D$3,1)</f>
        <v>0</v>
      </c>
      <c r="KD41" s="329">
        <f>INDEX(KD42:KD104,START!$D$3,1)</f>
        <v>0</v>
      </c>
      <c r="KE41" s="329">
        <f>INDEX(KE42:KE104,START!$D$3,1)</f>
        <v>0</v>
      </c>
      <c r="KF41" s="329">
        <f>INDEX(KF42:KF104,START!$D$3,1)</f>
        <v>0</v>
      </c>
      <c r="KG41" s="329">
        <f>INDEX(KG42:KG104,START!$D$3,1)</f>
        <v>0</v>
      </c>
      <c r="KH41" s="329">
        <f>INDEX(KH42:KH104,START!$D$3,1)</f>
        <v>0</v>
      </c>
      <c r="KI41" s="329">
        <f>INDEX(KI42:KI104,START!$D$3,1)</f>
        <v>0</v>
      </c>
      <c r="KJ41" s="329">
        <f>INDEX(KJ42:KJ104,START!$D$3,1)</f>
        <v>0</v>
      </c>
      <c r="KK41" s="329">
        <f>INDEX(KK42:KK104,START!$D$3,1)</f>
        <v>0</v>
      </c>
      <c r="KL41" s="329">
        <f>INDEX(KL42:KL104,START!$D$3,1)</f>
        <v>0</v>
      </c>
      <c r="KM41" s="329">
        <f>INDEX(KM42:KM104,START!$D$3,1)</f>
        <v>0</v>
      </c>
      <c r="KN41" s="329">
        <f>INDEX(KN42:KN104,START!$D$3,1)</f>
        <v>0</v>
      </c>
      <c r="KO41" s="329">
        <f>INDEX(KO42:KO104,START!$D$3,1)</f>
        <v>0</v>
      </c>
      <c r="KP41" s="329">
        <f>INDEX(KP42:KP104,START!$D$3,1)</f>
        <v>0</v>
      </c>
      <c r="KQ41" s="329">
        <f>INDEX(KQ42:KQ104,START!$D$3,1)</f>
        <v>0</v>
      </c>
      <c r="KR41" s="329">
        <f>INDEX(KR42:KR104,START!$D$3,1)</f>
        <v>0</v>
      </c>
      <c r="KS41" s="329">
        <f>INDEX(KS42:KS104,START!$D$3,1)</f>
        <v>0</v>
      </c>
      <c r="KT41" s="329">
        <f>INDEX(KT42:KT104,START!$D$3,1)</f>
        <v>0</v>
      </c>
      <c r="KU41" s="329">
        <f>INDEX(KU42:KU104,START!$D$3,1)</f>
        <v>0</v>
      </c>
      <c r="KV41" s="329">
        <f>INDEX(KV42:KV104,START!$D$3,1)</f>
        <v>0</v>
      </c>
      <c r="KW41" s="329">
        <f>INDEX(KW42:KW104,START!$D$3,1)</f>
        <v>0</v>
      </c>
      <c r="KX41" s="329">
        <f>INDEX(KX42:KX104,START!$D$3,1)</f>
        <v>1.0046888903139199</v>
      </c>
      <c r="KY41" s="329">
        <f>INDEX(KY42:KY104,START!$D$3,1)</f>
        <v>0.16710577309979999</v>
      </c>
      <c r="KZ41" s="329">
        <f>INDEX(KZ42:KZ104,START!$D$3,1)</f>
        <v>-0.20275762945598999</v>
      </c>
      <c r="LA41" s="329">
        <f>INDEX(LA42:LA104,START!$D$3,1)</f>
        <v>1.2390474038300001E-2</v>
      </c>
      <c r="LB41" s="329">
        <f>INDEX(LB42:LB104,START!$D$3,1)</f>
        <v>-5.5329298001249999E-2</v>
      </c>
      <c r="LC41" s="329">
        <f>INDEX(LC42:LC104,START!$D$3,1)</f>
        <v>-0.44750344212965998</v>
      </c>
      <c r="LD41" s="329">
        <f>INDEX(LD42:LD104,START!$D$3,1)</f>
        <v>-2.6800558377699998E-3</v>
      </c>
      <c r="LE41" s="329">
        <f>INDEX(LE42:LE104,START!$D$3,1)</f>
        <v>0</v>
      </c>
      <c r="LF41" s="329">
        <f>INDEX(LF42:LF104,START!$D$3,1)</f>
        <v>0</v>
      </c>
      <c r="LG41" s="329">
        <f>INDEX(LG42:LG104,START!$D$3,1)</f>
        <v>0</v>
      </c>
      <c r="LH41" s="329">
        <f>INDEX(LH42:LH104,START!$D$3,1)</f>
        <v>4.3345790606010001E-2</v>
      </c>
      <c r="LI41" s="329">
        <f>INDEX(LI42:LI104,START!$D$3,1)</f>
        <v>0</v>
      </c>
      <c r="LJ41" s="329">
        <f>INDEX(LJ42:LJ104,START!$D$3,1)</f>
        <v>0</v>
      </c>
      <c r="LK41" s="329">
        <f>INDEX(LK42:LK104,START!$D$3,1)</f>
        <v>0</v>
      </c>
      <c r="LL41" s="329">
        <f>INDEX(LL42:LL104,START!$D$3,1)</f>
        <v>0</v>
      </c>
      <c r="LM41" s="329">
        <f>INDEX(LM42:LM104,START!$D$3,1)</f>
        <v>0</v>
      </c>
      <c r="LN41" s="329">
        <f>INDEX(LN42:LN104,START!$D$3,1)</f>
        <v>0.14138326334163001</v>
      </c>
      <c r="LO41" s="329">
        <f>INDEX(LO42:LO104,START!$D$3,1)</f>
        <v>-6.76163329988798</v>
      </c>
      <c r="LP41" s="329">
        <f>INDEX(LP42:LP104,START!$D$3,1)</f>
        <v>0.12020443037641</v>
      </c>
      <c r="LQ41" s="329">
        <f>INDEX(LQ42:LQ104,START!$D$3,1)</f>
        <v>0</v>
      </c>
      <c r="LR41" s="329">
        <f>INDEX(LR42:LR104,START!$D$3,1)</f>
        <v>0</v>
      </c>
      <c r="LS41" s="329">
        <f>INDEX(LS42:LS104,START!$D$3,1)</f>
        <v>0</v>
      </c>
      <c r="LT41" s="329">
        <f>INDEX(LT42:LT104,START!$D$3,1)</f>
        <v>0</v>
      </c>
      <c r="LU41" s="329">
        <f>INDEX(LU42:LU104,START!$D$3,1)</f>
        <v>-3.11</v>
      </c>
      <c r="LV41" s="329">
        <f>INDEX(LV42:LV104,START!$D$3,1)</f>
        <v>6.8506595710599999E-3</v>
      </c>
      <c r="LW41" s="329">
        <f>INDEX(LW42:LW104,START!$D$3,1)</f>
        <v>0</v>
      </c>
      <c r="LX41" s="329">
        <f>INDEX(LX42:LX104,START!$D$3,1)</f>
        <v>0</v>
      </c>
      <c r="LY41" s="329">
        <f>INDEX(LY42:LY104,START!$D$3,1)</f>
        <v>0</v>
      </c>
      <c r="LZ41" s="329">
        <f>INDEX(LZ42:LZ104,START!$D$3,1)</f>
        <v>0</v>
      </c>
      <c r="MA41" s="329">
        <f>INDEX(MA42:MA104,START!$D$3,1)</f>
        <v>-0.43889541996992998</v>
      </c>
      <c r="MB41" s="329">
        <f>INDEX(MB42:MB104,START!$D$3,1)</f>
        <v>0</v>
      </c>
      <c r="MC41" s="329">
        <f>INDEX(MC42:MC104,START!$D$3,1)</f>
        <v>0</v>
      </c>
      <c r="MD41" s="329">
        <f>INDEX(MD42:MD104,START!$D$3,1)</f>
        <v>0</v>
      </c>
      <c r="ME41" s="329">
        <f>INDEX(ME42:ME104,START!$D$3,1)</f>
        <v>0</v>
      </c>
      <c r="MF41" s="329">
        <f>INDEX(MF42:MF104,START!$D$3,1)</f>
        <v>0</v>
      </c>
      <c r="MG41" s="329">
        <f>INDEX(MG42:MG104,START!$D$3,1)</f>
        <v>0</v>
      </c>
    </row>
    <row r="42" spans="1:345" ht="18" customHeight="1">
      <c r="A42" s="330" t="s">
        <v>278</v>
      </c>
      <c r="B42" s="243">
        <v>0.5</v>
      </c>
      <c r="C42" s="243">
        <v>0.5</v>
      </c>
      <c r="D42" s="243">
        <v>0.5</v>
      </c>
      <c r="E42" s="244">
        <v>259.61373390557941</v>
      </c>
      <c r="F42" s="245">
        <v>-5.8</v>
      </c>
      <c r="G42" s="245">
        <v>-1.5</v>
      </c>
      <c r="H42" s="245">
        <v>-1.5</v>
      </c>
      <c r="I42" s="244">
        <v>541.70374958491891</v>
      </c>
      <c r="J42" s="246">
        <v>12</v>
      </c>
      <c r="K42" s="246">
        <v>368.29250000000002</v>
      </c>
      <c r="L42" s="247">
        <v>0.3</v>
      </c>
      <c r="M42" s="247">
        <v>0.1</v>
      </c>
      <c r="N42" s="247">
        <v>0.1</v>
      </c>
      <c r="O42" s="245">
        <v>2.5</v>
      </c>
      <c r="P42" s="245">
        <v>0</v>
      </c>
      <c r="Q42" s="245">
        <v>97.5</v>
      </c>
      <c r="R42" s="245">
        <v>0</v>
      </c>
      <c r="S42" s="250">
        <v>0</v>
      </c>
      <c r="T42" s="250">
        <v>1</v>
      </c>
      <c r="U42" s="250">
        <v>1</v>
      </c>
      <c r="V42" s="250">
        <v>1</v>
      </c>
      <c r="W42" s="250">
        <v>1</v>
      </c>
      <c r="X42" s="250">
        <v>1</v>
      </c>
      <c r="Y42" s="244">
        <v>10062.301353275248</v>
      </c>
      <c r="Z42" s="248">
        <v>1.56</v>
      </c>
      <c r="AA42" s="244">
        <v>165.33872261367091</v>
      </c>
      <c r="AB42" s="247">
        <v>0.8</v>
      </c>
      <c r="AC42" s="247">
        <v>0.6</v>
      </c>
      <c r="AD42" s="247">
        <v>0.6</v>
      </c>
      <c r="AE42" s="251">
        <v>0.18084</v>
      </c>
      <c r="AF42" s="251">
        <v>0.17335999999999999</v>
      </c>
      <c r="AG42" s="249"/>
      <c r="AH42" s="249">
        <v>1.202485753233595E-3</v>
      </c>
      <c r="AI42" s="249">
        <v>0.26457534563712537</v>
      </c>
      <c r="AJ42" s="249">
        <v>58.54078480422551</v>
      </c>
      <c r="AK42" s="249">
        <v>1.2708723837944664</v>
      </c>
      <c r="AL42" s="249">
        <v>0.39067812791701684</v>
      </c>
      <c r="AM42" s="18">
        <v>39.231528062568245</v>
      </c>
      <c r="AN42" s="18">
        <v>3.1881694641653864E-2</v>
      </c>
      <c r="AO42" s="18">
        <v>5.1042355788573383E-3</v>
      </c>
      <c r="AP42" s="18">
        <v>3.2910136404287863E-4</v>
      </c>
      <c r="AQ42" s="18"/>
      <c r="AR42" s="18"/>
      <c r="AS42" s="18">
        <v>8.6854280181585475E-2</v>
      </c>
      <c r="AT42" s="18">
        <v>1.0854016141029555E-3</v>
      </c>
      <c r="AU42" s="18">
        <v>0.17510407672416045</v>
      </c>
      <c r="AV42" s="247">
        <v>1</v>
      </c>
      <c r="AW42" s="247">
        <v>1</v>
      </c>
      <c r="AX42" s="247">
        <v>1</v>
      </c>
      <c r="AY42" s="247">
        <v>1</v>
      </c>
      <c r="AZ42" s="247">
        <v>1</v>
      </c>
      <c r="BA42" s="246">
        <v>1.0682498070272575</v>
      </c>
      <c r="BB42" s="244">
        <v>18</v>
      </c>
      <c r="BC42" s="244">
        <f t="shared" ref="BC42" si="349">BA42*BB42</f>
        <v>19.228496526490634</v>
      </c>
      <c r="BD42" s="247">
        <v>1.1000000000000001</v>
      </c>
      <c r="BE42" s="247">
        <v>0.6</v>
      </c>
      <c r="BF42" s="247">
        <v>0.6</v>
      </c>
      <c r="BG42" s="246">
        <v>0.47705402341217251</v>
      </c>
      <c r="BH42" s="246">
        <v>18</v>
      </c>
      <c r="BI42" s="244">
        <v>8110.3330472103007</v>
      </c>
      <c r="BJ42" s="247">
        <v>1.1000000000000001</v>
      </c>
      <c r="BK42" s="247">
        <v>0.6</v>
      </c>
      <c r="BL42" s="247">
        <v>0.6</v>
      </c>
      <c r="BM42" s="244">
        <v>1020.0468636800275</v>
      </c>
      <c r="BN42" s="246">
        <v>179.9</v>
      </c>
      <c r="BO42" s="246">
        <v>2964.2987982832719</v>
      </c>
      <c r="BP42" s="247">
        <v>1.1000000000000001</v>
      </c>
      <c r="BQ42" s="247">
        <v>0.6</v>
      </c>
      <c r="BR42" s="247">
        <v>0.6</v>
      </c>
      <c r="BS42" s="247">
        <v>1</v>
      </c>
      <c r="BT42" s="247">
        <v>1</v>
      </c>
      <c r="BU42" s="247">
        <v>1</v>
      </c>
      <c r="BV42" s="247">
        <v>1</v>
      </c>
      <c r="BW42" s="247">
        <v>1</v>
      </c>
      <c r="BX42" s="244">
        <v>27.2564358745006</v>
      </c>
      <c r="BY42" s="244">
        <v>7042.8182918455341</v>
      </c>
      <c r="BZ42" s="247">
        <v>1.1000000000000001</v>
      </c>
      <c r="CA42" s="247">
        <v>0.7</v>
      </c>
      <c r="CB42" s="247">
        <v>0.7</v>
      </c>
      <c r="CC42" s="247">
        <v>1</v>
      </c>
      <c r="CD42" s="247">
        <v>1</v>
      </c>
      <c r="CE42" s="247">
        <v>1</v>
      </c>
      <c r="CF42" s="247">
        <v>1</v>
      </c>
      <c r="CG42" s="247">
        <v>1</v>
      </c>
      <c r="CH42" s="244">
        <v>270.36392543224167</v>
      </c>
      <c r="CI42" s="244">
        <v>500</v>
      </c>
      <c r="CJ42" s="247">
        <v>0.9</v>
      </c>
      <c r="CK42" s="247">
        <v>0.8</v>
      </c>
      <c r="CL42" s="247">
        <v>0.8</v>
      </c>
      <c r="CM42" s="247">
        <v>1</v>
      </c>
      <c r="CN42" s="247">
        <v>1</v>
      </c>
      <c r="CO42" s="247">
        <v>1</v>
      </c>
      <c r="CP42" s="247">
        <v>1</v>
      </c>
      <c r="CQ42" s="247">
        <v>1</v>
      </c>
      <c r="CR42" s="244"/>
      <c r="CS42" s="244">
        <v>29</v>
      </c>
      <c r="CT42" s="247">
        <v>0.7</v>
      </c>
      <c r="CU42" s="247">
        <v>0.4</v>
      </c>
      <c r="CV42" s="247">
        <v>0.4</v>
      </c>
      <c r="CW42" s="247">
        <v>1</v>
      </c>
      <c r="CX42" s="247">
        <v>1</v>
      </c>
      <c r="CY42" s="247">
        <v>1</v>
      </c>
      <c r="CZ42" s="247">
        <v>1</v>
      </c>
      <c r="DA42" s="247">
        <v>1</v>
      </c>
      <c r="DB42" s="247"/>
      <c r="DC42" s="247"/>
      <c r="DD42" s="247"/>
      <c r="DE42" s="247"/>
      <c r="DF42" s="247"/>
      <c r="DG42" s="247"/>
      <c r="DH42" s="247"/>
      <c r="DI42" s="247"/>
      <c r="DJ42" s="247"/>
      <c r="DK42" s="247"/>
      <c r="DL42" s="247"/>
      <c r="DM42" s="247"/>
      <c r="DN42" s="247"/>
      <c r="DO42" s="247"/>
      <c r="DP42" s="247"/>
      <c r="DQ42" s="247"/>
      <c r="DR42" s="247"/>
      <c r="DS42" s="247"/>
      <c r="DT42" s="247"/>
      <c r="DU42" s="247"/>
      <c r="DV42" s="247"/>
      <c r="DW42" s="247"/>
      <c r="DX42" s="247"/>
      <c r="DY42" s="247"/>
      <c r="DZ42" s="308">
        <v>200</v>
      </c>
      <c r="EA42" s="308">
        <v>200</v>
      </c>
      <c r="EB42" s="308">
        <v>200</v>
      </c>
      <c r="EC42" s="308">
        <v>200</v>
      </c>
      <c r="ED42" s="308">
        <v>200</v>
      </c>
      <c r="EE42" s="308">
        <v>200</v>
      </c>
      <c r="EF42" s="308">
        <v>200</v>
      </c>
      <c r="EG42" s="308">
        <v>200</v>
      </c>
      <c r="EH42" s="308">
        <v>200</v>
      </c>
      <c r="EI42" s="308">
        <v>200</v>
      </c>
      <c r="EJ42" s="308">
        <v>200</v>
      </c>
      <c r="EK42" s="308">
        <v>200</v>
      </c>
      <c r="EL42" s="308">
        <v>200</v>
      </c>
      <c r="EM42" s="308">
        <v>200</v>
      </c>
      <c r="EN42" s="308">
        <v>200</v>
      </c>
      <c r="EO42" s="308">
        <v>200</v>
      </c>
      <c r="EP42" s="308">
        <v>200</v>
      </c>
      <c r="EQ42" s="308">
        <v>200</v>
      </c>
      <c r="ER42" s="308">
        <v>200</v>
      </c>
      <c r="ES42" s="308">
        <v>200</v>
      </c>
      <c r="ET42" s="308">
        <v>200</v>
      </c>
      <c r="EU42" s="308">
        <v>200</v>
      </c>
      <c r="EV42" s="308">
        <v>200</v>
      </c>
      <c r="EW42" s="308">
        <v>200</v>
      </c>
      <c r="EX42" s="308">
        <v>200</v>
      </c>
      <c r="EY42" s="308">
        <v>200</v>
      </c>
      <c r="EZ42" s="308">
        <v>200</v>
      </c>
      <c r="FA42" s="308">
        <v>200</v>
      </c>
      <c r="FB42" s="308">
        <v>200</v>
      </c>
      <c r="FC42" s="308">
        <v>200</v>
      </c>
      <c r="FD42" s="308">
        <v>200</v>
      </c>
      <c r="FE42" s="308">
        <v>200</v>
      </c>
      <c r="FF42" s="308">
        <v>200</v>
      </c>
      <c r="FG42" s="308">
        <v>200</v>
      </c>
      <c r="FH42" s="308">
        <v>200</v>
      </c>
      <c r="FI42" s="308">
        <v>200</v>
      </c>
      <c r="FJ42" s="308">
        <v>200</v>
      </c>
      <c r="FK42" s="308">
        <v>200</v>
      </c>
      <c r="FL42" s="308">
        <v>200</v>
      </c>
      <c r="FM42" s="308">
        <v>200</v>
      </c>
      <c r="FN42" s="308">
        <v>200</v>
      </c>
      <c r="FO42" s="308">
        <v>200</v>
      </c>
      <c r="FP42" s="308">
        <v>200</v>
      </c>
      <c r="FQ42" s="308">
        <v>200</v>
      </c>
      <c r="FR42" s="308">
        <v>200</v>
      </c>
      <c r="FS42" s="308">
        <v>200</v>
      </c>
      <c r="FT42" s="308">
        <v>200</v>
      </c>
      <c r="FU42" s="308">
        <v>200</v>
      </c>
      <c r="FV42" s="308">
        <v>200</v>
      </c>
      <c r="FW42" s="308">
        <v>200</v>
      </c>
      <c r="FX42" s="308">
        <v>200</v>
      </c>
      <c r="FY42" s="308">
        <v>200</v>
      </c>
      <c r="FZ42" s="308">
        <v>200</v>
      </c>
      <c r="GA42" s="308">
        <v>200</v>
      </c>
      <c r="GB42" s="308">
        <v>200</v>
      </c>
      <c r="GC42" s="308">
        <v>200</v>
      </c>
      <c r="GD42" s="308">
        <v>200</v>
      </c>
      <c r="GE42" s="308">
        <v>200</v>
      </c>
      <c r="GF42" s="308">
        <v>200</v>
      </c>
      <c r="GG42" s="308">
        <v>200</v>
      </c>
      <c r="GH42" s="308">
        <v>200</v>
      </c>
      <c r="GI42" s="308">
        <v>200</v>
      </c>
      <c r="GJ42" s="308">
        <v>200</v>
      </c>
      <c r="GK42" s="308">
        <v>200</v>
      </c>
      <c r="GL42" s="308">
        <v>200</v>
      </c>
      <c r="GM42" s="308">
        <v>200</v>
      </c>
      <c r="GN42" s="308">
        <v>200</v>
      </c>
      <c r="GO42" s="308">
        <v>200</v>
      </c>
      <c r="GP42" s="308">
        <v>200</v>
      </c>
      <c r="GQ42" s="308">
        <v>200</v>
      </c>
      <c r="GR42" s="308">
        <v>200</v>
      </c>
      <c r="GS42" s="308">
        <v>200</v>
      </c>
      <c r="GT42" s="308">
        <v>200</v>
      </c>
      <c r="GU42" s="308">
        <v>200</v>
      </c>
      <c r="GV42" s="308">
        <v>200</v>
      </c>
      <c r="GW42" s="308">
        <v>200</v>
      </c>
      <c r="GX42" s="308">
        <v>200</v>
      </c>
      <c r="GY42" s="308">
        <v>200</v>
      </c>
      <c r="GZ42" s="308">
        <v>200</v>
      </c>
      <c r="HA42" s="308">
        <v>200</v>
      </c>
      <c r="HB42" s="308">
        <v>200</v>
      </c>
      <c r="HC42" s="308">
        <v>200</v>
      </c>
      <c r="HD42" s="308">
        <v>200</v>
      </c>
      <c r="HE42" s="308">
        <v>200</v>
      </c>
      <c r="HF42" s="308">
        <v>200</v>
      </c>
      <c r="HG42" s="308">
        <v>200</v>
      </c>
      <c r="HH42" s="308">
        <v>200</v>
      </c>
      <c r="HI42" s="308">
        <v>200</v>
      </c>
      <c r="HJ42" s="308">
        <v>200</v>
      </c>
      <c r="HK42" s="308">
        <v>200</v>
      </c>
      <c r="HL42" s="308">
        <v>200</v>
      </c>
      <c r="HM42" s="308">
        <v>200</v>
      </c>
      <c r="HN42" s="308">
        <v>200</v>
      </c>
      <c r="HO42" s="308">
        <v>200</v>
      </c>
      <c r="HP42" s="308">
        <v>200</v>
      </c>
      <c r="HQ42" s="308">
        <v>200</v>
      </c>
      <c r="HR42" s="308">
        <v>200</v>
      </c>
      <c r="HS42" s="308">
        <v>200</v>
      </c>
      <c r="HT42" s="308">
        <v>200</v>
      </c>
      <c r="HU42" s="308">
        <v>200</v>
      </c>
      <c r="HV42" s="308">
        <v>200</v>
      </c>
      <c r="HW42" s="308">
        <v>200</v>
      </c>
      <c r="HX42" s="308">
        <v>200</v>
      </c>
      <c r="HY42" s="308">
        <v>200</v>
      </c>
      <c r="HZ42" s="308">
        <v>200</v>
      </c>
      <c r="IA42" s="308">
        <v>200</v>
      </c>
      <c r="IB42" s="308">
        <v>200</v>
      </c>
      <c r="IC42" s="308">
        <v>200</v>
      </c>
      <c r="ID42" s="308">
        <v>200</v>
      </c>
      <c r="IE42" s="308">
        <v>200</v>
      </c>
      <c r="IF42" s="308">
        <v>200</v>
      </c>
      <c r="IG42" s="308">
        <v>200</v>
      </c>
      <c r="IH42" s="308">
        <v>200</v>
      </c>
      <c r="II42" s="308">
        <v>200</v>
      </c>
      <c r="IJ42" s="308">
        <v>200</v>
      </c>
      <c r="IK42" s="308">
        <v>200</v>
      </c>
      <c r="IL42" s="308">
        <v>200</v>
      </c>
      <c r="IM42" s="308">
        <v>200</v>
      </c>
      <c r="IN42" s="308">
        <v>200</v>
      </c>
      <c r="IO42" s="308">
        <v>200</v>
      </c>
      <c r="IP42" s="308">
        <v>200</v>
      </c>
      <c r="IQ42" s="308">
        <v>200</v>
      </c>
      <c r="IR42" s="308">
        <v>200</v>
      </c>
      <c r="IS42" s="308">
        <v>200</v>
      </c>
      <c r="IT42" s="308">
        <v>200</v>
      </c>
      <c r="IU42" s="308">
        <v>200</v>
      </c>
      <c r="IV42" s="308">
        <v>200</v>
      </c>
      <c r="IW42" s="308">
        <v>200</v>
      </c>
      <c r="IX42" s="308">
        <v>200</v>
      </c>
      <c r="IY42" s="308">
        <v>200</v>
      </c>
      <c r="IZ42" s="308">
        <v>200</v>
      </c>
      <c r="JA42" s="308">
        <v>200</v>
      </c>
      <c r="JB42" s="308">
        <v>200</v>
      </c>
      <c r="JC42" s="308">
        <v>200</v>
      </c>
      <c r="JD42" s="308">
        <v>200</v>
      </c>
      <c r="JE42" s="308">
        <v>200</v>
      </c>
      <c r="JF42" s="308">
        <v>200</v>
      </c>
      <c r="JG42" s="308">
        <v>200</v>
      </c>
      <c r="JH42" s="308">
        <v>200</v>
      </c>
      <c r="JI42" s="308">
        <v>200</v>
      </c>
      <c r="JJ42" s="308">
        <v>200</v>
      </c>
      <c r="JK42" s="308">
        <v>200</v>
      </c>
      <c r="JL42" s="308">
        <v>200</v>
      </c>
      <c r="JM42" s="308">
        <v>200</v>
      </c>
      <c r="JN42" s="308">
        <v>200</v>
      </c>
      <c r="JO42" s="308">
        <v>200</v>
      </c>
      <c r="JP42" s="308">
        <v>200</v>
      </c>
      <c r="JQ42" s="308">
        <v>200</v>
      </c>
      <c r="JR42" s="308">
        <v>200</v>
      </c>
      <c r="JS42" s="308">
        <v>200</v>
      </c>
      <c r="JT42" s="308">
        <v>200</v>
      </c>
      <c r="JU42" s="308">
        <v>200</v>
      </c>
      <c r="JV42" s="308">
        <v>200</v>
      </c>
      <c r="JW42" s="308">
        <v>200</v>
      </c>
      <c r="JX42" s="308">
        <v>200</v>
      </c>
      <c r="JY42" s="308">
        <v>200</v>
      </c>
      <c r="JZ42" s="308">
        <v>200</v>
      </c>
      <c r="KA42" s="308">
        <v>200</v>
      </c>
      <c r="KB42" s="308">
        <v>200</v>
      </c>
      <c r="KC42" s="308">
        <v>200</v>
      </c>
      <c r="KD42" s="308">
        <v>200</v>
      </c>
      <c r="KE42" s="308">
        <v>200</v>
      </c>
      <c r="KF42" s="308">
        <v>200</v>
      </c>
      <c r="KG42" s="308">
        <v>200</v>
      </c>
      <c r="KH42" s="308">
        <v>200</v>
      </c>
      <c r="KI42" s="308">
        <v>200</v>
      </c>
      <c r="KJ42" s="308">
        <v>200</v>
      </c>
      <c r="KK42" s="308">
        <v>200</v>
      </c>
      <c r="KL42" s="308">
        <v>200</v>
      </c>
      <c r="KM42" s="308">
        <v>200</v>
      </c>
      <c r="KN42" s="308">
        <v>200</v>
      </c>
      <c r="KO42" s="308">
        <v>200</v>
      </c>
      <c r="KP42" s="308">
        <v>200</v>
      </c>
      <c r="KQ42" s="308">
        <v>200</v>
      </c>
      <c r="KR42" s="308">
        <v>200</v>
      </c>
      <c r="KS42" s="308">
        <v>200</v>
      </c>
      <c r="KT42" s="308">
        <v>200</v>
      </c>
      <c r="KU42" s="308">
        <v>200</v>
      </c>
      <c r="KV42" s="308">
        <v>200</v>
      </c>
      <c r="KW42" s="308">
        <v>200</v>
      </c>
      <c r="KX42" s="308">
        <v>200</v>
      </c>
      <c r="KY42" s="308">
        <v>200</v>
      </c>
      <c r="KZ42" s="308">
        <v>200</v>
      </c>
      <c r="LA42" s="308">
        <v>200</v>
      </c>
      <c r="LB42" s="308">
        <v>200</v>
      </c>
      <c r="LC42" s="308">
        <v>200</v>
      </c>
      <c r="LD42" s="308">
        <v>200</v>
      </c>
      <c r="LE42" s="308">
        <v>200</v>
      </c>
      <c r="LF42" s="308">
        <v>200</v>
      </c>
      <c r="LG42" s="308">
        <v>200</v>
      </c>
      <c r="LH42" s="308">
        <v>200</v>
      </c>
      <c r="LI42" s="308">
        <v>200</v>
      </c>
      <c r="LJ42" s="308">
        <v>200</v>
      </c>
      <c r="LK42" s="308">
        <v>200</v>
      </c>
      <c r="LL42" s="308">
        <v>200</v>
      </c>
      <c r="LM42" s="308">
        <v>200</v>
      </c>
      <c r="LN42" s="308">
        <v>200</v>
      </c>
      <c r="LO42" s="308">
        <v>200</v>
      </c>
      <c r="LP42" s="308">
        <v>200</v>
      </c>
      <c r="LQ42" s="308">
        <v>200</v>
      </c>
      <c r="LR42" s="308">
        <v>200</v>
      </c>
      <c r="LS42" s="308">
        <v>200</v>
      </c>
      <c r="LT42" s="308">
        <v>200</v>
      </c>
      <c r="LU42" s="308">
        <v>200</v>
      </c>
      <c r="LV42" s="308">
        <v>200</v>
      </c>
      <c r="LW42" s="308">
        <v>200</v>
      </c>
      <c r="LX42" s="308">
        <v>200</v>
      </c>
      <c r="LY42" s="308">
        <v>200</v>
      </c>
      <c r="LZ42" s="308">
        <v>200</v>
      </c>
      <c r="MA42" s="308">
        <v>200</v>
      </c>
      <c r="MB42" s="308">
        <v>200</v>
      </c>
      <c r="MC42" s="308">
        <v>200</v>
      </c>
      <c r="MD42" s="308">
        <v>200</v>
      </c>
      <c r="ME42" s="308">
        <v>200</v>
      </c>
      <c r="MF42" s="308">
        <v>200</v>
      </c>
      <c r="MG42" s="308">
        <v>200</v>
      </c>
    </row>
    <row r="43" spans="1:345" ht="18" customHeight="1">
      <c r="A43" s="330" t="s">
        <v>1112</v>
      </c>
      <c r="B43" s="243">
        <v>0.5</v>
      </c>
      <c r="C43" s="243">
        <v>0.19999999999999998</v>
      </c>
      <c r="D43" s="243">
        <v>0.19999999999999998</v>
      </c>
      <c r="E43" s="244">
        <v>100.05590062111801</v>
      </c>
      <c r="F43" s="245">
        <v>-1</v>
      </c>
      <c r="G43" s="245">
        <v>-5.5</v>
      </c>
      <c r="H43" s="245">
        <v>-5.5</v>
      </c>
      <c r="I43" s="244">
        <v>1458.7130772690623</v>
      </c>
      <c r="J43" s="246">
        <v>18</v>
      </c>
      <c r="K43" s="246"/>
      <c r="L43" s="247">
        <v>0.26999999999999996</v>
      </c>
      <c r="M43" s="247">
        <v>0.29999999999999993</v>
      </c>
      <c r="N43" s="247">
        <v>0.29999999999999993</v>
      </c>
      <c r="O43" s="245">
        <v>0.2</v>
      </c>
      <c r="P43" s="245">
        <v>0</v>
      </c>
      <c r="Q43" s="245">
        <v>99.3</v>
      </c>
      <c r="R43" s="245">
        <v>0.5</v>
      </c>
      <c r="S43" s="250">
        <v>0</v>
      </c>
      <c r="T43" s="250">
        <v>1</v>
      </c>
      <c r="U43" s="250">
        <v>1</v>
      </c>
      <c r="V43" s="250">
        <v>1</v>
      </c>
      <c r="W43" s="250">
        <v>1</v>
      </c>
      <c r="X43" s="250">
        <v>1</v>
      </c>
      <c r="Y43" s="244"/>
      <c r="Z43" s="248"/>
      <c r="AA43" s="244"/>
      <c r="AB43" s="247"/>
      <c r="AC43" s="247"/>
      <c r="AD43" s="247"/>
      <c r="AE43" s="251"/>
      <c r="AF43" s="251"/>
      <c r="AG43" s="249"/>
      <c r="AH43" s="249"/>
      <c r="AI43" s="249"/>
      <c r="AJ43" s="249"/>
      <c r="AK43" s="249"/>
      <c r="AL43" s="249"/>
      <c r="AM43" s="249"/>
      <c r="AN43" s="249"/>
      <c r="AO43" s="249"/>
      <c r="AP43" s="249"/>
      <c r="AQ43" s="249"/>
      <c r="AR43" s="249"/>
      <c r="AS43" s="249"/>
      <c r="AT43" s="249"/>
      <c r="AU43" s="249"/>
      <c r="AV43" s="247"/>
      <c r="AW43" s="247">
        <v>1</v>
      </c>
      <c r="AX43" s="247">
        <v>1</v>
      </c>
      <c r="AY43" s="247">
        <v>1</v>
      </c>
      <c r="AZ43" s="247">
        <v>1</v>
      </c>
      <c r="BA43" s="246"/>
      <c r="BB43" s="244"/>
      <c r="BC43" s="244"/>
      <c r="BD43" s="247"/>
      <c r="BE43" s="247"/>
      <c r="BF43" s="247"/>
      <c r="BG43" s="246"/>
      <c r="BH43" s="246"/>
      <c r="BI43" s="244"/>
      <c r="BJ43" s="247"/>
      <c r="BK43" s="247"/>
      <c r="BL43" s="247"/>
      <c r="BM43" s="244"/>
      <c r="BN43" s="246"/>
      <c r="BO43" s="246"/>
      <c r="BP43" s="247"/>
      <c r="BQ43" s="247"/>
      <c r="BR43" s="247"/>
      <c r="BS43" s="247">
        <v>1</v>
      </c>
      <c r="BT43" s="247">
        <v>1</v>
      </c>
      <c r="BU43" s="247">
        <v>1</v>
      </c>
      <c r="BV43" s="247">
        <v>1</v>
      </c>
      <c r="BW43" s="247">
        <v>1</v>
      </c>
      <c r="BX43" s="244"/>
      <c r="BY43" s="244"/>
      <c r="BZ43" s="247"/>
      <c r="CA43" s="247"/>
      <c r="CB43" s="247"/>
      <c r="CC43" s="247">
        <v>1</v>
      </c>
      <c r="CD43" s="247">
        <v>1</v>
      </c>
      <c r="CE43" s="247">
        <v>1</v>
      </c>
      <c r="CF43" s="247">
        <v>1</v>
      </c>
      <c r="CG43" s="247">
        <v>1</v>
      </c>
      <c r="CH43" s="244"/>
      <c r="CI43" s="244"/>
      <c r="CJ43" s="247"/>
      <c r="CK43" s="247"/>
      <c r="CL43" s="247"/>
      <c r="CM43" s="247">
        <v>1</v>
      </c>
      <c r="CN43" s="247">
        <v>1</v>
      </c>
      <c r="CO43" s="247">
        <v>1</v>
      </c>
      <c r="CP43" s="247">
        <v>1</v>
      </c>
      <c r="CQ43" s="247">
        <v>1</v>
      </c>
      <c r="CR43" s="244"/>
      <c r="CS43" s="244"/>
      <c r="CT43" s="247"/>
      <c r="CU43" s="247"/>
      <c r="CV43" s="247"/>
      <c r="CW43" s="247">
        <v>1</v>
      </c>
      <c r="CX43" s="247">
        <v>1</v>
      </c>
      <c r="CY43" s="247">
        <v>1</v>
      </c>
      <c r="CZ43" s="247">
        <v>1</v>
      </c>
      <c r="DA43" s="247">
        <v>1</v>
      </c>
      <c r="DB43" s="247">
        <v>-548379.96591493534</v>
      </c>
      <c r="DC43" s="247">
        <v>-5.6057976196632886E-2</v>
      </c>
      <c r="DD43" s="247">
        <v>2.3169596365813168</v>
      </c>
      <c r="DE43" s="247">
        <v>2.3169596365813168</v>
      </c>
      <c r="DF43" s="247">
        <v>163008.86814203212</v>
      </c>
      <c r="DG43" s="247">
        <v>1.1935164277488752</v>
      </c>
      <c r="DH43" s="247">
        <v>0.16969509809525718</v>
      </c>
      <c r="DI43" s="247">
        <v>0.16969509809525718</v>
      </c>
      <c r="DJ43" s="247">
        <v>16971.749140328644</v>
      </c>
      <c r="DK43" s="247">
        <v>-0.49105974754584114</v>
      </c>
      <c r="DL43" s="247">
        <v>4.5777144812553239E-2</v>
      </c>
      <c r="DM43" s="247">
        <v>4.5777144812553239E-2</v>
      </c>
      <c r="DN43" s="247">
        <v>24937.229909639544</v>
      </c>
      <c r="DO43" s="247">
        <v>-0.5728508462310099</v>
      </c>
      <c r="DP43" s="247">
        <v>-0.31928389463363738</v>
      </c>
      <c r="DQ43" s="247">
        <v>-0.31928389463363738</v>
      </c>
      <c r="DR43" s="247">
        <v>46903.788460051932</v>
      </c>
      <c r="DS43" s="247">
        <v>-0.10286391912811554</v>
      </c>
      <c r="DT43" s="247">
        <v>-1.2470099209330618</v>
      </c>
      <c r="DU43" s="247">
        <v>-1.2470099209330618</v>
      </c>
      <c r="DV43" s="247">
        <v>-111907.03951127999</v>
      </c>
      <c r="DW43" s="247">
        <v>-1.0698418934196872</v>
      </c>
      <c r="DX43" s="247">
        <v>-1.6571095904057032</v>
      </c>
      <c r="DY43" s="247">
        <v>-1.6571095904057032</v>
      </c>
      <c r="DZ43" s="308">
        <v>0</v>
      </c>
      <c r="EA43" s="308">
        <v>0</v>
      </c>
      <c r="EB43" s="308">
        <v>0</v>
      </c>
      <c r="EC43" s="308">
        <v>0</v>
      </c>
      <c r="ED43" s="308">
        <v>0</v>
      </c>
      <c r="EE43" s="308">
        <v>0</v>
      </c>
      <c r="EF43" s="308">
        <v>2.3331596698950001</v>
      </c>
      <c r="EG43" s="308">
        <v>0</v>
      </c>
      <c r="EH43" s="308">
        <v>0</v>
      </c>
      <c r="EI43" s="308">
        <v>0.98609088910742004</v>
      </c>
      <c r="EJ43" s="308">
        <v>9.6999770847580005E-2</v>
      </c>
      <c r="EK43" s="308">
        <v>-0.74905005460903995</v>
      </c>
      <c r="EL43" s="308">
        <v>2.3331596698949899</v>
      </c>
      <c r="EM43" s="308">
        <v>0</v>
      </c>
      <c r="EN43" s="308">
        <v>0</v>
      </c>
      <c r="EO43" s="308">
        <v>0.98609088910742004</v>
      </c>
      <c r="EP43" s="308">
        <v>0</v>
      </c>
      <c r="EQ43" s="308">
        <v>-0.74905005460903995</v>
      </c>
      <c r="ER43" s="308">
        <v>0</v>
      </c>
      <c r="ES43" s="308">
        <v>0</v>
      </c>
      <c r="ET43" s="308">
        <v>0</v>
      </c>
      <c r="EU43" s="308">
        <v>0</v>
      </c>
      <c r="EV43" s="308">
        <v>0</v>
      </c>
      <c r="EW43" s="308">
        <v>0</v>
      </c>
      <c r="EX43" s="308">
        <v>0</v>
      </c>
      <c r="EY43" s="308">
        <v>0</v>
      </c>
      <c r="EZ43" s="308">
        <v>0</v>
      </c>
      <c r="FA43" s="308">
        <v>0</v>
      </c>
      <c r="FB43" s="308">
        <v>0</v>
      </c>
      <c r="FC43" s="308">
        <v>0</v>
      </c>
      <c r="FD43" s="308">
        <v>0</v>
      </c>
      <c r="FE43" s="308">
        <v>0</v>
      </c>
      <c r="FF43" s="308">
        <v>0</v>
      </c>
      <c r="FG43" s="308">
        <v>0</v>
      </c>
      <c r="FH43" s="308">
        <v>0</v>
      </c>
      <c r="FI43" s="308">
        <v>0</v>
      </c>
      <c r="FJ43" s="308">
        <v>0</v>
      </c>
      <c r="FK43" s="308">
        <v>0</v>
      </c>
      <c r="FL43" s="308">
        <v>0</v>
      </c>
      <c r="FM43" s="308">
        <v>0</v>
      </c>
      <c r="FN43" s="308">
        <v>0</v>
      </c>
      <c r="FO43" s="308">
        <v>0</v>
      </c>
      <c r="FP43" s="308">
        <v>0</v>
      </c>
      <c r="FQ43" s="308">
        <v>0</v>
      </c>
      <c r="FR43" s="308">
        <v>0</v>
      </c>
      <c r="FS43" s="308">
        <v>0</v>
      </c>
      <c r="FT43" s="308">
        <v>0</v>
      </c>
      <c r="FU43" s="308">
        <v>0</v>
      </c>
      <c r="FV43" s="308">
        <v>0</v>
      </c>
      <c r="FW43" s="308">
        <v>0</v>
      </c>
      <c r="FX43" s="308">
        <v>0</v>
      </c>
      <c r="FY43" s="308">
        <v>0</v>
      </c>
      <c r="FZ43" s="308">
        <v>0</v>
      </c>
      <c r="GA43" s="308">
        <v>0</v>
      </c>
      <c r="GB43" s="308">
        <v>0</v>
      </c>
      <c r="GC43" s="308">
        <v>0</v>
      </c>
      <c r="GD43" s="308">
        <v>0</v>
      </c>
      <c r="GE43" s="308">
        <v>0</v>
      </c>
      <c r="GF43" s="308">
        <v>0</v>
      </c>
      <c r="GG43" s="308">
        <v>0</v>
      </c>
      <c r="GH43" s="308">
        <v>-55.82</v>
      </c>
      <c r="GI43" s="308">
        <v>-11.99</v>
      </c>
      <c r="GJ43" s="308">
        <v>-19.61</v>
      </c>
      <c r="GK43" s="308">
        <v>-12.92</v>
      </c>
      <c r="GL43" s="308">
        <v>4.6060068064949999E-2</v>
      </c>
      <c r="GM43" s="308">
        <v>-3.91</v>
      </c>
      <c r="GN43" s="308">
        <v>0</v>
      </c>
      <c r="GO43" s="308">
        <v>0</v>
      </c>
      <c r="GP43" s="308">
        <v>0</v>
      </c>
      <c r="GQ43" s="308">
        <v>0</v>
      </c>
      <c r="GR43" s="308">
        <v>0</v>
      </c>
      <c r="GS43" s="308">
        <v>0</v>
      </c>
      <c r="GT43" s="308">
        <v>0</v>
      </c>
      <c r="GU43" s="308">
        <v>0</v>
      </c>
      <c r="GV43" s="308">
        <v>0</v>
      </c>
      <c r="GW43" s="308">
        <v>0</v>
      </c>
      <c r="GX43" s="308">
        <v>0</v>
      </c>
      <c r="GY43" s="308">
        <v>0</v>
      </c>
      <c r="GZ43" s="308">
        <v>0</v>
      </c>
      <c r="HA43" s="308">
        <v>0</v>
      </c>
      <c r="HB43" s="308">
        <v>0</v>
      </c>
      <c r="HC43" s="308">
        <v>0</v>
      </c>
      <c r="HD43" s="308">
        <v>0</v>
      </c>
      <c r="HE43" s="308">
        <v>0</v>
      </c>
      <c r="HF43" s="308">
        <v>0</v>
      </c>
      <c r="HG43" s="308">
        <v>0</v>
      </c>
      <c r="HH43" s="308">
        <v>0</v>
      </c>
      <c r="HI43" s="308">
        <v>0</v>
      </c>
      <c r="HJ43" s="308">
        <v>0</v>
      </c>
      <c r="HK43" s="308">
        <v>0</v>
      </c>
      <c r="HL43" s="308">
        <v>-0.6</v>
      </c>
      <c r="HM43" s="308">
        <v>0</v>
      </c>
      <c r="HN43" s="308">
        <v>0</v>
      </c>
      <c r="HO43" s="308">
        <v>0</v>
      </c>
      <c r="HP43" s="308">
        <v>0</v>
      </c>
      <c r="HQ43" s="308">
        <v>-3.1108822695035498</v>
      </c>
      <c r="HR43" s="308">
        <v>0.1</v>
      </c>
      <c r="HS43" s="308">
        <v>0</v>
      </c>
      <c r="HT43" s="308">
        <v>0</v>
      </c>
      <c r="HU43" s="308">
        <v>0</v>
      </c>
      <c r="HV43" s="308">
        <v>0</v>
      </c>
      <c r="HW43" s="308">
        <v>0.23</v>
      </c>
      <c r="HX43" s="308">
        <v>-9.0767508396599993E-3</v>
      </c>
      <c r="HY43" s="308">
        <v>0</v>
      </c>
      <c r="HZ43" s="308">
        <v>0</v>
      </c>
      <c r="IA43" s="308">
        <v>-2.3954794799700002E-3</v>
      </c>
      <c r="IB43" s="308">
        <v>0</v>
      </c>
      <c r="IC43" s="308">
        <v>-0.47</v>
      </c>
      <c r="ID43" s="308">
        <v>0</v>
      </c>
      <c r="IE43" s="308">
        <v>0</v>
      </c>
      <c r="IF43" s="308">
        <v>0</v>
      </c>
      <c r="IG43" s="308">
        <v>0</v>
      </c>
      <c r="IH43" s="308">
        <v>0</v>
      </c>
      <c r="II43" s="308">
        <v>0</v>
      </c>
      <c r="IJ43" s="308">
        <v>0</v>
      </c>
      <c r="IK43" s="308">
        <v>0</v>
      </c>
      <c r="IL43" s="308">
        <v>0</v>
      </c>
      <c r="IM43" s="308">
        <v>0</v>
      </c>
      <c r="IN43" s="308">
        <v>0</v>
      </c>
      <c r="IO43" s="308">
        <v>0</v>
      </c>
      <c r="IP43" s="308">
        <v>-55.82</v>
      </c>
      <c r="IQ43" s="308">
        <v>-11.99</v>
      </c>
      <c r="IR43" s="308">
        <v>-19.61</v>
      </c>
      <c r="IS43" s="308">
        <v>-12.92</v>
      </c>
      <c r="IT43" s="308">
        <v>-1.07225369578546</v>
      </c>
      <c r="IU43" s="308">
        <v>-0.59</v>
      </c>
      <c r="IV43" s="308">
        <v>-0.12913436945737</v>
      </c>
      <c r="IW43" s="308">
        <v>0</v>
      </c>
      <c r="IX43" s="308">
        <v>0</v>
      </c>
      <c r="IY43" s="308">
        <v>0</v>
      </c>
      <c r="IZ43" s="308">
        <v>-0.75737307686747002</v>
      </c>
      <c r="JA43" s="308">
        <v>0</v>
      </c>
      <c r="JB43" s="308">
        <v>-0.15496124334884001</v>
      </c>
      <c r="JC43" s="308">
        <v>0</v>
      </c>
      <c r="JD43" s="308">
        <v>0</v>
      </c>
      <c r="JE43" s="308">
        <v>0</v>
      </c>
      <c r="JF43" s="308">
        <v>-1.39367584496439</v>
      </c>
      <c r="JG43" s="308">
        <v>0</v>
      </c>
      <c r="JH43" s="308">
        <v>0</v>
      </c>
      <c r="JI43" s="308">
        <v>0</v>
      </c>
      <c r="JJ43" s="308">
        <v>0</v>
      </c>
      <c r="JK43" s="308">
        <v>0</v>
      </c>
      <c r="JL43" s="308">
        <v>0</v>
      </c>
      <c r="JM43" s="308">
        <v>0</v>
      </c>
      <c r="JN43" s="308">
        <v>-0.15496124334885</v>
      </c>
      <c r="JO43" s="308">
        <v>0</v>
      </c>
      <c r="JP43" s="308">
        <v>0</v>
      </c>
      <c r="JQ43" s="308">
        <v>0</v>
      </c>
      <c r="JR43" s="308">
        <v>-1.3435541332540599</v>
      </c>
      <c r="JS43" s="308">
        <v>0</v>
      </c>
      <c r="JT43" s="308">
        <v>-55.82</v>
      </c>
      <c r="JU43" s="308">
        <v>-11.99</v>
      </c>
      <c r="JV43" s="308">
        <v>-19.61</v>
      </c>
      <c r="JW43" s="308">
        <v>-12.92</v>
      </c>
      <c r="JX43" s="308">
        <v>-0.84497718120804999</v>
      </c>
      <c r="JY43" s="308">
        <v>-0.9</v>
      </c>
      <c r="JZ43" s="308">
        <v>0</v>
      </c>
      <c r="KA43" s="308">
        <v>0</v>
      </c>
      <c r="KB43" s="308">
        <v>0</v>
      </c>
      <c r="KC43" s="308">
        <v>0</v>
      </c>
      <c r="KD43" s="308">
        <v>0</v>
      </c>
      <c r="KE43" s="308">
        <v>0</v>
      </c>
      <c r="KF43" s="308">
        <v>0</v>
      </c>
      <c r="KG43" s="308">
        <v>0</v>
      </c>
      <c r="KH43" s="308">
        <v>0</v>
      </c>
      <c r="KI43" s="308">
        <v>0</v>
      </c>
      <c r="KJ43" s="308">
        <v>0</v>
      </c>
      <c r="KK43" s="308">
        <v>0</v>
      </c>
      <c r="KL43" s="308">
        <v>0</v>
      </c>
      <c r="KM43" s="308">
        <v>0</v>
      </c>
      <c r="KN43" s="308">
        <v>0</v>
      </c>
      <c r="KO43" s="308">
        <v>0</v>
      </c>
      <c r="KP43" s="308">
        <v>0</v>
      </c>
      <c r="KQ43" s="308">
        <v>0</v>
      </c>
      <c r="KR43" s="308">
        <v>0</v>
      </c>
      <c r="KS43" s="308">
        <v>0</v>
      </c>
      <c r="KT43" s="308">
        <v>0</v>
      </c>
      <c r="KU43" s="308">
        <v>0</v>
      </c>
      <c r="KV43" s="308">
        <v>0</v>
      </c>
      <c r="KW43" s="308">
        <v>0</v>
      </c>
      <c r="KX43" s="308">
        <v>1.0046888903139199</v>
      </c>
      <c r="KY43" s="308">
        <v>0.16710577309979999</v>
      </c>
      <c r="KZ43" s="308">
        <v>-0.20275762945598999</v>
      </c>
      <c r="LA43" s="308">
        <v>1.2390474038300001E-2</v>
      </c>
      <c r="LB43" s="308">
        <v>-5.5329298001249999E-2</v>
      </c>
      <c r="LC43" s="308">
        <v>-0.44750344212965998</v>
      </c>
      <c r="LD43" s="308">
        <v>-2.6800558377699998E-3</v>
      </c>
      <c r="LE43" s="308">
        <v>0</v>
      </c>
      <c r="LF43" s="308">
        <v>0</v>
      </c>
      <c r="LG43" s="308">
        <v>0</v>
      </c>
      <c r="LH43" s="308">
        <v>4.3345790606010001E-2</v>
      </c>
      <c r="LI43" s="308">
        <v>0</v>
      </c>
      <c r="LJ43" s="308">
        <v>0</v>
      </c>
      <c r="LK43" s="308">
        <v>0</v>
      </c>
      <c r="LL43" s="308">
        <v>0</v>
      </c>
      <c r="LM43" s="308">
        <v>0</v>
      </c>
      <c r="LN43" s="308">
        <v>0.14138326334163001</v>
      </c>
      <c r="LO43" s="308">
        <v>-6.76163329988798</v>
      </c>
      <c r="LP43" s="308">
        <v>0.12020443037641</v>
      </c>
      <c r="LQ43" s="308">
        <v>0</v>
      </c>
      <c r="LR43" s="308">
        <v>0</v>
      </c>
      <c r="LS43" s="308">
        <v>0</v>
      </c>
      <c r="LT43" s="308">
        <v>0</v>
      </c>
      <c r="LU43" s="308">
        <v>-3.11</v>
      </c>
      <c r="LV43" s="308">
        <v>6.8506595710599999E-3</v>
      </c>
      <c r="LW43" s="308">
        <v>0</v>
      </c>
      <c r="LX43" s="308">
        <v>0</v>
      </c>
      <c r="LY43" s="308">
        <v>0</v>
      </c>
      <c r="LZ43" s="308">
        <v>0</v>
      </c>
      <c r="MA43" s="308">
        <v>-0.43889541996992998</v>
      </c>
      <c r="MB43" s="308">
        <v>0</v>
      </c>
      <c r="MC43" s="308">
        <v>0</v>
      </c>
      <c r="MD43" s="308">
        <v>0</v>
      </c>
      <c r="ME43" s="308">
        <v>0</v>
      </c>
      <c r="MF43" s="308">
        <v>0</v>
      </c>
      <c r="MG43" s="308">
        <v>0</v>
      </c>
    </row>
    <row r="44" spans="1:345" ht="18" customHeight="1">
      <c r="A44" s="330" t="s">
        <v>281</v>
      </c>
      <c r="B44" s="243">
        <v>0.5</v>
      </c>
      <c r="C44" s="243">
        <v>0.19999999999999998</v>
      </c>
      <c r="D44" s="243">
        <v>0.19999999999999998</v>
      </c>
      <c r="E44" s="244">
        <v>100.05590062111801</v>
      </c>
      <c r="F44" s="245">
        <v>-1</v>
      </c>
      <c r="G44" s="245">
        <v>-5.5</v>
      </c>
      <c r="H44" s="245">
        <v>-5.5</v>
      </c>
      <c r="I44" s="244">
        <v>1458.7130772690623</v>
      </c>
      <c r="J44" s="246">
        <v>18</v>
      </c>
      <c r="K44" s="246"/>
      <c r="L44" s="247">
        <v>0.26999999999999996</v>
      </c>
      <c r="M44" s="247">
        <v>0.29999999999999993</v>
      </c>
      <c r="N44" s="247">
        <v>0.29999999999999993</v>
      </c>
      <c r="O44" s="245">
        <v>0.2</v>
      </c>
      <c r="P44" s="245">
        <v>0</v>
      </c>
      <c r="Q44" s="245">
        <v>99.3</v>
      </c>
      <c r="R44" s="245">
        <v>0.5</v>
      </c>
      <c r="S44" s="250">
        <v>0</v>
      </c>
      <c r="T44" s="250">
        <v>1</v>
      </c>
      <c r="U44" s="250">
        <v>1</v>
      </c>
      <c r="V44" s="250">
        <v>1</v>
      </c>
      <c r="W44" s="250">
        <v>1</v>
      </c>
      <c r="X44" s="250">
        <v>1</v>
      </c>
      <c r="Y44" s="244"/>
      <c r="Z44" s="248"/>
      <c r="AA44" s="244"/>
      <c r="AB44" s="247"/>
      <c r="AC44" s="247"/>
      <c r="AD44" s="247"/>
      <c r="AE44" s="251"/>
      <c r="AF44" s="251"/>
      <c r="AG44" s="249"/>
      <c r="AH44" s="249"/>
      <c r="AI44" s="249"/>
      <c r="AJ44" s="249"/>
      <c r="AK44" s="249"/>
      <c r="AL44" s="249"/>
      <c r="AM44" s="249"/>
      <c r="AN44" s="249"/>
      <c r="AO44" s="249"/>
      <c r="AP44" s="249"/>
      <c r="AQ44" s="249"/>
      <c r="AR44" s="249"/>
      <c r="AS44" s="249"/>
      <c r="AT44" s="249"/>
      <c r="AU44" s="249"/>
      <c r="AV44" s="247"/>
      <c r="AW44" s="247">
        <v>1</v>
      </c>
      <c r="AX44" s="247">
        <v>1</v>
      </c>
      <c r="AY44" s="247">
        <v>1</v>
      </c>
      <c r="AZ44" s="247">
        <v>1</v>
      </c>
      <c r="BA44" s="246"/>
      <c r="BB44" s="244"/>
      <c r="BC44" s="244"/>
      <c r="BD44" s="247"/>
      <c r="BE44" s="247"/>
      <c r="BF44" s="247"/>
      <c r="BG44" s="246"/>
      <c r="BH44" s="246"/>
      <c r="BI44" s="244"/>
      <c r="BJ44" s="247"/>
      <c r="BK44" s="247"/>
      <c r="BL44" s="247"/>
      <c r="BM44" s="244"/>
      <c r="BN44" s="246"/>
      <c r="BO44" s="246"/>
      <c r="BP44" s="247"/>
      <c r="BQ44" s="247"/>
      <c r="BR44" s="247"/>
      <c r="BS44" s="247">
        <v>1</v>
      </c>
      <c r="BT44" s="247">
        <v>1</v>
      </c>
      <c r="BU44" s="247">
        <v>1</v>
      </c>
      <c r="BV44" s="247">
        <v>1</v>
      </c>
      <c r="BW44" s="247">
        <v>1</v>
      </c>
      <c r="BX44" s="244"/>
      <c r="BY44" s="244"/>
      <c r="BZ44" s="247"/>
      <c r="CA44" s="247"/>
      <c r="CB44" s="247"/>
      <c r="CC44" s="247">
        <v>1</v>
      </c>
      <c r="CD44" s="247">
        <v>1</v>
      </c>
      <c r="CE44" s="247">
        <v>1</v>
      </c>
      <c r="CF44" s="247">
        <v>1</v>
      </c>
      <c r="CG44" s="247">
        <v>1</v>
      </c>
      <c r="CH44" s="244"/>
      <c r="CI44" s="244"/>
      <c r="CJ44" s="247"/>
      <c r="CK44" s="247"/>
      <c r="CL44" s="247"/>
      <c r="CM44" s="247">
        <v>1</v>
      </c>
      <c r="CN44" s="247">
        <v>1</v>
      </c>
      <c r="CO44" s="247">
        <v>1</v>
      </c>
      <c r="CP44" s="247">
        <v>1</v>
      </c>
      <c r="CQ44" s="247">
        <v>1</v>
      </c>
      <c r="CR44" s="244"/>
      <c r="CS44" s="244"/>
      <c r="CT44" s="247"/>
      <c r="CU44" s="247"/>
      <c r="CV44" s="247"/>
      <c r="CW44" s="247">
        <v>1</v>
      </c>
      <c r="CX44" s="247">
        <v>1</v>
      </c>
      <c r="CY44" s="247">
        <v>1</v>
      </c>
      <c r="CZ44" s="247">
        <v>1</v>
      </c>
      <c r="DA44" s="247">
        <v>1</v>
      </c>
      <c r="DB44" s="247">
        <v>-548379.96591493534</v>
      </c>
      <c r="DC44" s="247">
        <v>-5.6057976196632886E-2</v>
      </c>
      <c r="DD44" s="247">
        <v>2.3169596365813168</v>
      </c>
      <c r="DE44" s="247">
        <v>2.3169596365813168</v>
      </c>
      <c r="DF44" s="247">
        <v>163008.86814203212</v>
      </c>
      <c r="DG44" s="247">
        <v>1.1935164277488752</v>
      </c>
      <c r="DH44" s="247">
        <v>0.16969509809525718</v>
      </c>
      <c r="DI44" s="247">
        <v>0.16969509809525718</v>
      </c>
      <c r="DJ44" s="247">
        <v>16971.749140328644</v>
      </c>
      <c r="DK44" s="247">
        <v>-0.49105974754584114</v>
      </c>
      <c r="DL44" s="247">
        <v>4.5777144812553239E-2</v>
      </c>
      <c r="DM44" s="247">
        <v>4.5777144812553239E-2</v>
      </c>
      <c r="DN44" s="247">
        <v>24937.229909639544</v>
      </c>
      <c r="DO44" s="247">
        <v>-0.5728508462310099</v>
      </c>
      <c r="DP44" s="247">
        <v>-0.31928389463363738</v>
      </c>
      <c r="DQ44" s="247">
        <v>-0.31928389463363738</v>
      </c>
      <c r="DR44" s="247">
        <v>46903.788460051932</v>
      </c>
      <c r="DS44" s="247">
        <v>-0.10286391912811554</v>
      </c>
      <c r="DT44" s="247">
        <v>-1.2470099209330618</v>
      </c>
      <c r="DU44" s="247">
        <v>-1.2470099209330618</v>
      </c>
      <c r="DV44" s="247">
        <v>-111907.03951127999</v>
      </c>
      <c r="DW44" s="247">
        <v>-1.0698418934196872</v>
      </c>
      <c r="DX44" s="247">
        <v>-1.6571095904057032</v>
      </c>
      <c r="DY44" s="247">
        <v>-1.6571095904057032</v>
      </c>
      <c r="DZ44" s="308">
        <v>0</v>
      </c>
      <c r="EA44" s="308">
        <v>0</v>
      </c>
      <c r="EB44" s="308">
        <v>0</v>
      </c>
      <c r="EC44" s="308">
        <v>0</v>
      </c>
      <c r="ED44" s="308">
        <v>0</v>
      </c>
      <c r="EE44" s="308">
        <v>0</v>
      </c>
      <c r="EF44" s="308">
        <v>2.3331596698950001</v>
      </c>
      <c r="EG44" s="308">
        <v>0</v>
      </c>
      <c r="EH44" s="308">
        <v>0</v>
      </c>
      <c r="EI44" s="308">
        <v>0.98609088910742004</v>
      </c>
      <c r="EJ44" s="308">
        <v>9.6999770847580005E-2</v>
      </c>
      <c r="EK44" s="308">
        <v>-0.74905005460903995</v>
      </c>
      <c r="EL44" s="308">
        <v>2.3331596698949899</v>
      </c>
      <c r="EM44" s="308">
        <v>0</v>
      </c>
      <c r="EN44" s="308">
        <v>0</v>
      </c>
      <c r="EO44" s="308">
        <v>0.98609088910742004</v>
      </c>
      <c r="EP44" s="308">
        <v>0</v>
      </c>
      <c r="EQ44" s="308">
        <v>-0.74905005460903995</v>
      </c>
      <c r="ER44" s="308">
        <v>0</v>
      </c>
      <c r="ES44" s="308">
        <v>0</v>
      </c>
      <c r="ET44" s="308">
        <v>0</v>
      </c>
      <c r="EU44" s="308">
        <v>0</v>
      </c>
      <c r="EV44" s="308">
        <v>0</v>
      </c>
      <c r="EW44" s="308">
        <v>0</v>
      </c>
      <c r="EX44" s="308">
        <v>0</v>
      </c>
      <c r="EY44" s="308">
        <v>0</v>
      </c>
      <c r="EZ44" s="308">
        <v>0</v>
      </c>
      <c r="FA44" s="308">
        <v>0</v>
      </c>
      <c r="FB44" s="308">
        <v>0</v>
      </c>
      <c r="FC44" s="308">
        <v>0</v>
      </c>
      <c r="FD44" s="308">
        <v>0</v>
      </c>
      <c r="FE44" s="308">
        <v>0</v>
      </c>
      <c r="FF44" s="308">
        <v>0</v>
      </c>
      <c r="FG44" s="308">
        <v>0</v>
      </c>
      <c r="FH44" s="308">
        <v>0</v>
      </c>
      <c r="FI44" s="308">
        <v>0</v>
      </c>
      <c r="FJ44" s="308">
        <v>0</v>
      </c>
      <c r="FK44" s="308">
        <v>0</v>
      </c>
      <c r="FL44" s="308">
        <v>0</v>
      </c>
      <c r="FM44" s="308">
        <v>0</v>
      </c>
      <c r="FN44" s="308">
        <v>0</v>
      </c>
      <c r="FO44" s="308">
        <v>0</v>
      </c>
      <c r="FP44" s="308">
        <v>0</v>
      </c>
      <c r="FQ44" s="308">
        <v>0</v>
      </c>
      <c r="FR44" s="308">
        <v>0</v>
      </c>
      <c r="FS44" s="308">
        <v>0</v>
      </c>
      <c r="FT44" s="308">
        <v>0</v>
      </c>
      <c r="FU44" s="308">
        <v>0</v>
      </c>
      <c r="FV44" s="308">
        <v>0</v>
      </c>
      <c r="FW44" s="308">
        <v>0</v>
      </c>
      <c r="FX44" s="308">
        <v>0</v>
      </c>
      <c r="FY44" s="308">
        <v>0</v>
      </c>
      <c r="FZ44" s="308">
        <v>0</v>
      </c>
      <c r="GA44" s="308">
        <v>0</v>
      </c>
      <c r="GB44" s="308">
        <v>0</v>
      </c>
      <c r="GC44" s="308">
        <v>0</v>
      </c>
      <c r="GD44" s="308">
        <v>0</v>
      </c>
      <c r="GE44" s="308">
        <v>0</v>
      </c>
      <c r="GF44" s="308">
        <v>0</v>
      </c>
      <c r="GG44" s="308">
        <v>0</v>
      </c>
      <c r="GH44" s="308">
        <v>-55.82</v>
      </c>
      <c r="GI44" s="308">
        <v>-11.99</v>
      </c>
      <c r="GJ44" s="308">
        <v>-19.61</v>
      </c>
      <c r="GK44" s="308">
        <v>-12.92</v>
      </c>
      <c r="GL44" s="308">
        <v>4.6060068064949999E-2</v>
      </c>
      <c r="GM44" s="308">
        <v>-3.91</v>
      </c>
      <c r="GN44" s="308">
        <v>0</v>
      </c>
      <c r="GO44" s="308">
        <v>0</v>
      </c>
      <c r="GP44" s="308">
        <v>0</v>
      </c>
      <c r="GQ44" s="308">
        <v>0</v>
      </c>
      <c r="GR44" s="308">
        <v>0</v>
      </c>
      <c r="GS44" s="308">
        <v>0</v>
      </c>
      <c r="GT44" s="308">
        <v>0</v>
      </c>
      <c r="GU44" s="308">
        <v>0</v>
      </c>
      <c r="GV44" s="308">
        <v>0</v>
      </c>
      <c r="GW44" s="308">
        <v>0</v>
      </c>
      <c r="GX44" s="308">
        <v>0</v>
      </c>
      <c r="GY44" s="308">
        <v>0</v>
      </c>
      <c r="GZ44" s="308">
        <v>0</v>
      </c>
      <c r="HA44" s="308">
        <v>0</v>
      </c>
      <c r="HB44" s="308">
        <v>0</v>
      </c>
      <c r="HC44" s="308">
        <v>0</v>
      </c>
      <c r="HD44" s="308">
        <v>0</v>
      </c>
      <c r="HE44" s="308">
        <v>0</v>
      </c>
      <c r="HF44" s="308">
        <v>0</v>
      </c>
      <c r="HG44" s="308">
        <v>0</v>
      </c>
      <c r="HH44" s="308">
        <v>0</v>
      </c>
      <c r="HI44" s="308">
        <v>0</v>
      </c>
      <c r="HJ44" s="308">
        <v>0</v>
      </c>
      <c r="HK44" s="308">
        <v>0</v>
      </c>
      <c r="HL44" s="308">
        <v>-0.6</v>
      </c>
      <c r="HM44" s="308">
        <v>0</v>
      </c>
      <c r="HN44" s="308">
        <v>0</v>
      </c>
      <c r="HO44" s="308">
        <v>0</v>
      </c>
      <c r="HP44" s="308">
        <v>0</v>
      </c>
      <c r="HQ44" s="308">
        <v>-3.1108822695035498</v>
      </c>
      <c r="HR44" s="308">
        <v>0.1</v>
      </c>
      <c r="HS44" s="308">
        <v>0</v>
      </c>
      <c r="HT44" s="308">
        <v>0</v>
      </c>
      <c r="HU44" s="308">
        <v>0</v>
      </c>
      <c r="HV44" s="308">
        <v>0</v>
      </c>
      <c r="HW44" s="308">
        <v>0.23</v>
      </c>
      <c r="HX44" s="308">
        <v>-9.0767508396599993E-3</v>
      </c>
      <c r="HY44" s="308">
        <v>0</v>
      </c>
      <c r="HZ44" s="308">
        <v>0</v>
      </c>
      <c r="IA44" s="308">
        <v>-2.3954794799700002E-3</v>
      </c>
      <c r="IB44" s="308">
        <v>0</v>
      </c>
      <c r="IC44" s="308">
        <v>-0.47</v>
      </c>
      <c r="ID44" s="308">
        <v>0</v>
      </c>
      <c r="IE44" s="308">
        <v>0</v>
      </c>
      <c r="IF44" s="308">
        <v>0</v>
      </c>
      <c r="IG44" s="308">
        <v>0</v>
      </c>
      <c r="IH44" s="308">
        <v>0</v>
      </c>
      <c r="II44" s="308">
        <v>0</v>
      </c>
      <c r="IJ44" s="308">
        <v>0</v>
      </c>
      <c r="IK44" s="308">
        <v>0</v>
      </c>
      <c r="IL44" s="308">
        <v>0</v>
      </c>
      <c r="IM44" s="308">
        <v>0</v>
      </c>
      <c r="IN44" s="308">
        <v>0</v>
      </c>
      <c r="IO44" s="308">
        <v>0</v>
      </c>
      <c r="IP44" s="308">
        <v>-55.82</v>
      </c>
      <c r="IQ44" s="308">
        <v>-11.99</v>
      </c>
      <c r="IR44" s="308">
        <v>-19.61</v>
      </c>
      <c r="IS44" s="308">
        <v>-12.92</v>
      </c>
      <c r="IT44" s="308">
        <v>-1.07225369578546</v>
      </c>
      <c r="IU44" s="308">
        <v>-0.59</v>
      </c>
      <c r="IV44" s="308">
        <v>-0.12913436945737</v>
      </c>
      <c r="IW44" s="308">
        <v>0</v>
      </c>
      <c r="IX44" s="308">
        <v>0</v>
      </c>
      <c r="IY44" s="308">
        <v>0</v>
      </c>
      <c r="IZ44" s="308">
        <v>-0.75737307686747002</v>
      </c>
      <c r="JA44" s="308">
        <v>0</v>
      </c>
      <c r="JB44" s="308">
        <v>-0.15496124334884001</v>
      </c>
      <c r="JC44" s="308">
        <v>0</v>
      </c>
      <c r="JD44" s="308">
        <v>0</v>
      </c>
      <c r="JE44" s="308">
        <v>0</v>
      </c>
      <c r="JF44" s="308">
        <v>-1.39367584496439</v>
      </c>
      <c r="JG44" s="308">
        <v>0</v>
      </c>
      <c r="JH44" s="308">
        <v>0</v>
      </c>
      <c r="JI44" s="308">
        <v>0</v>
      </c>
      <c r="JJ44" s="308">
        <v>0</v>
      </c>
      <c r="JK44" s="308">
        <v>0</v>
      </c>
      <c r="JL44" s="308">
        <v>0</v>
      </c>
      <c r="JM44" s="308">
        <v>0</v>
      </c>
      <c r="JN44" s="308">
        <v>-0.15496124334885</v>
      </c>
      <c r="JO44" s="308">
        <v>0</v>
      </c>
      <c r="JP44" s="308">
        <v>0</v>
      </c>
      <c r="JQ44" s="308">
        <v>0</v>
      </c>
      <c r="JR44" s="308">
        <v>-1.3435541332540599</v>
      </c>
      <c r="JS44" s="308">
        <v>0</v>
      </c>
      <c r="JT44" s="308">
        <v>-55.82</v>
      </c>
      <c r="JU44" s="308">
        <v>-11.99</v>
      </c>
      <c r="JV44" s="308">
        <v>-19.61</v>
      </c>
      <c r="JW44" s="308">
        <v>-12.92</v>
      </c>
      <c r="JX44" s="308">
        <v>-0.84497718120804999</v>
      </c>
      <c r="JY44" s="308">
        <v>-0.9</v>
      </c>
      <c r="JZ44" s="308">
        <v>0</v>
      </c>
      <c r="KA44" s="308">
        <v>0</v>
      </c>
      <c r="KB44" s="308">
        <v>0</v>
      </c>
      <c r="KC44" s="308">
        <v>0</v>
      </c>
      <c r="KD44" s="308">
        <v>0</v>
      </c>
      <c r="KE44" s="308">
        <v>0</v>
      </c>
      <c r="KF44" s="308">
        <v>0</v>
      </c>
      <c r="KG44" s="308">
        <v>0</v>
      </c>
      <c r="KH44" s="308">
        <v>0</v>
      </c>
      <c r="KI44" s="308">
        <v>0</v>
      </c>
      <c r="KJ44" s="308">
        <v>0</v>
      </c>
      <c r="KK44" s="308">
        <v>0</v>
      </c>
      <c r="KL44" s="308">
        <v>0</v>
      </c>
      <c r="KM44" s="308">
        <v>0</v>
      </c>
      <c r="KN44" s="308">
        <v>0</v>
      </c>
      <c r="KO44" s="308">
        <v>0</v>
      </c>
      <c r="KP44" s="308">
        <v>0</v>
      </c>
      <c r="KQ44" s="308">
        <v>0</v>
      </c>
      <c r="KR44" s="308">
        <v>0</v>
      </c>
      <c r="KS44" s="308">
        <v>0</v>
      </c>
      <c r="KT44" s="308">
        <v>0</v>
      </c>
      <c r="KU44" s="308">
        <v>0</v>
      </c>
      <c r="KV44" s="308">
        <v>0</v>
      </c>
      <c r="KW44" s="308">
        <v>0</v>
      </c>
      <c r="KX44" s="308">
        <v>1.0046888903139199</v>
      </c>
      <c r="KY44" s="308">
        <v>0.16710577309979999</v>
      </c>
      <c r="KZ44" s="308">
        <v>-0.20275762945598999</v>
      </c>
      <c r="LA44" s="308">
        <v>1.2390474038300001E-2</v>
      </c>
      <c r="LB44" s="308">
        <v>-5.5329298001249999E-2</v>
      </c>
      <c r="LC44" s="308">
        <v>-0.44750344212965998</v>
      </c>
      <c r="LD44" s="308">
        <v>-2.6800558377699998E-3</v>
      </c>
      <c r="LE44" s="308">
        <v>0</v>
      </c>
      <c r="LF44" s="308">
        <v>0</v>
      </c>
      <c r="LG44" s="308">
        <v>0</v>
      </c>
      <c r="LH44" s="308">
        <v>4.3345790606010001E-2</v>
      </c>
      <c r="LI44" s="308">
        <v>0</v>
      </c>
      <c r="LJ44" s="308">
        <v>0</v>
      </c>
      <c r="LK44" s="308">
        <v>0</v>
      </c>
      <c r="LL44" s="308">
        <v>0</v>
      </c>
      <c r="LM44" s="308">
        <v>0</v>
      </c>
      <c r="LN44" s="308">
        <v>0.14138326334163001</v>
      </c>
      <c r="LO44" s="308">
        <v>-6.76163329988798</v>
      </c>
      <c r="LP44" s="308">
        <v>0.12020443037641</v>
      </c>
      <c r="LQ44" s="308">
        <v>0</v>
      </c>
      <c r="LR44" s="308">
        <v>0</v>
      </c>
      <c r="LS44" s="308">
        <v>0</v>
      </c>
      <c r="LT44" s="308">
        <v>0</v>
      </c>
      <c r="LU44" s="308">
        <v>-3.11</v>
      </c>
      <c r="LV44" s="308">
        <v>6.8506595710599999E-3</v>
      </c>
      <c r="LW44" s="308">
        <v>0</v>
      </c>
      <c r="LX44" s="308">
        <v>0</v>
      </c>
      <c r="LY44" s="308">
        <v>0</v>
      </c>
      <c r="LZ44" s="308">
        <v>0</v>
      </c>
      <c r="MA44" s="308">
        <v>-0.43889541996992998</v>
      </c>
      <c r="MB44" s="308">
        <v>0</v>
      </c>
      <c r="MC44" s="308">
        <v>0</v>
      </c>
      <c r="MD44" s="308">
        <v>0</v>
      </c>
      <c r="ME44" s="308">
        <v>0</v>
      </c>
      <c r="MF44" s="308">
        <v>0</v>
      </c>
      <c r="MG44" s="308">
        <v>0</v>
      </c>
    </row>
    <row r="45" spans="1:345" ht="18" customHeight="1">
      <c r="A45" s="330" t="s">
        <v>281</v>
      </c>
      <c r="B45" s="243">
        <v>0.5</v>
      </c>
      <c r="C45" s="243">
        <v>0.19999999999999998</v>
      </c>
      <c r="D45" s="243">
        <v>0.19999999999999998</v>
      </c>
      <c r="E45" s="244">
        <v>100.05590062111801</v>
      </c>
      <c r="F45" s="245">
        <v>-1</v>
      </c>
      <c r="G45" s="245">
        <v>-5.5</v>
      </c>
      <c r="H45" s="245">
        <v>-5.5</v>
      </c>
      <c r="I45" s="244">
        <v>1458.7130772690623</v>
      </c>
      <c r="J45" s="246">
        <v>18</v>
      </c>
      <c r="K45" s="246"/>
      <c r="L45" s="247">
        <v>0.26999999999999996</v>
      </c>
      <c r="M45" s="247">
        <v>0.29999999999999993</v>
      </c>
      <c r="N45" s="247">
        <v>0.29999999999999993</v>
      </c>
      <c r="O45" s="245">
        <v>0.2</v>
      </c>
      <c r="P45" s="245">
        <v>0</v>
      </c>
      <c r="Q45" s="245">
        <v>99.3</v>
      </c>
      <c r="R45" s="245">
        <v>0.5</v>
      </c>
      <c r="S45" s="250">
        <v>0</v>
      </c>
      <c r="T45" s="250">
        <v>1</v>
      </c>
      <c r="U45" s="250">
        <v>1</v>
      </c>
      <c r="V45" s="250">
        <v>1</v>
      </c>
      <c r="W45" s="250">
        <v>1</v>
      </c>
      <c r="X45" s="250">
        <v>1</v>
      </c>
      <c r="Y45" s="244"/>
      <c r="Z45" s="248"/>
      <c r="AA45" s="244"/>
      <c r="AB45" s="247"/>
      <c r="AC45" s="247"/>
      <c r="AD45" s="247"/>
      <c r="AE45" s="251"/>
      <c r="AF45" s="251"/>
      <c r="AG45" s="249"/>
      <c r="AH45" s="249"/>
      <c r="AI45" s="249"/>
      <c r="AJ45" s="249"/>
      <c r="AK45" s="249"/>
      <c r="AL45" s="249"/>
      <c r="AM45" s="249"/>
      <c r="AN45" s="249"/>
      <c r="AO45" s="249"/>
      <c r="AP45" s="249"/>
      <c r="AQ45" s="249"/>
      <c r="AR45" s="249"/>
      <c r="AS45" s="249"/>
      <c r="AT45" s="249"/>
      <c r="AU45" s="249"/>
      <c r="AV45" s="247"/>
      <c r="AW45" s="247">
        <v>1</v>
      </c>
      <c r="AX45" s="247">
        <v>1</v>
      </c>
      <c r="AY45" s="247">
        <v>1</v>
      </c>
      <c r="AZ45" s="247">
        <v>1</v>
      </c>
      <c r="BA45" s="246"/>
      <c r="BB45" s="244"/>
      <c r="BC45" s="244"/>
      <c r="BD45" s="247"/>
      <c r="BE45" s="247"/>
      <c r="BF45" s="247"/>
      <c r="BG45" s="246"/>
      <c r="BH45" s="246"/>
      <c r="BI45" s="244"/>
      <c r="BJ45" s="247"/>
      <c r="BK45" s="247"/>
      <c r="BL45" s="247"/>
      <c r="BM45" s="244"/>
      <c r="BN45" s="246"/>
      <c r="BO45" s="246"/>
      <c r="BP45" s="247"/>
      <c r="BQ45" s="247"/>
      <c r="BR45" s="247"/>
      <c r="BS45" s="247">
        <v>1</v>
      </c>
      <c r="BT45" s="247">
        <v>1</v>
      </c>
      <c r="BU45" s="247">
        <v>1</v>
      </c>
      <c r="BV45" s="247">
        <v>1</v>
      </c>
      <c r="BW45" s="247">
        <v>1</v>
      </c>
      <c r="BX45" s="244"/>
      <c r="BY45" s="244"/>
      <c r="BZ45" s="247"/>
      <c r="CA45" s="247"/>
      <c r="CB45" s="247"/>
      <c r="CC45" s="247">
        <v>1</v>
      </c>
      <c r="CD45" s="247">
        <v>1</v>
      </c>
      <c r="CE45" s="247">
        <v>1</v>
      </c>
      <c r="CF45" s="247">
        <v>1</v>
      </c>
      <c r="CG45" s="247">
        <v>1</v>
      </c>
      <c r="CH45" s="244"/>
      <c r="CI45" s="244"/>
      <c r="CJ45" s="247"/>
      <c r="CK45" s="247"/>
      <c r="CL45" s="247"/>
      <c r="CM45" s="247">
        <v>1</v>
      </c>
      <c r="CN45" s="247">
        <v>1</v>
      </c>
      <c r="CO45" s="247">
        <v>1</v>
      </c>
      <c r="CP45" s="247">
        <v>1</v>
      </c>
      <c r="CQ45" s="247">
        <v>1</v>
      </c>
      <c r="CR45" s="244"/>
      <c r="CS45" s="244"/>
      <c r="CT45" s="247"/>
      <c r="CU45" s="247"/>
      <c r="CV45" s="247"/>
      <c r="CW45" s="247">
        <v>1</v>
      </c>
      <c r="CX45" s="247">
        <v>1</v>
      </c>
      <c r="CY45" s="247">
        <v>1</v>
      </c>
      <c r="CZ45" s="247">
        <v>1</v>
      </c>
      <c r="DA45" s="247">
        <v>1</v>
      </c>
      <c r="DB45" s="247">
        <v>-548379.96591493534</v>
      </c>
      <c r="DC45" s="247">
        <v>-5.6057976196632886E-2</v>
      </c>
      <c r="DD45" s="247">
        <v>2.3169596365813168</v>
      </c>
      <c r="DE45" s="247">
        <v>2.3169596365813168</v>
      </c>
      <c r="DF45" s="247">
        <v>163008.86814203212</v>
      </c>
      <c r="DG45" s="247">
        <v>1.1935164277488752</v>
      </c>
      <c r="DH45" s="247">
        <v>0.16969509809525718</v>
      </c>
      <c r="DI45" s="247">
        <v>0.16969509809525718</v>
      </c>
      <c r="DJ45" s="247">
        <v>16971.749140328644</v>
      </c>
      <c r="DK45" s="247">
        <v>-0.49105974754584114</v>
      </c>
      <c r="DL45" s="247">
        <v>4.5777144812553239E-2</v>
      </c>
      <c r="DM45" s="247">
        <v>4.5777144812553239E-2</v>
      </c>
      <c r="DN45" s="247">
        <v>24937.229909639544</v>
      </c>
      <c r="DO45" s="247">
        <v>-0.5728508462310099</v>
      </c>
      <c r="DP45" s="247">
        <v>-0.31928389463363738</v>
      </c>
      <c r="DQ45" s="247">
        <v>-0.31928389463363738</v>
      </c>
      <c r="DR45" s="247">
        <v>46903.788460051932</v>
      </c>
      <c r="DS45" s="247">
        <v>-0.10286391912811554</v>
      </c>
      <c r="DT45" s="247">
        <v>-1.2470099209330618</v>
      </c>
      <c r="DU45" s="247">
        <v>-1.2470099209330618</v>
      </c>
      <c r="DV45" s="247">
        <v>-111907.03951127999</v>
      </c>
      <c r="DW45" s="247">
        <v>-1.0698418934196872</v>
      </c>
      <c r="DX45" s="247">
        <v>-1.6571095904057032</v>
      </c>
      <c r="DY45" s="247">
        <v>-1.6571095904057032</v>
      </c>
      <c r="DZ45" s="308">
        <v>0</v>
      </c>
      <c r="EA45" s="308">
        <v>0</v>
      </c>
      <c r="EB45" s="308">
        <v>0</v>
      </c>
      <c r="EC45" s="308">
        <v>0</v>
      </c>
      <c r="ED45" s="308">
        <v>0</v>
      </c>
      <c r="EE45" s="308">
        <v>0</v>
      </c>
      <c r="EF45" s="308">
        <v>2.3331596698950001</v>
      </c>
      <c r="EG45" s="308">
        <v>0</v>
      </c>
      <c r="EH45" s="308">
        <v>0</v>
      </c>
      <c r="EI45" s="308">
        <v>0.98609088910742004</v>
      </c>
      <c r="EJ45" s="308">
        <v>9.6999770847580005E-2</v>
      </c>
      <c r="EK45" s="308">
        <v>-0.74905005460903995</v>
      </c>
      <c r="EL45" s="308">
        <v>2.3331596698949899</v>
      </c>
      <c r="EM45" s="308">
        <v>0</v>
      </c>
      <c r="EN45" s="308">
        <v>0</v>
      </c>
      <c r="EO45" s="308">
        <v>0.98609088910742004</v>
      </c>
      <c r="EP45" s="308">
        <v>0</v>
      </c>
      <c r="EQ45" s="308">
        <v>-0.74905005460903995</v>
      </c>
      <c r="ER45" s="308">
        <v>0</v>
      </c>
      <c r="ES45" s="308">
        <v>0</v>
      </c>
      <c r="ET45" s="308">
        <v>0</v>
      </c>
      <c r="EU45" s="308">
        <v>0</v>
      </c>
      <c r="EV45" s="308">
        <v>0</v>
      </c>
      <c r="EW45" s="308">
        <v>0</v>
      </c>
      <c r="EX45" s="308">
        <v>0</v>
      </c>
      <c r="EY45" s="308">
        <v>0</v>
      </c>
      <c r="EZ45" s="308">
        <v>0</v>
      </c>
      <c r="FA45" s="308">
        <v>0</v>
      </c>
      <c r="FB45" s="308">
        <v>0</v>
      </c>
      <c r="FC45" s="308">
        <v>0</v>
      </c>
      <c r="FD45" s="308">
        <v>0</v>
      </c>
      <c r="FE45" s="308">
        <v>0</v>
      </c>
      <c r="FF45" s="308">
        <v>0</v>
      </c>
      <c r="FG45" s="308">
        <v>0</v>
      </c>
      <c r="FH45" s="308">
        <v>0</v>
      </c>
      <c r="FI45" s="308">
        <v>0</v>
      </c>
      <c r="FJ45" s="308">
        <v>0</v>
      </c>
      <c r="FK45" s="308">
        <v>0</v>
      </c>
      <c r="FL45" s="308">
        <v>0</v>
      </c>
      <c r="FM45" s="308">
        <v>0</v>
      </c>
      <c r="FN45" s="308">
        <v>0</v>
      </c>
      <c r="FO45" s="308">
        <v>0</v>
      </c>
      <c r="FP45" s="308">
        <v>0</v>
      </c>
      <c r="FQ45" s="308">
        <v>0</v>
      </c>
      <c r="FR45" s="308">
        <v>0</v>
      </c>
      <c r="FS45" s="308">
        <v>0</v>
      </c>
      <c r="FT45" s="308">
        <v>0</v>
      </c>
      <c r="FU45" s="308">
        <v>0</v>
      </c>
      <c r="FV45" s="308">
        <v>0</v>
      </c>
      <c r="FW45" s="308">
        <v>0</v>
      </c>
      <c r="FX45" s="308">
        <v>0</v>
      </c>
      <c r="FY45" s="308">
        <v>0</v>
      </c>
      <c r="FZ45" s="308">
        <v>0</v>
      </c>
      <c r="GA45" s="308">
        <v>0</v>
      </c>
      <c r="GB45" s="308">
        <v>0</v>
      </c>
      <c r="GC45" s="308">
        <v>0</v>
      </c>
      <c r="GD45" s="308">
        <v>0</v>
      </c>
      <c r="GE45" s="308">
        <v>0</v>
      </c>
      <c r="GF45" s="308">
        <v>0</v>
      </c>
      <c r="GG45" s="308">
        <v>0</v>
      </c>
      <c r="GH45" s="308">
        <v>-55.82</v>
      </c>
      <c r="GI45" s="308">
        <v>-11.99</v>
      </c>
      <c r="GJ45" s="308">
        <v>-19.61</v>
      </c>
      <c r="GK45" s="308">
        <v>-12.92</v>
      </c>
      <c r="GL45" s="308">
        <v>4.6060068064949999E-2</v>
      </c>
      <c r="GM45" s="308">
        <v>-3.91</v>
      </c>
      <c r="GN45" s="308">
        <v>0</v>
      </c>
      <c r="GO45" s="308">
        <v>0</v>
      </c>
      <c r="GP45" s="308">
        <v>0</v>
      </c>
      <c r="GQ45" s="308">
        <v>0</v>
      </c>
      <c r="GR45" s="308">
        <v>0</v>
      </c>
      <c r="GS45" s="308">
        <v>0</v>
      </c>
      <c r="GT45" s="308">
        <v>0</v>
      </c>
      <c r="GU45" s="308">
        <v>0</v>
      </c>
      <c r="GV45" s="308">
        <v>0</v>
      </c>
      <c r="GW45" s="308">
        <v>0</v>
      </c>
      <c r="GX45" s="308">
        <v>0</v>
      </c>
      <c r="GY45" s="308">
        <v>0</v>
      </c>
      <c r="GZ45" s="308">
        <v>0</v>
      </c>
      <c r="HA45" s="308">
        <v>0</v>
      </c>
      <c r="HB45" s="308">
        <v>0</v>
      </c>
      <c r="HC45" s="308">
        <v>0</v>
      </c>
      <c r="HD45" s="308">
        <v>0</v>
      </c>
      <c r="HE45" s="308">
        <v>0</v>
      </c>
      <c r="HF45" s="308">
        <v>0</v>
      </c>
      <c r="HG45" s="308">
        <v>0</v>
      </c>
      <c r="HH45" s="308">
        <v>0</v>
      </c>
      <c r="HI45" s="308">
        <v>0</v>
      </c>
      <c r="HJ45" s="308">
        <v>0</v>
      </c>
      <c r="HK45" s="308">
        <v>0</v>
      </c>
      <c r="HL45" s="308">
        <v>-0.6</v>
      </c>
      <c r="HM45" s="308">
        <v>0</v>
      </c>
      <c r="HN45" s="308">
        <v>0</v>
      </c>
      <c r="HO45" s="308">
        <v>0</v>
      </c>
      <c r="HP45" s="308">
        <v>0</v>
      </c>
      <c r="HQ45" s="308">
        <v>-3.1108822695035498</v>
      </c>
      <c r="HR45" s="308">
        <v>0.1</v>
      </c>
      <c r="HS45" s="308">
        <v>0</v>
      </c>
      <c r="HT45" s="308">
        <v>0</v>
      </c>
      <c r="HU45" s="308">
        <v>0</v>
      </c>
      <c r="HV45" s="308">
        <v>0</v>
      </c>
      <c r="HW45" s="308">
        <v>0.23</v>
      </c>
      <c r="HX45" s="308">
        <v>-9.0767508396599993E-3</v>
      </c>
      <c r="HY45" s="308">
        <v>0</v>
      </c>
      <c r="HZ45" s="308">
        <v>0</v>
      </c>
      <c r="IA45" s="308">
        <v>-2.3954794799700002E-3</v>
      </c>
      <c r="IB45" s="308">
        <v>0</v>
      </c>
      <c r="IC45" s="308">
        <v>-0.47</v>
      </c>
      <c r="ID45" s="308">
        <v>0</v>
      </c>
      <c r="IE45" s="308">
        <v>0</v>
      </c>
      <c r="IF45" s="308">
        <v>0</v>
      </c>
      <c r="IG45" s="308">
        <v>0</v>
      </c>
      <c r="IH45" s="308">
        <v>0</v>
      </c>
      <c r="II45" s="308">
        <v>0</v>
      </c>
      <c r="IJ45" s="308">
        <v>0</v>
      </c>
      <c r="IK45" s="308">
        <v>0</v>
      </c>
      <c r="IL45" s="308">
        <v>0</v>
      </c>
      <c r="IM45" s="308">
        <v>0</v>
      </c>
      <c r="IN45" s="308">
        <v>0</v>
      </c>
      <c r="IO45" s="308">
        <v>0</v>
      </c>
      <c r="IP45" s="308">
        <v>-55.82</v>
      </c>
      <c r="IQ45" s="308">
        <v>-11.99</v>
      </c>
      <c r="IR45" s="308">
        <v>-19.61</v>
      </c>
      <c r="IS45" s="308">
        <v>-12.92</v>
      </c>
      <c r="IT45" s="308">
        <v>-1.07225369578546</v>
      </c>
      <c r="IU45" s="308">
        <v>-0.59</v>
      </c>
      <c r="IV45" s="308">
        <v>-0.12913436945737</v>
      </c>
      <c r="IW45" s="308">
        <v>0</v>
      </c>
      <c r="IX45" s="308">
        <v>0</v>
      </c>
      <c r="IY45" s="308">
        <v>0</v>
      </c>
      <c r="IZ45" s="308">
        <v>-0.75737307686747002</v>
      </c>
      <c r="JA45" s="308">
        <v>0</v>
      </c>
      <c r="JB45" s="308">
        <v>-0.15496124334884001</v>
      </c>
      <c r="JC45" s="308">
        <v>0</v>
      </c>
      <c r="JD45" s="308">
        <v>0</v>
      </c>
      <c r="JE45" s="308">
        <v>0</v>
      </c>
      <c r="JF45" s="308">
        <v>-1.39367584496439</v>
      </c>
      <c r="JG45" s="308">
        <v>0</v>
      </c>
      <c r="JH45" s="308">
        <v>0</v>
      </c>
      <c r="JI45" s="308">
        <v>0</v>
      </c>
      <c r="JJ45" s="308">
        <v>0</v>
      </c>
      <c r="JK45" s="308">
        <v>0</v>
      </c>
      <c r="JL45" s="308">
        <v>0</v>
      </c>
      <c r="JM45" s="308">
        <v>0</v>
      </c>
      <c r="JN45" s="308">
        <v>-0.15496124334885</v>
      </c>
      <c r="JO45" s="308">
        <v>0</v>
      </c>
      <c r="JP45" s="308">
        <v>0</v>
      </c>
      <c r="JQ45" s="308">
        <v>0</v>
      </c>
      <c r="JR45" s="308">
        <v>-1.3435541332540599</v>
      </c>
      <c r="JS45" s="308">
        <v>0</v>
      </c>
      <c r="JT45" s="308">
        <v>-55.82</v>
      </c>
      <c r="JU45" s="308">
        <v>-11.99</v>
      </c>
      <c r="JV45" s="308">
        <v>-19.61</v>
      </c>
      <c r="JW45" s="308">
        <v>-12.92</v>
      </c>
      <c r="JX45" s="308">
        <v>-0.84497718120804999</v>
      </c>
      <c r="JY45" s="308">
        <v>-0.9</v>
      </c>
      <c r="JZ45" s="308">
        <v>0</v>
      </c>
      <c r="KA45" s="308">
        <v>0</v>
      </c>
      <c r="KB45" s="308">
        <v>0</v>
      </c>
      <c r="KC45" s="308">
        <v>0</v>
      </c>
      <c r="KD45" s="308">
        <v>0</v>
      </c>
      <c r="KE45" s="308">
        <v>0</v>
      </c>
      <c r="KF45" s="308">
        <v>0</v>
      </c>
      <c r="KG45" s="308">
        <v>0</v>
      </c>
      <c r="KH45" s="308">
        <v>0</v>
      </c>
      <c r="KI45" s="308">
        <v>0</v>
      </c>
      <c r="KJ45" s="308">
        <v>0</v>
      </c>
      <c r="KK45" s="308">
        <v>0</v>
      </c>
      <c r="KL45" s="308">
        <v>0</v>
      </c>
      <c r="KM45" s="308">
        <v>0</v>
      </c>
      <c r="KN45" s="308">
        <v>0</v>
      </c>
      <c r="KO45" s="308">
        <v>0</v>
      </c>
      <c r="KP45" s="308">
        <v>0</v>
      </c>
      <c r="KQ45" s="308">
        <v>0</v>
      </c>
      <c r="KR45" s="308">
        <v>0</v>
      </c>
      <c r="KS45" s="308">
        <v>0</v>
      </c>
      <c r="KT45" s="308">
        <v>0</v>
      </c>
      <c r="KU45" s="308">
        <v>0</v>
      </c>
      <c r="KV45" s="308">
        <v>0</v>
      </c>
      <c r="KW45" s="308">
        <v>0</v>
      </c>
      <c r="KX45" s="308">
        <v>1.0046888903139199</v>
      </c>
      <c r="KY45" s="308">
        <v>0.16710577309979999</v>
      </c>
      <c r="KZ45" s="308">
        <v>-0.20275762945598999</v>
      </c>
      <c r="LA45" s="308">
        <v>1.2390474038300001E-2</v>
      </c>
      <c r="LB45" s="308">
        <v>-5.5329298001249999E-2</v>
      </c>
      <c r="LC45" s="308">
        <v>-0.44750344212965998</v>
      </c>
      <c r="LD45" s="308">
        <v>-2.6800558377699998E-3</v>
      </c>
      <c r="LE45" s="308">
        <v>0</v>
      </c>
      <c r="LF45" s="308">
        <v>0</v>
      </c>
      <c r="LG45" s="308">
        <v>0</v>
      </c>
      <c r="LH45" s="308">
        <v>4.3345790606010001E-2</v>
      </c>
      <c r="LI45" s="308">
        <v>0</v>
      </c>
      <c r="LJ45" s="308">
        <v>0</v>
      </c>
      <c r="LK45" s="308">
        <v>0</v>
      </c>
      <c r="LL45" s="308">
        <v>0</v>
      </c>
      <c r="LM45" s="308">
        <v>0</v>
      </c>
      <c r="LN45" s="308">
        <v>0.14138326334163001</v>
      </c>
      <c r="LO45" s="308">
        <v>-6.76163329988798</v>
      </c>
      <c r="LP45" s="308">
        <v>0.12020443037641</v>
      </c>
      <c r="LQ45" s="308">
        <v>0</v>
      </c>
      <c r="LR45" s="308">
        <v>0</v>
      </c>
      <c r="LS45" s="308">
        <v>0</v>
      </c>
      <c r="LT45" s="308">
        <v>0</v>
      </c>
      <c r="LU45" s="308">
        <v>-3.11</v>
      </c>
      <c r="LV45" s="308">
        <v>6.8506595710599999E-3</v>
      </c>
      <c r="LW45" s="308">
        <v>0</v>
      </c>
      <c r="LX45" s="308">
        <v>0</v>
      </c>
      <c r="LY45" s="308">
        <v>0</v>
      </c>
      <c r="LZ45" s="308">
        <v>0</v>
      </c>
      <c r="MA45" s="308">
        <v>-0.43889541996992998</v>
      </c>
      <c r="MB45" s="308">
        <v>0</v>
      </c>
      <c r="MC45" s="308">
        <v>0</v>
      </c>
      <c r="MD45" s="308">
        <v>0</v>
      </c>
      <c r="ME45" s="308">
        <v>0</v>
      </c>
      <c r="MF45" s="308">
        <v>0</v>
      </c>
      <c r="MG45" s="308">
        <v>0</v>
      </c>
    </row>
    <row r="46" spans="1:345" ht="18" customHeight="1">
      <c r="A46" s="330" t="s">
        <v>281</v>
      </c>
      <c r="B46" s="243">
        <v>-0.59999999999999987</v>
      </c>
      <c r="C46" s="243">
        <v>-0.5</v>
      </c>
      <c r="D46" s="243">
        <v>-0.5</v>
      </c>
      <c r="E46" s="244">
        <v>542.25</v>
      </c>
      <c r="F46" s="245">
        <v>-6</v>
      </c>
      <c r="G46" s="245">
        <v>-7.5</v>
      </c>
      <c r="H46" s="245">
        <v>-7.5</v>
      </c>
      <c r="I46" s="244">
        <v>1950.6284309645287</v>
      </c>
      <c r="J46" s="246">
        <v>12</v>
      </c>
      <c r="K46" s="246"/>
      <c r="L46" s="247">
        <v>0.18</v>
      </c>
      <c r="M46" s="247">
        <v>0.19999999999999998</v>
      </c>
      <c r="N46" s="247">
        <v>0.19999999999999998</v>
      </c>
      <c r="O46" s="245">
        <v>0</v>
      </c>
      <c r="P46" s="245">
        <v>0</v>
      </c>
      <c r="Q46" s="245">
        <v>96.1</v>
      </c>
      <c r="R46" s="245">
        <v>3.9</v>
      </c>
      <c r="S46" s="250">
        <v>0</v>
      </c>
      <c r="T46" s="250">
        <v>1</v>
      </c>
      <c r="U46" s="250">
        <v>1</v>
      </c>
      <c r="V46" s="250">
        <v>1</v>
      </c>
      <c r="W46" s="250">
        <v>1</v>
      </c>
      <c r="X46" s="250">
        <v>1</v>
      </c>
      <c r="Y46" s="244"/>
      <c r="Z46" s="248"/>
      <c r="AA46" s="244"/>
      <c r="AB46" s="247"/>
      <c r="AC46" s="247"/>
      <c r="AD46" s="247"/>
      <c r="AE46" s="251"/>
      <c r="AF46" s="251"/>
      <c r="AG46" s="249"/>
      <c r="AH46" s="249"/>
      <c r="AI46" s="249"/>
      <c r="AJ46" s="249"/>
      <c r="AK46" s="249"/>
      <c r="AL46" s="249"/>
      <c r="AM46" s="249"/>
      <c r="AN46" s="249"/>
      <c r="AO46" s="249"/>
      <c r="AP46" s="249"/>
      <c r="AQ46" s="249"/>
      <c r="AR46" s="249"/>
      <c r="AS46" s="249"/>
      <c r="AT46" s="249"/>
      <c r="AU46" s="249"/>
      <c r="AV46" s="247"/>
      <c r="AW46" s="247">
        <v>1</v>
      </c>
      <c r="AX46" s="247">
        <v>1</v>
      </c>
      <c r="AY46" s="247">
        <v>1</v>
      </c>
      <c r="AZ46" s="247">
        <v>1</v>
      </c>
      <c r="BA46" s="246"/>
      <c r="BB46" s="244"/>
      <c r="BC46" s="244"/>
      <c r="BD46" s="247"/>
      <c r="BE46" s="247"/>
      <c r="BF46" s="247"/>
      <c r="BG46" s="246"/>
      <c r="BH46" s="246"/>
      <c r="BI46" s="244"/>
      <c r="BJ46" s="247"/>
      <c r="BK46" s="247"/>
      <c r="BL46" s="247"/>
      <c r="BM46" s="244"/>
      <c r="BN46" s="246"/>
      <c r="BO46" s="246"/>
      <c r="BP46" s="247"/>
      <c r="BQ46" s="247"/>
      <c r="BR46" s="247"/>
      <c r="BS46" s="247">
        <v>1</v>
      </c>
      <c r="BT46" s="247">
        <v>1</v>
      </c>
      <c r="BU46" s="247">
        <v>1</v>
      </c>
      <c r="BV46" s="247">
        <v>1</v>
      </c>
      <c r="BW46" s="247">
        <v>1</v>
      </c>
      <c r="BX46" s="244"/>
      <c r="BY46" s="244"/>
      <c r="BZ46" s="247"/>
      <c r="CA46" s="247"/>
      <c r="CB46" s="247"/>
      <c r="CC46" s="247">
        <v>1</v>
      </c>
      <c r="CD46" s="247">
        <v>1</v>
      </c>
      <c r="CE46" s="247">
        <v>1</v>
      </c>
      <c r="CF46" s="247">
        <v>1</v>
      </c>
      <c r="CG46" s="247">
        <v>1</v>
      </c>
      <c r="CH46" s="244"/>
      <c r="CI46" s="244"/>
      <c r="CJ46" s="247"/>
      <c r="CK46" s="247"/>
      <c r="CL46" s="247"/>
      <c r="CM46" s="247">
        <v>1</v>
      </c>
      <c r="CN46" s="247">
        <v>1</v>
      </c>
      <c r="CO46" s="247">
        <v>1</v>
      </c>
      <c r="CP46" s="247">
        <v>1</v>
      </c>
      <c r="CQ46" s="247">
        <v>1</v>
      </c>
      <c r="CR46" s="244"/>
      <c r="CS46" s="244"/>
      <c r="CT46" s="247"/>
      <c r="CU46" s="247"/>
      <c r="CV46" s="247"/>
      <c r="CW46" s="247">
        <v>1</v>
      </c>
      <c r="CX46" s="247">
        <v>1</v>
      </c>
      <c r="CY46" s="247">
        <v>1</v>
      </c>
      <c r="CZ46" s="247">
        <v>1</v>
      </c>
      <c r="DA46" s="247">
        <v>1</v>
      </c>
      <c r="DB46" s="247">
        <v>-548379.96591493534</v>
      </c>
      <c r="DC46" s="247">
        <v>-5.6057976196632886E-2</v>
      </c>
      <c r="DD46" s="247">
        <v>2.3169596365813168</v>
      </c>
      <c r="DE46" s="247">
        <v>2.3169596365813168</v>
      </c>
      <c r="DF46" s="247">
        <v>163008.86814203212</v>
      </c>
      <c r="DG46" s="247">
        <v>1.1935164277488752</v>
      </c>
      <c r="DH46" s="247">
        <v>0.16969509809525718</v>
      </c>
      <c r="DI46" s="247">
        <v>0.16969509809525718</v>
      </c>
      <c r="DJ46" s="247">
        <v>16971.749140328644</v>
      </c>
      <c r="DK46" s="247">
        <v>-0.49105974754584114</v>
      </c>
      <c r="DL46" s="247">
        <v>4.5777144812553239E-2</v>
      </c>
      <c r="DM46" s="247">
        <v>4.5777144812553239E-2</v>
      </c>
      <c r="DN46" s="247">
        <v>24937.229909639544</v>
      </c>
      <c r="DO46" s="247">
        <v>-0.5728508462310099</v>
      </c>
      <c r="DP46" s="247">
        <v>-0.31928389463363738</v>
      </c>
      <c r="DQ46" s="247">
        <v>-0.31928389463363738</v>
      </c>
      <c r="DR46" s="247">
        <v>46903.788460051932</v>
      </c>
      <c r="DS46" s="247">
        <v>-0.10286391912811554</v>
      </c>
      <c r="DT46" s="247">
        <v>-1.2470099209330618</v>
      </c>
      <c r="DU46" s="247">
        <v>-1.2470099209330618</v>
      </c>
      <c r="DV46" s="247">
        <v>-111907.03951127999</v>
      </c>
      <c r="DW46" s="247">
        <v>-1.0698418934196872</v>
      </c>
      <c r="DX46" s="247">
        <v>-1.6571095904057032</v>
      </c>
      <c r="DY46" s="247">
        <v>-1.6571095904057032</v>
      </c>
      <c r="DZ46" s="308">
        <v>0</v>
      </c>
      <c r="EA46" s="308">
        <v>0</v>
      </c>
      <c r="EB46" s="308">
        <v>0</v>
      </c>
      <c r="EC46" s="308">
        <v>0</v>
      </c>
      <c r="ED46" s="308">
        <v>0</v>
      </c>
      <c r="EE46" s="308">
        <v>0</v>
      </c>
      <c r="EF46" s="308">
        <v>2.3331596698950001</v>
      </c>
      <c r="EG46" s="308">
        <v>0</v>
      </c>
      <c r="EH46" s="308">
        <v>0</v>
      </c>
      <c r="EI46" s="308">
        <v>0.98609088910742004</v>
      </c>
      <c r="EJ46" s="308">
        <v>9.6999770847580005E-2</v>
      </c>
      <c r="EK46" s="308">
        <v>-0.74905005460903995</v>
      </c>
      <c r="EL46" s="308">
        <v>2.3331596698949899</v>
      </c>
      <c r="EM46" s="308">
        <v>0</v>
      </c>
      <c r="EN46" s="308">
        <v>0</v>
      </c>
      <c r="EO46" s="308">
        <v>0.98609088910742004</v>
      </c>
      <c r="EP46" s="308">
        <v>0</v>
      </c>
      <c r="EQ46" s="308">
        <v>-0.74905005460903995</v>
      </c>
      <c r="ER46" s="308">
        <v>0</v>
      </c>
      <c r="ES46" s="308">
        <v>0</v>
      </c>
      <c r="ET46" s="308">
        <v>0</v>
      </c>
      <c r="EU46" s="308">
        <v>0</v>
      </c>
      <c r="EV46" s="308">
        <v>0</v>
      </c>
      <c r="EW46" s="308">
        <v>0</v>
      </c>
      <c r="EX46" s="308">
        <v>0</v>
      </c>
      <c r="EY46" s="308">
        <v>0</v>
      </c>
      <c r="EZ46" s="308">
        <v>0</v>
      </c>
      <c r="FA46" s="308">
        <v>0</v>
      </c>
      <c r="FB46" s="308">
        <v>0</v>
      </c>
      <c r="FC46" s="308">
        <v>0</v>
      </c>
      <c r="FD46" s="308">
        <v>0</v>
      </c>
      <c r="FE46" s="308">
        <v>0</v>
      </c>
      <c r="FF46" s="308">
        <v>0</v>
      </c>
      <c r="FG46" s="308">
        <v>0</v>
      </c>
      <c r="FH46" s="308">
        <v>0</v>
      </c>
      <c r="FI46" s="308">
        <v>0</v>
      </c>
      <c r="FJ46" s="308">
        <v>0</v>
      </c>
      <c r="FK46" s="308">
        <v>0</v>
      </c>
      <c r="FL46" s="308">
        <v>0</v>
      </c>
      <c r="FM46" s="308">
        <v>0</v>
      </c>
      <c r="FN46" s="308">
        <v>0</v>
      </c>
      <c r="FO46" s="308">
        <v>0</v>
      </c>
      <c r="FP46" s="308">
        <v>0</v>
      </c>
      <c r="FQ46" s="308">
        <v>0</v>
      </c>
      <c r="FR46" s="308">
        <v>0</v>
      </c>
      <c r="FS46" s="308">
        <v>0</v>
      </c>
      <c r="FT46" s="308">
        <v>0</v>
      </c>
      <c r="FU46" s="308">
        <v>0</v>
      </c>
      <c r="FV46" s="308">
        <v>0</v>
      </c>
      <c r="FW46" s="308">
        <v>0</v>
      </c>
      <c r="FX46" s="308">
        <v>0</v>
      </c>
      <c r="FY46" s="308">
        <v>0</v>
      </c>
      <c r="FZ46" s="308">
        <v>0</v>
      </c>
      <c r="GA46" s="308">
        <v>0</v>
      </c>
      <c r="GB46" s="308">
        <v>0</v>
      </c>
      <c r="GC46" s="308">
        <v>0</v>
      </c>
      <c r="GD46" s="308">
        <v>0</v>
      </c>
      <c r="GE46" s="308">
        <v>0</v>
      </c>
      <c r="GF46" s="308">
        <v>0</v>
      </c>
      <c r="GG46" s="308">
        <v>0</v>
      </c>
      <c r="GH46" s="308">
        <v>-55.82</v>
      </c>
      <c r="GI46" s="308">
        <v>-11.99</v>
      </c>
      <c r="GJ46" s="308">
        <v>-19.61</v>
      </c>
      <c r="GK46" s="308">
        <v>-12.92</v>
      </c>
      <c r="GL46" s="308">
        <v>4.6060068064949999E-2</v>
      </c>
      <c r="GM46" s="308">
        <v>-3.91</v>
      </c>
      <c r="GN46" s="308">
        <v>0</v>
      </c>
      <c r="GO46" s="308">
        <v>0</v>
      </c>
      <c r="GP46" s="308">
        <v>0</v>
      </c>
      <c r="GQ46" s="308">
        <v>0</v>
      </c>
      <c r="GR46" s="308">
        <v>0</v>
      </c>
      <c r="GS46" s="308">
        <v>0</v>
      </c>
      <c r="GT46" s="308">
        <v>0</v>
      </c>
      <c r="GU46" s="308">
        <v>0</v>
      </c>
      <c r="GV46" s="308">
        <v>0</v>
      </c>
      <c r="GW46" s="308">
        <v>0</v>
      </c>
      <c r="GX46" s="308">
        <v>0</v>
      </c>
      <c r="GY46" s="308">
        <v>0</v>
      </c>
      <c r="GZ46" s="308">
        <v>0</v>
      </c>
      <c r="HA46" s="308">
        <v>0</v>
      </c>
      <c r="HB46" s="308">
        <v>0</v>
      </c>
      <c r="HC46" s="308">
        <v>0</v>
      </c>
      <c r="HD46" s="308">
        <v>0</v>
      </c>
      <c r="HE46" s="308">
        <v>0</v>
      </c>
      <c r="HF46" s="308">
        <v>0</v>
      </c>
      <c r="HG46" s="308">
        <v>0</v>
      </c>
      <c r="HH46" s="308">
        <v>0</v>
      </c>
      <c r="HI46" s="308">
        <v>0</v>
      </c>
      <c r="HJ46" s="308">
        <v>0</v>
      </c>
      <c r="HK46" s="308">
        <v>0</v>
      </c>
      <c r="HL46" s="308">
        <v>-0.6</v>
      </c>
      <c r="HM46" s="308">
        <v>0</v>
      </c>
      <c r="HN46" s="308">
        <v>0</v>
      </c>
      <c r="HO46" s="308">
        <v>0</v>
      </c>
      <c r="HP46" s="308">
        <v>0</v>
      </c>
      <c r="HQ46" s="308">
        <v>-3.1108822695035498</v>
      </c>
      <c r="HR46" s="308">
        <v>0.1</v>
      </c>
      <c r="HS46" s="308">
        <v>0</v>
      </c>
      <c r="HT46" s="308">
        <v>0</v>
      </c>
      <c r="HU46" s="308">
        <v>0</v>
      </c>
      <c r="HV46" s="308">
        <v>0</v>
      </c>
      <c r="HW46" s="308">
        <v>0.23</v>
      </c>
      <c r="HX46" s="308">
        <v>-9.0767508396599993E-3</v>
      </c>
      <c r="HY46" s="308">
        <v>0</v>
      </c>
      <c r="HZ46" s="308">
        <v>0</v>
      </c>
      <c r="IA46" s="308">
        <v>-2.3954794799700002E-3</v>
      </c>
      <c r="IB46" s="308">
        <v>0</v>
      </c>
      <c r="IC46" s="308">
        <v>-0.47</v>
      </c>
      <c r="ID46" s="308">
        <v>0</v>
      </c>
      <c r="IE46" s="308">
        <v>0</v>
      </c>
      <c r="IF46" s="308">
        <v>0</v>
      </c>
      <c r="IG46" s="308">
        <v>0</v>
      </c>
      <c r="IH46" s="308">
        <v>0</v>
      </c>
      <c r="II46" s="308">
        <v>0</v>
      </c>
      <c r="IJ46" s="308">
        <v>0</v>
      </c>
      <c r="IK46" s="308">
        <v>0</v>
      </c>
      <c r="IL46" s="308">
        <v>0</v>
      </c>
      <c r="IM46" s="308">
        <v>0</v>
      </c>
      <c r="IN46" s="308">
        <v>0</v>
      </c>
      <c r="IO46" s="308">
        <v>0</v>
      </c>
      <c r="IP46" s="308">
        <v>-55.82</v>
      </c>
      <c r="IQ46" s="308">
        <v>-11.99</v>
      </c>
      <c r="IR46" s="308">
        <v>-19.61</v>
      </c>
      <c r="IS46" s="308">
        <v>-12.92</v>
      </c>
      <c r="IT46" s="308">
        <v>-1.07225369578546</v>
      </c>
      <c r="IU46" s="308">
        <v>-0.59</v>
      </c>
      <c r="IV46" s="308">
        <v>-0.12913436945737</v>
      </c>
      <c r="IW46" s="308">
        <v>0</v>
      </c>
      <c r="IX46" s="308">
        <v>0</v>
      </c>
      <c r="IY46" s="308">
        <v>0</v>
      </c>
      <c r="IZ46" s="308">
        <v>-0.75737307686747002</v>
      </c>
      <c r="JA46" s="308">
        <v>0</v>
      </c>
      <c r="JB46" s="308">
        <v>-0.15496124334884001</v>
      </c>
      <c r="JC46" s="308">
        <v>0</v>
      </c>
      <c r="JD46" s="308">
        <v>0</v>
      </c>
      <c r="JE46" s="308">
        <v>0</v>
      </c>
      <c r="JF46" s="308">
        <v>-1.39367584496439</v>
      </c>
      <c r="JG46" s="308">
        <v>0</v>
      </c>
      <c r="JH46" s="308">
        <v>0</v>
      </c>
      <c r="JI46" s="308">
        <v>0</v>
      </c>
      <c r="JJ46" s="308">
        <v>0</v>
      </c>
      <c r="JK46" s="308">
        <v>0</v>
      </c>
      <c r="JL46" s="308">
        <v>0</v>
      </c>
      <c r="JM46" s="308">
        <v>0</v>
      </c>
      <c r="JN46" s="308">
        <v>-0.15496124334885</v>
      </c>
      <c r="JO46" s="308">
        <v>0</v>
      </c>
      <c r="JP46" s="308">
        <v>0</v>
      </c>
      <c r="JQ46" s="308">
        <v>0</v>
      </c>
      <c r="JR46" s="308">
        <v>-1.3435541332540599</v>
      </c>
      <c r="JS46" s="308">
        <v>0</v>
      </c>
      <c r="JT46" s="308">
        <v>-55.82</v>
      </c>
      <c r="JU46" s="308">
        <v>-11.99</v>
      </c>
      <c r="JV46" s="308">
        <v>-19.61</v>
      </c>
      <c r="JW46" s="308">
        <v>-12.92</v>
      </c>
      <c r="JX46" s="308">
        <v>-0.84497718120804999</v>
      </c>
      <c r="JY46" s="308">
        <v>-0.9</v>
      </c>
      <c r="JZ46" s="308">
        <v>0</v>
      </c>
      <c r="KA46" s="308">
        <v>0</v>
      </c>
      <c r="KB46" s="308">
        <v>0</v>
      </c>
      <c r="KC46" s="308">
        <v>0</v>
      </c>
      <c r="KD46" s="308">
        <v>0</v>
      </c>
      <c r="KE46" s="308">
        <v>0</v>
      </c>
      <c r="KF46" s="308">
        <v>0</v>
      </c>
      <c r="KG46" s="308">
        <v>0</v>
      </c>
      <c r="KH46" s="308">
        <v>0</v>
      </c>
      <c r="KI46" s="308">
        <v>0</v>
      </c>
      <c r="KJ46" s="308">
        <v>0</v>
      </c>
      <c r="KK46" s="308">
        <v>0</v>
      </c>
      <c r="KL46" s="308">
        <v>0</v>
      </c>
      <c r="KM46" s="308">
        <v>0</v>
      </c>
      <c r="KN46" s="308">
        <v>0</v>
      </c>
      <c r="KO46" s="308">
        <v>0</v>
      </c>
      <c r="KP46" s="308">
        <v>0</v>
      </c>
      <c r="KQ46" s="308">
        <v>0</v>
      </c>
      <c r="KR46" s="308">
        <v>0</v>
      </c>
      <c r="KS46" s="308">
        <v>0</v>
      </c>
      <c r="KT46" s="308">
        <v>0</v>
      </c>
      <c r="KU46" s="308">
        <v>0</v>
      </c>
      <c r="KV46" s="308">
        <v>0</v>
      </c>
      <c r="KW46" s="308">
        <v>0</v>
      </c>
      <c r="KX46" s="308">
        <v>1.0046888903139199</v>
      </c>
      <c r="KY46" s="308">
        <v>0.16710577309979999</v>
      </c>
      <c r="KZ46" s="308">
        <v>-0.20275762945598999</v>
      </c>
      <c r="LA46" s="308">
        <v>1.2390474038300001E-2</v>
      </c>
      <c r="LB46" s="308">
        <v>-5.5329298001249999E-2</v>
      </c>
      <c r="LC46" s="308">
        <v>-0.44750344212965998</v>
      </c>
      <c r="LD46" s="308">
        <v>-2.6800558377699998E-3</v>
      </c>
      <c r="LE46" s="308">
        <v>0</v>
      </c>
      <c r="LF46" s="308">
        <v>0</v>
      </c>
      <c r="LG46" s="308">
        <v>0</v>
      </c>
      <c r="LH46" s="308">
        <v>4.3345790606010001E-2</v>
      </c>
      <c r="LI46" s="308">
        <v>0</v>
      </c>
      <c r="LJ46" s="308">
        <v>0</v>
      </c>
      <c r="LK46" s="308">
        <v>0</v>
      </c>
      <c r="LL46" s="308">
        <v>0</v>
      </c>
      <c r="LM46" s="308">
        <v>0</v>
      </c>
      <c r="LN46" s="308">
        <v>0.14138326334163001</v>
      </c>
      <c r="LO46" s="308">
        <v>-6.76163329988798</v>
      </c>
      <c r="LP46" s="308">
        <v>0.12020443037641</v>
      </c>
      <c r="LQ46" s="308">
        <v>0</v>
      </c>
      <c r="LR46" s="308">
        <v>0</v>
      </c>
      <c r="LS46" s="308">
        <v>0</v>
      </c>
      <c r="LT46" s="308">
        <v>0</v>
      </c>
      <c r="LU46" s="308">
        <v>-3.11</v>
      </c>
      <c r="LV46" s="308">
        <v>6.8506595710599999E-3</v>
      </c>
      <c r="LW46" s="308">
        <v>0</v>
      </c>
      <c r="LX46" s="308">
        <v>0</v>
      </c>
      <c r="LY46" s="308">
        <v>0</v>
      </c>
      <c r="LZ46" s="308">
        <v>0</v>
      </c>
      <c r="MA46" s="308">
        <v>-0.43889541996992998</v>
      </c>
      <c r="MB46" s="308">
        <v>0</v>
      </c>
      <c r="MC46" s="308">
        <v>0</v>
      </c>
      <c r="MD46" s="308">
        <v>0</v>
      </c>
      <c r="ME46" s="308">
        <v>0</v>
      </c>
      <c r="MF46" s="308">
        <v>0</v>
      </c>
      <c r="MG46" s="308">
        <v>0</v>
      </c>
    </row>
    <row r="47" spans="1:345" ht="18" customHeight="1">
      <c r="A47" s="330" t="s">
        <v>281</v>
      </c>
      <c r="B47" s="243">
        <v>0.5</v>
      </c>
      <c r="C47" s="243">
        <v>0.19999999999999998</v>
      </c>
      <c r="D47" s="243">
        <v>0.19999999999999998</v>
      </c>
      <c r="E47" s="244">
        <v>100.05590062111801</v>
      </c>
      <c r="F47" s="245">
        <v>-1</v>
      </c>
      <c r="G47" s="245">
        <v>-5.5</v>
      </c>
      <c r="H47" s="245">
        <v>-5.5</v>
      </c>
      <c r="I47" s="244">
        <v>1458.7130772690623</v>
      </c>
      <c r="J47" s="246">
        <v>12</v>
      </c>
      <c r="K47" s="246"/>
      <c r="L47" s="247">
        <v>0.26999999999999996</v>
      </c>
      <c r="M47" s="247">
        <v>0.29999999999999993</v>
      </c>
      <c r="N47" s="247">
        <v>0.29999999999999993</v>
      </c>
      <c r="O47" s="245">
        <v>0.2</v>
      </c>
      <c r="P47" s="245">
        <v>0</v>
      </c>
      <c r="Q47" s="245">
        <v>99.3</v>
      </c>
      <c r="R47" s="245">
        <v>0.5</v>
      </c>
      <c r="S47" s="250">
        <v>0</v>
      </c>
      <c r="T47" s="250">
        <v>1</v>
      </c>
      <c r="U47" s="250">
        <v>1</v>
      </c>
      <c r="V47" s="250">
        <v>1</v>
      </c>
      <c r="W47" s="250">
        <v>1</v>
      </c>
      <c r="X47" s="250">
        <v>1</v>
      </c>
      <c r="Y47" s="244"/>
      <c r="Z47" s="248"/>
      <c r="AA47" s="244"/>
      <c r="AB47" s="247"/>
      <c r="AC47" s="247"/>
      <c r="AD47" s="247"/>
      <c r="AE47" s="251"/>
      <c r="AF47" s="251"/>
      <c r="AG47" s="249"/>
      <c r="AH47" s="249"/>
      <c r="AI47" s="249"/>
      <c r="AJ47" s="249"/>
      <c r="AK47" s="249"/>
      <c r="AL47" s="249"/>
      <c r="AM47" s="249"/>
      <c r="AN47" s="249"/>
      <c r="AO47" s="249"/>
      <c r="AP47" s="249"/>
      <c r="AQ47" s="249"/>
      <c r="AR47" s="249"/>
      <c r="AS47" s="249"/>
      <c r="AT47" s="249"/>
      <c r="AU47" s="249"/>
      <c r="AV47" s="247">
        <v>1</v>
      </c>
      <c r="AW47" s="247">
        <v>1</v>
      </c>
      <c r="AX47" s="247">
        <v>1</v>
      </c>
      <c r="AY47" s="247">
        <v>1</v>
      </c>
      <c r="AZ47" s="247">
        <v>1</v>
      </c>
      <c r="BA47" s="246"/>
      <c r="BB47" s="244"/>
      <c r="BC47" s="244"/>
      <c r="BD47" s="247"/>
      <c r="BE47" s="247"/>
      <c r="BF47" s="247"/>
      <c r="BG47" s="246"/>
      <c r="BH47" s="246"/>
      <c r="BI47" s="244"/>
      <c r="BJ47" s="247"/>
      <c r="BK47" s="247"/>
      <c r="BL47" s="247"/>
      <c r="BM47" s="244"/>
      <c r="BN47" s="246"/>
      <c r="BO47" s="246"/>
      <c r="BP47" s="247"/>
      <c r="BQ47" s="247"/>
      <c r="BR47" s="247"/>
      <c r="BS47" s="247">
        <v>1</v>
      </c>
      <c r="BT47" s="247">
        <v>1</v>
      </c>
      <c r="BU47" s="247">
        <v>1</v>
      </c>
      <c r="BV47" s="247">
        <v>1</v>
      </c>
      <c r="BW47" s="247">
        <v>1</v>
      </c>
      <c r="BX47" s="244"/>
      <c r="BY47" s="244"/>
      <c r="BZ47" s="247"/>
      <c r="CA47" s="247"/>
      <c r="CB47" s="247"/>
      <c r="CC47" s="247">
        <v>1</v>
      </c>
      <c r="CD47" s="247">
        <v>1</v>
      </c>
      <c r="CE47" s="247">
        <v>1</v>
      </c>
      <c r="CF47" s="247">
        <v>1</v>
      </c>
      <c r="CG47" s="247">
        <v>1</v>
      </c>
      <c r="CH47" s="244"/>
      <c r="CI47" s="244"/>
      <c r="CJ47" s="247"/>
      <c r="CK47" s="247"/>
      <c r="CL47" s="247"/>
      <c r="CM47" s="247">
        <v>1</v>
      </c>
      <c r="CN47" s="247">
        <v>1</v>
      </c>
      <c r="CO47" s="247">
        <v>1</v>
      </c>
      <c r="CP47" s="247">
        <v>1</v>
      </c>
      <c r="CQ47" s="247">
        <v>1</v>
      </c>
      <c r="CR47" s="244"/>
      <c r="CS47" s="244"/>
      <c r="CT47" s="247"/>
      <c r="CU47" s="247"/>
      <c r="CV47" s="247"/>
      <c r="CW47" s="247">
        <v>1</v>
      </c>
      <c r="CX47" s="247">
        <v>1</v>
      </c>
      <c r="CY47" s="247">
        <v>1</v>
      </c>
      <c r="CZ47" s="247">
        <v>1</v>
      </c>
      <c r="DA47" s="247">
        <v>1</v>
      </c>
      <c r="DB47" s="247">
        <v>-548379.96591493534</v>
      </c>
      <c r="DC47" s="247">
        <v>-5.6057976196632886E-2</v>
      </c>
      <c r="DD47" s="247">
        <v>2.3169596365813168</v>
      </c>
      <c r="DE47" s="247">
        <v>2.3169596365813168</v>
      </c>
      <c r="DF47" s="247">
        <v>163008.86814203212</v>
      </c>
      <c r="DG47" s="247">
        <v>1.1935164277488752</v>
      </c>
      <c r="DH47" s="247">
        <v>0.16969509809525718</v>
      </c>
      <c r="DI47" s="247">
        <v>0.16969509809525718</v>
      </c>
      <c r="DJ47" s="247">
        <v>16971.749140328644</v>
      </c>
      <c r="DK47" s="247">
        <v>-0.49105974754584114</v>
      </c>
      <c r="DL47" s="247">
        <v>4.5777144812553239E-2</v>
      </c>
      <c r="DM47" s="247">
        <v>4.5777144812553239E-2</v>
      </c>
      <c r="DN47" s="247">
        <v>24937.229909639544</v>
      </c>
      <c r="DO47" s="247">
        <v>-0.5728508462310099</v>
      </c>
      <c r="DP47" s="247">
        <v>-0.31928389463363738</v>
      </c>
      <c r="DQ47" s="247">
        <v>-0.31928389463363738</v>
      </c>
      <c r="DR47" s="247">
        <v>46903.788460051932</v>
      </c>
      <c r="DS47" s="247">
        <v>-0.10286391912811554</v>
      </c>
      <c r="DT47" s="247">
        <v>-1.2470099209330618</v>
      </c>
      <c r="DU47" s="247">
        <v>-1.2470099209330618</v>
      </c>
      <c r="DV47" s="247">
        <v>-111907.03951127999</v>
      </c>
      <c r="DW47" s="247">
        <v>-1.0698418934196872</v>
      </c>
      <c r="DX47" s="247">
        <v>-1.6571095904057032</v>
      </c>
      <c r="DY47" s="247">
        <v>-1.6571095904057032</v>
      </c>
      <c r="DZ47" s="308">
        <v>0</v>
      </c>
      <c r="EA47" s="308">
        <v>0</v>
      </c>
      <c r="EB47" s="308">
        <v>0</v>
      </c>
      <c r="EC47" s="308">
        <v>0</v>
      </c>
      <c r="ED47" s="308">
        <v>0</v>
      </c>
      <c r="EE47" s="308">
        <v>0</v>
      </c>
      <c r="EF47" s="308">
        <v>2.3331596698950001</v>
      </c>
      <c r="EG47" s="308">
        <v>0</v>
      </c>
      <c r="EH47" s="308">
        <v>0</v>
      </c>
      <c r="EI47" s="308">
        <v>0.98609088910742004</v>
      </c>
      <c r="EJ47" s="308">
        <v>9.6999770847580005E-2</v>
      </c>
      <c r="EK47" s="308">
        <v>-0.74905005460903995</v>
      </c>
      <c r="EL47" s="308">
        <v>2.3331596698949899</v>
      </c>
      <c r="EM47" s="308">
        <v>0</v>
      </c>
      <c r="EN47" s="308">
        <v>0</v>
      </c>
      <c r="EO47" s="308">
        <v>0.98609088910742004</v>
      </c>
      <c r="EP47" s="308">
        <v>0</v>
      </c>
      <c r="EQ47" s="308">
        <v>-0.74905005460903995</v>
      </c>
      <c r="ER47" s="308">
        <v>0</v>
      </c>
      <c r="ES47" s="308">
        <v>0</v>
      </c>
      <c r="ET47" s="308">
        <v>0</v>
      </c>
      <c r="EU47" s="308">
        <v>0</v>
      </c>
      <c r="EV47" s="308">
        <v>0</v>
      </c>
      <c r="EW47" s="308">
        <v>0</v>
      </c>
      <c r="EX47" s="308">
        <v>0</v>
      </c>
      <c r="EY47" s="308">
        <v>0</v>
      </c>
      <c r="EZ47" s="308">
        <v>0</v>
      </c>
      <c r="FA47" s="308">
        <v>0</v>
      </c>
      <c r="FB47" s="308">
        <v>0</v>
      </c>
      <c r="FC47" s="308">
        <v>0</v>
      </c>
      <c r="FD47" s="308">
        <v>0</v>
      </c>
      <c r="FE47" s="308">
        <v>0</v>
      </c>
      <c r="FF47" s="308">
        <v>0</v>
      </c>
      <c r="FG47" s="308">
        <v>0</v>
      </c>
      <c r="FH47" s="308">
        <v>0</v>
      </c>
      <c r="FI47" s="308">
        <v>0</v>
      </c>
      <c r="FJ47" s="308">
        <v>0</v>
      </c>
      <c r="FK47" s="308">
        <v>0</v>
      </c>
      <c r="FL47" s="308">
        <v>0</v>
      </c>
      <c r="FM47" s="308">
        <v>0</v>
      </c>
      <c r="FN47" s="308">
        <v>0</v>
      </c>
      <c r="FO47" s="308">
        <v>0</v>
      </c>
      <c r="FP47" s="308">
        <v>0</v>
      </c>
      <c r="FQ47" s="308">
        <v>0</v>
      </c>
      <c r="FR47" s="308">
        <v>0</v>
      </c>
      <c r="FS47" s="308">
        <v>0</v>
      </c>
      <c r="FT47" s="308">
        <v>0</v>
      </c>
      <c r="FU47" s="308">
        <v>0</v>
      </c>
      <c r="FV47" s="308">
        <v>0</v>
      </c>
      <c r="FW47" s="308">
        <v>0</v>
      </c>
      <c r="FX47" s="308">
        <v>0</v>
      </c>
      <c r="FY47" s="308">
        <v>0</v>
      </c>
      <c r="FZ47" s="308">
        <v>0</v>
      </c>
      <c r="GA47" s="308">
        <v>0</v>
      </c>
      <c r="GB47" s="308">
        <v>0</v>
      </c>
      <c r="GC47" s="308">
        <v>0</v>
      </c>
      <c r="GD47" s="308">
        <v>0</v>
      </c>
      <c r="GE47" s="308">
        <v>0</v>
      </c>
      <c r="GF47" s="308">
        <v>0</v>
      </c>
      <c r="GG47" s="308">
        <v>0</v>
      </c>
      <c r="GH47" s="308">
        <v>-55.82</v>
      </c>
      <c r="GI47" s="308">
        <v>-11.99</v>
      </c>
      <c r="GJ47" s="308">
        <v>-19.61</v>
      </c>
      <c r="GK47" s="308">
        <v>-12.92</v>
      </c>
      <c r="GL47" s="308">
        <v>4.6060068064949999E-2</v>
      </c>
      <c r="GM47" s="308">
        <v>-3.91</v>
      </c>
      <c r="GN47" s="308">
        <v>0</v>
      </c>
      <c r="GO47" s="308">
        <v>0</v>
      </c>
      <c r="GP47" s="308">
        <v>0</v>
      </c>
      <c r="GQ47" s="308">
        <v>0</v>
      </c>
      <c r="GR47" s="308">
        <v>0</v>
      </c>
      <c r="GS47" s="308">
        <v>0</v>
      </c>
      <c r="GT47" s="308">
        <v>0</v>
      </c>
      <c r="GU47" s="308">
        <v>0</v>
      </c>
      <c r="GV47" s="308">
        <v>0</v>
      </c>
      <c r="GW47" s="308">
        <v>0</v>
      </c>
      <c r="GX47" s="308">
        <v>0</v>
      </c>
      <c r="GY47" s="308">
        <v>0</v>
      </c>
      <c r="GZ47" s="308">
        <v>0</v>
      </c>
      <c r="HA47" s="308">
        <v>0</v>
      </c>
      <c r="HB47" s="308">
        <v>0</v>
      </c>
      <c r="HC47" s="308">
        <v>0</v>
      </c>
      <c r="HD47" s="308">
        <v>0</v>
      </c>
      <c r="HE47" s="308">
        <v>0</v>
      </c>
      <c r="HF47" s="308">
        <v>0</v>
      </c>
      <c r="HG47" s="308">
        <v>0</v>
      </c>
      <c r="HH47" s="308">
        <v>0</v>
      </c>
      <c r="HI47" s="308">
        <v>0</v>
      </c>
      <c r="HJ47" s="308">
        <v>0</v>
      </c>
      <c r="HK47" s="308">
        <v>0</v>
      </c>
      <c r="HL47" s="308">
        <v>-0.6</v>
      </c>
      <c r="HM47" s="308">
        <v>0</v>
      </c>
      <c r="HN47" s="308">
        <v>0</v>
      </c>
      <c r="HO47" s="308">
        <v>0</v>
      </c>
      <c r="HP47" s="308">
        <v>0</v>
      </c>
      <c r="HQ47" s="308">
        <v>-3.1108822695035498</v>
      </c>
      <c r="HR47" s="308">
        <v>0.1</v>
      </c>
      <c r="HS47" s="308">
        <v>0</v>
      </c>
      <c r="HT47" s="308">
        <v>0</v>
      </c>
      <c r="HU47" s="308">
        <v>0</v>
      </c>
      <c r="HV47" s="308">
        <v>0</v>
      </c>
      <c r="HW47" s="308">
        <v>0.23</v>
      </c>
      <c r="HX47" s="308">
        <v>-9.0767508396599993E-3</v>
      </c>
      <c r="HY47" s="308">
        <v>0</v>
      </c>
      <c r="HZ47" s="308">
        <v>0</v>
      </c>
      <c r="IA47" s="308">
        <v>-2.3954794799700002E-3</v>
      </c>
      <c r="IB47" s="308">
        <v>0</v>
      </c>
      <c r="IC47" s="308">
        <v>-0.47</v>
      </c>
      <c r="ID47" s="308">
        <v>0</v>
      </c>
      <c r="IE47" s="308">
        <v>0</v>
      </c>
      <c r="IF47" s="308">
        <v>0</v>
      </c>
      <c r="IG47" s="308">
        <v>0</v>
      </c>
      <c r="IH47" s="308">
        <v>0</v>
      </c>
      <c r="II47" s="308">
        <v>0</v>
      </c>
      <c r="IJ47" s="308">
        <v>0</v>
      </c>
      <c r="IK47" s="308">
        <v>0</v>
      </c>
      <c r="IL47" s="308">
        <v>0</v>
      </c>
      <c r="IM47" s="308">
        <v>0</v>
      </c>
      <c r="IN47" s="308">
        <v>0</v>
      </c>
      <c r="IO47" s="308">
        <v>0</v>
      </c>
      <c r="IP47" s="308">
        <v>-55.82</v>
      </c>
      <c r="IQ47" s="308">
        <v>-11.99</v>
      </c>
      <c r="IR47" s="308">
        <v>-19.61</v>
      </c>
      <c r="IS47" s="308">
        <v>-12.92</v>
      </c>
      <c r="IT47" s="308">
        <v>-1.07225369578546</v>
      </c>
      <c r="IU47" s="308">
        <v>-0.59</v>
      </c>
      <c r="IV47" s="308">
        <v>-0.12913436945737</v>
      </c>
      <c r="IW47" s="308">
        <v>0</v>
      </c>
      <c r="IX47" s="308">
        <v>0</v>
      </c>
      <c r="IY47" s="308">
        <v>0</v>
      </c>
      <c r="IZ47" s="308">
        <v>-0.75737307686747002</v>
      </c>
      <c r="JA47" s="308">
        <v>0</v>
      </c>
      <c r="JB47" s="308">
        <v>-0.15496124334884001</v>
      </c>
      <c r="JC47" s="308">
        <v>0</v>
      </c>
      <c r="JD47" s="308">
        <v>0</v>
      </c>
      <c r="JE47" s="308">
        <v>0</v>
      </c>
      <c r="JF47" s="308">
        <v>-1.39367584496439</v>
      </c>
      <c r="JG47" s="308">
        <v>0</v>
      </c>
      <c r="JH47" s="308">
        <v>0</v>
      </c>
      <c r="JI47" s="308">
        <v>0</v>
      </c>
      <c r="JJ47" s="308">
        <v>0</v>
      </c>
      <c r="JK47" s="308">
        <v>0</v>
      </c>
      <c r="JL47" s="308">
        <v>0</v>
      </c>
      <c r="JM47" s="308">
        <v>0</v>
      </c>
      <c r="JN47" s="308">
        <v>-0.15496124334885</v>
      </c>
      <c r="JO47" s="308">
        <v>0</v>
      </c>
      <c r="JP47" s="308">
        <v>0</v>
      </c>
      <c r="JQ47" s="308">
        <v>0</v>
      </c>
      <c r="JR47" s="308">
        <v>-1.3435541332540599</v>
      </c>
      <c r="JS47" s="308">
        <v>0</v>
      </c>
      <c r="JT47" s="308">
        <v>-55.82</v>
      </c>
      <c r="JU47" s="308">
        <v>-11.99</v>
      </c>
      <c r="JV47" s="308">
        <v>-19.61</v>
      </c>
      <c r="JW47" s="308">
        <v>-12.92</v>
      </c>
      <c r="JX47" s="308">
        <v>-0.84497718120804999</v>
      </c>
      <c r="JY47" s="308">
        <v>-0.9</v>
      </c>
      <c r="JZ47" s="308">
        <v>0</v>
      </c>
      <c r="KA47" s="308">
        <v>0</v>
      </c>
      <c r="KB47" s="308">
        <v>0</v>
      </c>
      <c r="KC47" s="308">
        <v>0</v>
      </c>
      <c r="KD47" s="308">
        <v>0</v>
      </c>
      <c r="KE47" s="308">
        <v>0</v>
      </c>
      <c r="KF47" s="308">
        <v>0</v>
      </c>
      <c r="KG47" s="308">
        <v>0</v>
      </c>
      <c r="KH47" s="308">
        <v>0</v>
      </c>
      <c r="KI47" s="308">
        <v>0</v>
      </c>
      <c r="KJ47" s="308">
        <v>0</v>
      </c>
      <c r="KK47" s="308">
        <v>0</v>
      </c>
      <c r="KL47" s="308">
        <v>0</v>
      </c>
      <c r="KM47" s="308">
        <v>0</v>
      </c>
      <c r="KN47" s="308">
        <v>0</v>
      </c>
      <c r="KO47" s="308">
        <v>0</v>
      </c>
      <c r="KP47" s="308">
        <v>0</v>
      </c>
      <c r="KQ47" s="308">
        <v>0</v>
      </c>
      <c r="KR47" s="308">
        <v>0</v>
      </c>
      <c r="KS47" s="308">
        <v>0</v>
      </c>
      <c r="KT47" s="308">
        <v>0</v>
      </c>
      <c r="KU47" s="308">
        <v>0</v>
      </c>
      <c r="KV47" s="308">
        <v>0</v>
      </c>
      <c r="KW47" s="308">
        <v>0</v>
      </c>
      <c r="KX47" s="308">
        <v>1.0046888903139199</v>
      </c>
      <c r="KY47" s="308">
        <v>0.16710577309979999</v>
      </c>
      <c r="KZ47" s="308">
        <v>-0.20275762945598999</v>
      </c>
      <c r="LA47" s="308">
        <v>1.2390474038300001E-2</v>
      </c>
      <c r="LB47" s="308">
        <v>-5.5329298001249999E-2</v>
      </c>
      <c r="LC47" s="308">
        <v>-0.44750344212965998</v>
      </c>
      <c r="LD47" s="308">
        <v>-2.6800558377699998E-3</v>
      </c>
      <c r="LE47" s="308">
        <v>0</v>
      </c>
      <c r="LF47" s="308">
        <v>0</v>
      </c>
      <c r="LG47" s="308">
        <v>0</v>
      </c>
      <c r="LH47" s="308">
        <v>4.3345790606010001E-2</v>
      </c>
      <c r="LI47" s="308">
        <v>0</v>
      </c>
      <c r="LJ47" s="308">
        <v>0</v>
      </c>
      <c r="LK47" s="308">
        <v>0</v>
      </c>
      <c r="LL47" s="308">
        <v>0</v>
      </c>
      <c r="LM47" s="308">
        <v>0</v>
      </c>
      <c r="LN47" s="308">
        <v>0.14138326334163001</v>
      </c>
      <c r="LO47" s="308">
        <v>-6.76163329988798</v>
      </c>
      <c r="LP47" s="308">
        <v>0.12020443037641</v>
      </c>
      <c r="LQ47" s="308">
        <v>0</v>
      </c>
      <c r="LR47" s="308">
        <v>0</v>
      </c>
      <c r="LS47" s="308">
        <v>0</v>
      </c>
      <c r="LT47" s="308">
        <v>0</v>
      </c>
      <c r="LU47" s="308">
        <v>-3.11</v>
      </c>
      <c r="LV47" s="308">
        <v>6.8506595710599999E-3</v>
      </c>
      <c r="LW47" s="308">
        <v>0</v>
      </c>
      <c r="LX47" s="308">
        <v>0</v>
      </c>
      <c r="LY47" s="308">
        <v>0</v>
      </c>
      <c r="LZ47" s="308">
        <v>0</v>
      </c>
      <c r="MA47" s="308">
        <v>-0.43889541996992998</v>
      </c>
      <c r="MB47" s="308">
        <v>0</v>
      </c>
      <c r="MC47" s="308">
        <v>0</v>
      </c>
      <c r="MD47" s="308">
        <v>0</v>
      </c>
      <c r="ME47" s="308">
        <v>0</v>
      </c>
      <c r="MF47" s="308">
        <v>0</v>
      </c>
      <c r="MG47" s="308">
        <v>0</v>
      </c>
    </row>
    <row r="48" spans="1:345" ht="18" customHeight="1">
      <c r="A48" s="330" t="s">
        <v>279</v>
      </c>
      <c r="B48" s="309">
        <v>0.5</v>
      </c>
      <c r="C48" s="309">
        <v>0.5</v>
      </c>
      <c r="D48" s="309">
        <v>0.5</v>
      </c>
      <c r="E48" s="244">
        <v>259.61373390557941</v>
      </c>
      <c r="F48" s="310">
        <v>-5.8</v>
      </c>
      <c r="G48" s="310">
        <v>-1.5</v>
      </c>
      <c r="H48" s="310">
        <v>-1.5</v>
      </c>
      <c r="I48" s="244">
        <v>541.70374958491891</v>
      </c>
      <c r="J48" s="246">
        <v>12</v>
      </c>
      <c r="K48" s="246">
        <v>368.29250000000002</v>
      </c>
      <c r="L48" s="311">
        <v>0.3</v>
      </c>
      <c r="M48" s="311">
        <v>0.1</v>
      </c>
      <c r="N48" s="311">
        <v>0.1</v>
      </c>
      <c r="O48" s="310">
        <v>2.5</v>
      </c>
      <c r="P48" s="310">
        <v>0</v>
      </c>
      <c r="Q48" s="310">
        <v>97.5</v>
      </c>
      <c r="R48" s="310">
        <v>0</v>
      </c>
      <c r="S48" s="312">
        <v>0</v>
      </c>
      <c r="T48" s="250">
        <v>1</v>
      </c>
      <c r="U48" s="250">
        <v>1</v>
      </c>
      <c r="V48" s="250">
        <v>1</v>
      </c>
      <c r="W48" s="250">
        <v>1</v>
      </c>
      <c r="X48" s="250">
        <v>1</v>
      </c>
      <c r="Y48" s="244">
        <v>10062.301353275248</v>
      </c>
      <c r="Z48" s="313">
        <v>1.56</v>
      </c>
      <c r="AA48" s="244">
        <v>165.33872261367091</v>
      </c>
      <c r="AB48" s="311">
        <v>0.8</v>
      </c>
      <c r="AC48" s="311">
        <v>0.6</v>
      </c>
      <c r="AD48" s="311">
        <v>0.6</v>
      </c>
      <c r="AE48" s="251">
        <v>0.18084</v>
      </c>
      <c r="AF48" s="251">
        <v>0.17335999999999999</v>
      </c>
      <c r="AG48" s="249"/>
      <c r="AH48" s="249">
        <v>1.202485753233595E-3</v>
      </c>
      <c r="AI48" s="249">
        <v>0.26457534563712537</v>
      </c>
      <c r="AJ48" s="249">
        <v>58.54078480422551</v>
      </c>
      <c r="AK48" s="249">
        <v>1.2708723837944664</v>
      </c>
      <c r="AL48" s="249">
        <v>0.39067812791701684</v>
      </c>
      <c r="AM48" s="249">
        <v>39.231528062568245</v>
      </c>
      <c r="AN48" s="249">
        <v>3.1881694641653864E-2</v>
      </c>
      <c r="AO48" s="249">
        <v>5.1042355788573383E-3</v>
      </c>
      <c r="AP48" s="249">
        <v>3.2910136404287863E-4</v>
      </c>
      <c r="AQ48" s="249"/>
      <c r="AR48" s="249"/>
      <c r="AS48" s="249">
        <v>8.6854280181585475E-2</v>
      </c>
      <c r="AT48" s="249">
        <v>1.0854016141029555E-3</v>
      </c>
      <c r="AU48" s="249">
        <v>0.17510407672416045</v>
      </c>
      <c r="AV48" s="247">
        <v>1</v>
      </c>
      <c r="AW48" s="247">
        <v>1</v>
      </c>
      <c r="AX48" s="247">
        <v>1</v>
      </c>
      <c r="AY48" s="247">
        <v>1</v>
      </c>
      <c r="AZ48" s="247">
        <v>1</v>
      </c>
      <c r="BA48" s="246">
        <v>1.0682498070272575</v>
      </c>
      <c r="BB48" s="246">
        <v>18</v>
      </c>
      <c r="BC48" s="244">
        <f t="shared" ref="BC48:BC50" si="350">BA48*BB48</f>
        <v>19.228496526490634</v>
      </c>
      <c r="BD48" s="311">
        <v>1.1000000000000001</v>
      </c>
      <c r="BE48" s="311">
        <v>0.6</v>
      </c>
      <c r="BF48" s="311">
        <v>0.6</v>
      </c>
      <c r="BG48" s="246">
        <v>0.47705402341217251</v>
      </c>
      <c r="BH48" s="246">
        <v>18</v>
      </c>
      <c r="BI48" s="244">
        <v>8110.3330472103007</v>
      </c>
      <c r="BJ48" s="311">
        <v>1.1000000000000001</v>
      </c>
      <c r="BK48" s="311">
        <v>0.6</v>
      </c>
      <c r="BL48" s="311">
        <v>0.6</v>
      </c>
      <c r="BM48" s="244">
        <v>1020.0468636800275</v>
      </c>
      <c r="BN48" s="246">
        <v>179.9</v>
      </c>
      <c r="BO48" s="246">
        <v>2964.2987982832719</v>
      </c>
      <c r="BP48" s="311">
        <v>1.1000000000000001</v>
      </c>
      <c r="BQ48" s="311">
        <v>0.6</v>
      </c>
      <c r="BR48" s="311">
        <v>0.6</v>
      </c>
      <c r="BS48" s="247">
        <v>1</v>
      </c>
      <c r="BT48" s="247">
        <v>1</v>
      </c>
      <c r="BU48" s="247">
        <v>1</v>
      </c>
      <c r="BV48" s="247">
        <v>1</v>
      </c>
      <c r="BW48" s="247">
        <v>1</v>
      </c>
      <c r="BX48" s="244">
        <v>27.2564358745006</v>
      </c>
      <c r="BY48" s="244">
        <v>7042.8182918455341</v>
      </c>
      <c r="BZ48" s="311">
        <v>1.1000000000000001</v>
      </c>
      <c r="CA48" s="311">
        <v>0.7</v>
      </c>
      <c r="CB48" s="311">
        <v>0.7</v>
      </c>
      <c r="CC48" s="247">
        <v>1</v>
      </c>
      <c r="CD48" s="247">
        <v>1</v>
      </c>
      <c r="CE48" s="247">
        <v>1</v>
      </c>
      <c r="CF48" s="247">
        <v>1</v>
      </c>
      <c r="CG48" s="247">
        <v>1</v>
      </c>
      <c r="CH48" s="244">
        <v>270.36392543224167</v>
      </c>
      <c r="CI48" s="244">
        <v>500</v>
      </c>
      <c r="CJ48" s="247">
        <v>0.9</v>
      </c>
      <c r="CK48" s="247">
        <v>0.8</v>
      </c>
      <c r="CL48" s="247">
        <v>0.8</v>
      </c>
      <c r="CM48" s="247">
        <v>1</v>
      </c>
      <c r="CN48" s="247">
        <v>1</v>
      </c>
      <c r="CO48" s="247">
        <v>1</v>
      </c>
      <c r="CP48" s="247">
        <v>1</v>
      </c>
      <c r="CQ48" s="247">
        <v>1</v>
      </c>
      <c r="CR48" s="244"/>
      <c r="CS48" s="308">
        <v>29</v>
      </c>
      <c r="CT48" s="311">
        <v>0.7</v>
      </c>
      <c r="CU48" s="311">
        <v>0.4</v>
      </c>
      <c r="CV48" s="311">
        <v>0.4</v>
      </c>
      <c r="CW48" s="247">
        <v>1</v>
      </c>
      <c r="CX48" s="247">
        <v>1</v>
      </c>
      <c r="CY48" s="247">
        <v>1</v>
      </c>
      <c r="CZ48" s="247">
        <v>1</v>
      </c>
      <c r="DA48" s="247">
        <v>1</v>
      </c>
      <c r="DB48" s="247"/>
      <c r="DC48" s="247"/>
      <c r="DD48" s="247"/>
      <c r="DE48" s="247"/>
      <c r="DF48" s="247"/>
      <c r="DG48" s="247"/>
      <c r="DH48" s="247"/>
      <c r="DI48" s="247"/>
      <c r="DJ48" s="247"/>
      <c r="DK48" s="247"/>
      <c r="DL48" s="247"/>
      <c r="DM48" s="247"/>
      <c r="DN48" s="247"/>
      <c r="DO48" s="247"/>
      <c r="DP48" s="247"/>
      <c r="DQ48" s="247"/>
      <c r="DR48" s="247"/>
      <c r="DS48" s="247"/>
      <c r="DT48" s="247"/>
      <c r="DU48" s="247"/>
      <c r="DV48" s="247"/>
      <c r="DW48" s="247"/>
      <c r="DX48" s="247"/>
      <c r="DY48" s="247"/>
      <c r="DZ48" s="308">
        <v>200</v>
      </c>
      <c r="EA48" s="308">
        <v>200</v>
      </c>
      <c r="EB48" s="308">
        <v>200</v>
      </c>
      <c r="EC48" s="308">
        <v>200</v>
      </c>
      <c r="ED48" s="308">
        <v>200</v>
      </c>
      <c r="EE48" s="308">
        <v>200</v>
      </c>
      <c r="EF48" s="308">
        <v>200</v>
      </c>
      <c r="EG48" s="308">
        <v>200</v>
      </c>
      <c r="EH48" s="308">
        <v>200</v>
      </c>
      <c r="EI48" s="308">
        <v>200</v>
      </c>
      <c r="EJ48" s="308">
        <v>200</v>
      </c>
      <c r="EK48" s="308">
        <v>200</v>
      </c>
      <c r="EL48" s="308">
        <v>200</v>
      </c>
      <c r="EM48" s="308">
        <v>200</v>
      </c>
      <c r="EN48" s="308">
        <v>200</v>
      </c>
      <c r="EO48" s="308">
        <v>200</v>
      </c>
      <c r="EP48" s="308">
        <v>200</v>
      </c>
      <c r="EQ48" s="308">
        <v>200</v>
      </c>
      <c r="ER48" s="308">
        <v>200</v>
      </c>
      <c r="ES48" s="308">
        <v>200</v>
      </c>
      <c r="ET48" s="308">
        <v>200</v>
      </c>
      <c r="EU48" s="308">
        <v>200</v>
      </c>
      <c r="EV48" s="308">
        <v>200</v>
      </c>
      <c r="EW48" s="308">
        <v>200</v>
      </c>
      <c r="EX48" s="308">
        <v>200</v>
      </c>
      <c r="EY48" s="308">
        <v>200</v>
      </c>
      <c r="EZ48" s="308">
        <v>200</v>
      </c>
      <c r="FA48" s="308">
        <v>200</v>
      </c>
      <c r="FB48" s="308">
        <v>200</v>
      </c>
      <c r="FC48" s="308">
        <v>200</v>
      </c>
      <c r="FD48" s="308">
        <v>200</v>
      </c>
      <c r="FE48" s="308">
        <v>200</v>
      </c>
      <c r="FF48" s="308">
        <v>200</v>
      </c>
      <c r="FG48" s="308">
        <v>200</v>
      </c>
      <c r="FH48" s="308">
        <v>200</v>
      </c>
      <c r="FI48" s="308">
        <v>200</v>
      </c>
      <c r="FJ48" s="308">
        <v>200</v>
      </c>
      <c r="FK48" s="308">
        <v>200</v>
      </c>
      <c r="FL48" s="308">
        <v>200</v>
      </c>
      <c r="FM48" s="308">
        <v>200</v>
      </c>
      <c r="FN48" s="308">
        <v>200</v>
      </c>
      <c r="FO48" s="308">
        <v>200</v>
      </c>
      <c r="FP48" s="308">
        <v>200</v>
      </c>
      <c r="FQ48" s="308">
        <v>200</v>
      </c>
      <c r="FR48" s="308">
        <v>200</v>
      </c>
      <c r="FS48" s="308">
        <v>200</v>
      </c>
      <c r="FT48" s="308">
        <v>200</v>
      </c>
      <c r="FU48" s="308">
        <v>200</v>
      </c>
      <c r="FV48" s="308">
        <v>200</v>
      </c>
      <c r="FW48" s="308">
        <v>200</v>
      </c>
      <c r="FX48" s="308">
        <v>200</v>
      </c>
      <c r="FY48" s="308">
        <v>200</v>
      </c>
      <c r="FZ48" s="308">
        <v>200</v>
      </c>
      <c r="GA48" s="308">
        <v>200</v>
      </c>
      <c r="GB48" s="308">
        <v>200</v>
      </c>
      <c r="GC48" s="308">
        <v>200</v>
      </c>
      <c r="GD48" s="308">
        <v>200</v>
      </c>
      <c r="GE48" s="308">
        <v>200</v>
      </c>
      <c r="GF48" s="308">
        <v>200</v>
      </c>
      <c r="GG48" s="308">
        <v>200</v>
      </c>
      <c r="GH48" s="308">
        <v>200</v>
      </c>
      <c r="GI48" s="308">
        <v>200</v>
      </c>
      <c r="GJ48" s="308">
        <v>200</v>
      </c>
      <c r="GK48" s="308">
        <v>200</v>
      </c>
      <c r="GL48" s="308">
        <v>200</v>
      </c>
      <c r="GM48" s="308">
        <v>200</v>
      </c>
      <c r="GN48" s="308">
        <v>200</v>
      </c>
      <c r="GO48" s="308">
        <v>200</v>
      </c>
      <c r="GP48" s="308">
        <v>200</v>
      </c>
      <c r="GQ48" s="308">
        <v>200</v>
      </c>
      <c r="GR48" s="308">
        <v>200</v>
      </c>
      <c r="GS48" s="308">
        <v>200</v>
      </c>
      <c r="GT48" s="308">
        <v>200</v>
      </c>
      <c r="GU48" s="308">
        <v>200</v>
      </c>
      <c r="GV48" s="308">
        <v>200</v>
      </c>
      <c r="GW48" s="308">
        <v>200</v>
      </c>
      <c r="GX48" s="308">
        <v>200</v>
      </c>
      <c r="GY48" s="308">
        <v>200</v>
      </c>
      <c r="GZ48" s="308">
        <v>200</v>
      </c>
      <c r="HA48" s="308">
        <v>200</v>
      </c>
      <c r="HB48" s="308">
        <v>200</v>
      </c>
      <c r="HC48" s="308">
        <v>200</v>
      </c>
      <c r="HD48" s="308">
        <v>200</v>
      </c>
      <c r="HE48" s="308">
        <v>200</v>
      </c>
      <c r="HF48" s="308">
        <v>200</v>
      </c>
      <c r="HG48" s="308">
        <v>200</v>
      </c>
      <c r="HH48" s="308">
        <v>200</v>
      </c>
      <c r="HI48" s="308">
        <v>200</v>
      </c>
      <c r="HJ48" s="308">
        <v>200</v>
      </c>
      <c r="HK48" s="308">
        <v>200</v>
      </c>
      <c r="HL48" s="308">
        <v>200</v>
      </c>
      <c r="HM48" s="308">
        <v>200</v>
      </c>
      <c r="HN48" s="308">
        <v>200</v>
      </c>
      <c r="HO48" s="308">
        <v>200</v>
      </c>
      <c r="HP48" s="308">
        <v>200</v>
      </c>
      <c r="HQ48" s="308">
        <v>200</v>
      </c>
      <c r="HR48" s="308">
        <v>200</v>
      </c>
      <c r="HS48" s="308">
        <v>200</v>
      </c>
      <c r="HT48" s="308">
        <v>200</v>
      </c>
      <c r="HU48" s="308">
        <v>200</v>
      </c>
      <c r="HV48" s="308">
        <v>200</v>
      </c>
      <c r="HW48" s="308">
        <v>200</v>
      </c>
      <c r="HX48" s="308">
        <v>200</v>
      </c>
      <c r="HY48" s="308">
        <v>200</v>
      </c>
      <c r="HZ48" s="308">
        <v>200</v>
      </c>
      <c r="IA48" s="308">
        <v>200</v>
      </c>
      <c r="IB48" s="308">
        <v>200</v>
      </c>
      <c r="IC48" s="308">
        <v>200</v>
      </c>
      <c r="ID48" s="308">
        <v>200</v>
      </c>
      <c r="IE48" s="308">
        <v>200</v>
      </c>
      <c r="IF48" s="308">
        <v>200</v>
      </c>
      <c r="IG48" s="308">
        <v>200</v>
      </c>
      <c r="IH48" s="308">
        <v>200</v>
      </c>
      <c r="II48" s="308">
        <v>200</v>
      </c>
      <c r="IJ48" s="308">
        <v>200</v>
      </c>
      <c r="IK48" s="308">
        <v>200</v>
      </c>
      <c r="IL48" s="308">
        <v>200</v>
      </c>
      <c r="IM48" s="308">
        <v>200</v>
      </c>
      <c r="IN48" s="308">
        <v>200</v>
      </c>
      <c r="IO48" s="308">
        <v>200</v>
      </c>
      <c r="IP48" s="308">
        <v>200</v>
      </c>
      <c r="IQ48" s="308">
        <v>200</v>
      </c>
      <c r="IR48" s="308">
        <v>200</v>
      </c>
      <c r="IS48" s="308">
        <v>200</v>
      </c>
      <c r="IT48" s="308">
        <v>200</v>
      </c>
      <c r="IU48" s="308">
        <v>200</v>
      </c>
      <c r="IV48" s="308">
        <v>200</v>
      </c>
      <c r="IW48" s="308">
        <v>200</v>
      </c>
      <c r="IX48" s="308">
        <v>200</v>
      </c>
      <c r="IY48" s="308">
        <v>200</v>
      </c>
      <c r="IZ48" s="308">
        <v>200</v>
      </c>
      <c r="JA48" s="308">
        <v>200</v>
      </c>
      <c r="JB48" s="308">
        <v>200</v>
      </c>
      <c r="JC48" s="308">
        <v>200</v>
      </c>
      <c r="JD48" s="308">
        <v>200</v>
      </c>
      <c r="JE48" s="308">
        <v>200</v>
      </c>
      <c r="JF48" s="308">
        <v>200</v>
      </c>
      <c r="JG48" s="308">
        <v>200</v>
      </c>
      <c r="JH48" s="308">
        <v>200</v>
      </c>
      <c r="JI48" s="308">
        <v>200</v>
      </c>
      <c r="JJ48" s="308">
        <v>200</v>
      </c>
      <c r="JK48" s="308">
        <v>200</v>
      </c>
      <c r="JL48" s="308">
        <v>200</v>
      </c>
      <c r="JM48" s="308">
        <v>200</v>
      </c>
      <c r="JN48" s="308">
        <v>200</v>
      </c>
      <c r="JO48" s="308">
        <v>200</v>
      </c>
      <c r="JP48" s="308">
        <v>200</v>
      </c>
      <c r="JQ48" s="308">
        <v>200</v>
      </c>
      <c r="JR48" s="308">
        <v>200</v>
      </c>
      <c r="JS48" s="308">
        <v>200</v>
      </c>
      <c r="JT48" s="308">
        <v>200</v>
      </c>
      <c r="JU48" s="308">
        <v>200</v>
      </c>
      <c r="JV48" s="308">
        <v>200</v>
      </c>
      <c r="JW48" s="308">
        <v>200</v>
      </c>
      <c r="JX48" s="308">
        <v>200</v>
      </c>
      <c r="JY48" s="308">
        <v>200</v>
      </c>
      <c r="JZ48" s="308">
        <v>200</v>
      </c>
      <c r="KA48" s="308">
        <v>200</v>
      </c>
      <c r="KB48" s="308">
        <v>200</v>
      </c>
      <c r="KC48" s="308">
        <v>200</v>
      </c>
      <c r="KD48" s="308">
        <v>200</v>
      </c>
      <c r="KE48" s="308">
        <v>200</v>
      </c>
      <c r="KF48" s="308">
        <v>200</v>
      </c>
      <c r="KG48" s="308">
        <v>200</v>
      </c>
      <c r="KH48" s="308">
        <v>200</v>
      </c>
      <c r="KI48" s="308">
        <v>200</v>
      </c>
      <c r="KJ48" s="308">
        <v>200</v>
      </c>
      <c r="KK48" s="308">
        <v>200</v>
      </c>
      <c r="KL48" s="308">
        <v>200</v>
      </c>
      <c r="KM48" s="308">
        <v>200</v>
      </c>
      <c r="KN48" s="308">
        <v>200</v>
      </c>
      <c r="KO48" s="308">
        <v>200</v>
      </c>
      <c r="KP48" s="308">
        <v>200</v>
      </c>
      <c r="KQ48" s="308">
        <v>200</v>
      </c>
      <c r="KR48" s="308">
        <v>200</v>
      </c>
      <c r="KS48" s="308">
        <v>200</v>
      </c>
      <c r="KT48" s="308">
        <v>200</v>
      </c>
      <c r="KU48" s="308">
        <v>200</v>
      </c>
      <c r="KV48" s="308">
        <v>200</v>
      </c>
      <c r="KW48" s="308">
        <v>200</v>
      </c>
      <c r="KX48" s="308">
        <v>200</v>
      </c>
      <c r="KY48" s="308">
        <v>200</v>
      </c>
      <c r="KZ48" s="308">
        <v>200</v>
      </c>
      <c r="LA48" s="308">
        <v>200</v>
      </c>
      <c r="LB48" s="308">
        <v>200</v>
      </c>
      <c r="LC48" s="308">
        <v>200</v>
      </c>
      <c r="LD48" s="308">
        <v>200</v>
      </c>
      <c r="LE48" s="308">
        <v>200</v>
      </c>
      <c r="LF48" s="308">
        <v>200</v>
      </c>
      <c r="LG48" s="308">
        <v>200</v>
      </c>
      <c r="LH48" s="308">
        <v>200</v>
      </c>
      <c r="LI48" s="308">
        <v>200</v>
      </c>
      <c r="LJ48" s="308">
        <v>200</v>
      </c>
      <c r="LK48" s="308">
        <v>200</v>
      </c>
      <c r="LL48" s="308">
        <v>200</v>
      </c>
      <c r="LM48" s="308">
        <v>200</v>
      </c>
      <c r="LN48" s="308">
        <v>200</v>
      </c>
      <c r="LO48" s="308">
        <v>200</v>
      </c>
      <c r="LP48" s="308">
        <v>200</v>
      </c>
      <c r="LQ48" s="308">
        <v>200</v>
      </c>
      <c r="LR48" s="308">
        <v>200</v>
      </c>
      <c r="LS48" s="308">
        <v>200</v>
      </c>
      <c r="LT48" s="308">
        <v>200</v>
      </c>
      <c r="LU48" s="308">
        <v>200</v>
      </c>
      <c r="LV48" s="308">
        <v>200</v>
      </c>
      <c r="LW48" s="308">
        <v>200</v>
      </c>
      <c r="LX48" s="308">
        <v>200</v>
      </c>
      <c r="LY48" s="308">
        <v>200</v>
      </c>
      <c r="LZ48" s="308">
        <v>200</v>
      </c>
      <c r="MA48" s="308">
        <v>200</v>
      </c>
      <c r="MB48" s="308">
        <v>200</v>
      </c>
      <c r="MC48" s="308">
        <v>200</v>
      </c>
      <c r="MD48" s="308">
        <v>200</v>
      </c>
      <c r="ME48" s="308">
        <v>200</v>
      </c>
      <c r="MF48" s="308">
        <v>200</v>
      </c>
      <c r="MG48" s="308">
        <v>200</v>
      </c>
    </row>
    <row r="49" spans="1:345" ht="18" customHeight="1">
      <c r="A49" s="331" t="s">
        <v>280</v>
      </c>
      <c r="B49" s="15">
        <v>0</v>
      </c>
      <c r="C49" s="15">
        <v>0.4</v>
      </c>
      <c r="D49" s="15">
        <v>0.4</v>
      </c>
      <c r="E49" s="255">
        <v>364.08695652173913</v>
      </c>
      <c r="F49" s="256">
        <v>-1.5</v>
      </c>
      <c r="G49" s="16">
        <v>-3.8</v>
      </c>
      <c r="H49" s="16">
        <v>-3.8</v>
      </c>
      <c r="I49" s="5">
        <v>2124.3106214374661</v>
      </c>
      <c r="J49" s="6">
        <v>12</v>
      </c>
      <c r="K49" s="6">
        <v>368.29970000000003</v>
      </c>
      <c r="L49" s="17">
        <v>0.7</v>
      </c>
      <c r="M49" s="17">
        <v>0.7</v>
      </c>
      <c r="N49" s="17">
        <v>0.7</v>
      </c>
      <c r="O49" s="16">
        <v>0.1</v>
      </c>
      <c r="P49" s="16">
        <v>0</v>
      </c>
      <c r="Q49" s="16">
        <v>99.9</v>
      </c>
      <c r="R49" s="16">
        <v>0</v>
      </c>
      <c r="S49" s="252">
        <v>0</v>
      </c>
      <c r="T49" s="253">
        <v>1</v>
      </c>
      <c r="U49" s="253">
        <v>1</v>
      </c>
      <c r="V49" s="253">
        <v>1</v>
      </c>
      <c r="W49" s="253">
        <v>1</v>
      </c>
      <c r="X49" s="253">
        <v>1</v>
      </c>
      <c r="Y49" s="5">
        <v>11785.626724936825</v>
      </c>
      <c r="Z49" s="14">
        <v>1.5</v>
      </c>
      <c r="AA49" s="5">
        <v>165.24043458943908</v>
      </c>
      <c r="AB49" s="17">
        <v>1.8</v>
      </c>
      <c r="AC49" s="17">
        <v>0.8</v>
      </c>
      <c r="AD49" s="17">
        <v>0.8</v>
      </c>
      <c r="AE49" s="254">
        <v>0.16458882635095481</v>
      </c>
      <c r="AF49" s="254">
        <v>0.17241435895653787</v>
      </c>
      <c r="AG49" s="18"/>
      <c r="AH49" s="18"/>
      <c r="AI49" s="18">
        <v>3.1069255412930827</v>
      </c>
      <c r="AJ49" s="18">
        <v>38.101872755810703</v>
      </c>
      <c r="AK49" s="18"/>
      <c r="AL49" s="18"/>
      <c r="AM49" s="18">
        <v>55.68427616160313</v>
      </c>
      <c r="AN49" s="18"/>
      <c r="AO49" s="18"/>
      <c r="AP49" s="18"/>
      <c r="AQ49" s="18"/>
      <c r="AR49" s="18"/>
      <c r="AS49" s="18"/>
      <c r="AT49" s="18">
        <v>2.7375346707088952</v>
      </c>
      <c r="AU49" s="18">
        <v>0.36939087058418801</v>
      </c>
      <c r="AV49" s="247">
        <v>1</v>
      </c>
      <c r="AW49" s="247">
        <v>1</v>
      </c>
      <c r="AX49" s="247">
        <v>1</v>
      </c>
      <c r="AY49" s="247">
        <v>1</v>
      </c>
      <c r="AZ49" s="247">
        <v>1</v>
      </c>
      <c r="BA49" s="6">
        <v>0</v>
      </c>
      <c r="BB49" s="6">
        <v>18</v>
      </c>
      <c r="BC49" s="5">
        <f t="shared" si="350"/>
        <v>0</v>
      </c>
      <c r="BD49" s="17">
        <v>0.8</v>
      </c>
      <c r="BE49" s="17">
        <v>0.6</v>
      </c>
      <c r="BF49" s="17">
        <v>0.6</v>
      </c>
      <c r="BG49" s="6">
        <v>0.86295970746011463</v>
      </c>
      <c r="BH49" s="6">
        <v>18</v>
      </c>
      <c r="BI49" s="5">
        <v>5184.5982608695649</v>
      </c>
      <c r="BJ49" s="17">
        <v>0.8</v>
      </c>
      <c r="BK49" s="17">
        <v>0.6</v>
      </c>
      <c r="BL49" s="17">
        <v>0.6</v>
      </c>
      <c r="BM49" s="5">
        <v>455.57067467001087</v>
      </c>
      <c r="BN49" s="6">
        <v>179.9</v>
      </c>
      <c r="BO49" s="6">
        <v>3624.5695652174013</v>
      </c>
      <c r="BP49" s="17">
        <v>0.8</v>
      </c>
      <c r="BQ49" s="17">
        <v>0.6</v>
      </c>
      <c r="BR49" s="17">
        <v>0.6</v>
      </c>
      <c r="BS49" s="247">
        <v>1</v>
      </c>
      <c r="BT49" s="247">
        <v>1</v>
      </c>
      <c r="BU49" s="247">
        <v>1</v>
      </c>
      <c r="BV49" s="247">
        <v>1</v>
      </c>
      <c r="BW49" s="247">
        <v>1</v>
      </c>
      <c r="BX49" s="5">
        <v>2.4643245884135658</v>
      </c>
      <c r="BY49" s="5">
        <v>7623.1670434783009</v>
      </c>
      <c r="BZ49" s="17">
        <v>1.4</v>
      </c>
      <c r="CA49" s="17">
        <v>1.1000000000000001</v>
      </c>
      <c r="CB49" s="17">
        <v>1.1000000000000001</v>
      </c>
      <c r="CC49" s="247">
        <v>1</v>
      </c>
      <c r="CD49" s="247">
        <v>1</v>
      </c>
      <c r="CE49" s="247">
        <v>1</v>
      </c>
      <c r="CF49" s="247">
        <v>1</v>
      </c>
      <c r="CG49" s="247">
        <v>1</v>
      </c>
      <c r="CH49" s="5">
        <v>417.57875862283845</v>
      </c>
      <c r="CI49" s="5">
        <v>500</v>
      </c>
      <c r="CJ49" s="19">
        <v>2.5</v>
      </c>
      <c r="CK49" s="19">
        <v>1.3</v>
      </c>
      <c r="CL49" s="19">
        <v>1.3</v>
      </c>
      <c r="CM49" s="247">
        <v>1</v>
      </c>
      <c r="CN49" s="247">
        <v>1</v>
      </c>
      <c r="CO49" s="247">
        <v>1</v>
      </c>
      <c r="CP49" s="247">
        <v>1</v>
      </c>
      <c r="CQ49" s="247">
        <v>1</v>
      </c>
      <c r="CR49" s="5"/>
      <c r="CS49" s="8">
        <v>29</v>
      </c>
      <c r="CT49" s="17">
        <v>1.6</v>
      </c>
      <c r="CU49" s="17">
        <v>1.2</v>
      </c>
      <c r="CV49" s="17">
        <v>1.2</v>
      </c>
      <c r="CW49" s="247">
        <v>1</v>
      </c>
      <c r="CX49" s="247">
        <v>1</v>
      </c>
      <c r="CY49" s="247">
        <v>1</v>
      </c>
      <c r="CZ49" s="247">
        <v>1</v>
      </c>
      <c r="DA49" s="247">
        <v>1</v>
      </c>
      <c r="DB49" s="247"/>
      <c r="DC49" s="247"/>
      <c r="DD49" s="247"/>
      <c r="DE49" s="247"/>
      <c r="DF49" s="247"/>
      <c r="DG49" s="247"/>
      <c r="DH49" s="247"/>
      <c r="DI49" s="247"/>
      <c r="DJ49" s="247"/>
      <c r="DK49" s="247"/>
      <c r="DL49" s="247"/>
      <c r="DM49" s="247"/>
      <c r="DN49" s="247"/>
      <c r="DO49" s="247"/>
      <c r="DP49" s="247"/>
      <c r="DQ49" s="247"/>
      <c r="DR49" s="247"/>
      <c r="DS49" s="247"/>
      <c r="DT49" s="247"/>
      <c r="DU49" s="247"/>
      <c r="DV49" s="247"/>
      <c r="DW49" s="247"/>
      <c r="DX49" s="247"/>
      <c r="DY49" s="247"/>
      <c r="DZ49" s="308">
        <v>200</v>
      </c>
      <c r="EA49" s="308">
        <v>200</v>
      </c>
      <c r="EB49" s="308">
        <v>200</v>
      </c>
      <c r="EC49" s="308">
        <v>200</v>
      </c>
      <c r="ED49" s="308">
        <v>200</v>
      </c>
      <c r="EE49" s="308">
        <v>200</v>
      </c>
      <c r="EF49" s="308">
        <v>200</v>
      </c>
      <c r="EG49" s="308">
        <v>200</v>
      </c>
      <c r="EH49" s="308">
        <v>200</v>
      </c>
      <c r="EI49" s="308">
        <v>200</v>
      </c>
      <c r="EJ49" s="308">
        <v>200</v>
      </c>
      <c r="EK49" s="308">
        <v>200</v>
      </c>
      <c r="EL49" s="308">
        <v>200</v>
      </c>
      <c r="EM49" s="308">
        <v>200</v>
      </c>
      <c r="EN49" s="308">
        <v>200</v>
      </c>
      <c r="EO49" s="308">
        <v>200</v>
      </c>
      <c r="EP49" s="308">
        <v>200</v>
      </c>
      <c r="EQ49" s="308">
        <v>200</v>
      </c>
      <c r="ER49" s="308">
        <v>200</v>
      </c>
      <c r="ES49" s="308">
        <v>200</v>
      </c>
      <c r="ET49" s="308">
        <v>200</v>
      </c>
      <c r="EU49" s="308">
        <v>200</v>
      </c>
      <c r="EV49" s="308">
        <v>200</v>
      </c>
      <c r="EW49" s="308">
        <v>200</v>
      </c>
      <c r="EX49" s="308">
        <v>200</v>
      </c>
      <c r="EY49" s="308">
        <v>200</v>
      </c>
      <c r="EZ49" s="308">
        <v>200</v>
      </c>
      <c r="FA49" s="308">
        <v>200</v>
      </c>
      <c r="FB49" s="308">
        <v>200</v>
      </c>
      <c r="FC49" s="308">
        <v>200</v>
      </c>
      <c r="FD49" s="308">
        <v>200</v>
      </c>
      <c r="FE49" s="308">
        <v>200</v>
      </c>
      <c r="FF49" s="308">
        <v>200</v>
      </c>
      <c r="FG49" s="308">
        <v>200</v>
      </c>
      <c r="FH49" s="308">
        <v>200</v>
      </c>
      <c r="FI49" s="308">
        <v>200</v>
      </c>
      <c r="FJ49" s="308">
        <v>200</v>
      </c>
      <c r="FK49" s="308">
        <v>200</v>
      </c>
      <c r="FL49" s="308">
        <v>200</v>
      </c>
      <c r="FM49" s="308">
        <v>200</v>
      </c>
      <c r="FN49" s="308">
        <v>200</v>
      </c>
      <c r="FO49" s="308">
        <v>200</v>
      </c>
      <c r="FP49" s="308">
        <v>200</v>
      </c>
      <c r="FQ49" s="308">
        <v>200</v>
      </c>
      <c r="FR49" s="308">
        <v>200</v>
      </c>
      <c r="FS49" s="308">
        <v>200</v>
      </c>
      <c r="FT49" s="308">
        <v>200</v>
      </c>
      <c r="FU49" s="308">
        <v>200</v>
      </c>
      <c r="FV49" s="308">
        <v>200</v>
      </c>
      <c r="FW49" s="308">
        <v>200</v>
      </c>
      <c r="FX49" s="308">
        <v>200</v>
      </c>
      <c r="FY49" s="308">
        <v>200</v>
      </c>
      <c r="FZ49" s="308">
        <v>200</v>
      </c>
      <c r="GA49" s="308">
        <v>200</v>
      </c>
      <c r="GB49" s="308">
        <v>200</v>
      </c>
      <c r="GC49" s="308">
        <v>200</v>
      </c>
      <c r="GD49" s="308">
        <v>200</v>
      </c>
      <c r="GE49" s="308">
        <v>200</v>
      </c>
      <c r="GF49" s="308">
        <v>200</v>
      </c>
      <c r="GG49" s="308">
        <v>200</v>
      </c>
      <c r="GH49" s="308">
        <v>200</v>
      </c>
      <c r="GI49" s="308">
        <v>200</v>
      </c>
      <c r="GJ49" s="308">
        <v>200</v>
      </c>
      <c r="GK49" s="308">
        <v>200</v>
      </c>
      <c r="GL49" s="308">
        <v>200</v>
      </c>
      <c r="GM49" s="308">
        <v>200</v>
      </c>
      <c r="GN49" s="308">
        <v>200</v>
      </c>
      <c r="GO49" s="308">
        <v>200</v>
      </c>
      <c r="GP49" s="308">
        <v>200</v>
      </c>
      <c r="GQ49" s="308">
        <v>200</v>
      </c>
      <c r="GR49" s="308">
        <v>200</v>
      </c>
      <c r="GS49" s="308">
        <v>200</v>
      </c>
      <c r="GT49" s="308">
        <v>200</v>
      </c>
      <c r="GU49" s="308">
        <v>200</v>
      </c>
      <c r="GV49" s="308">
        <v>200</v>
      </c>
      <c r="GW49" s="308">
        <v>200</v>
      </c>
      <c r="GX49" s="308">
        <v>200</v>
      </c>
      <c r="GY49" s="308">
        <v>200</v>
      </c>
      <c r="GZ49" s="308">
        <v>200</v>
      </c>
      <c r="HA49" s="308">
        <v>200</v>
      </c>
      <c r="HB49" s="308">
        <v>200</v>
      </c>
      <c r="HC49" s="308">
        <v>200</v>
      </c>
      <c r="HD49" s="308">
        <v>200</v>
      </c>
      <c r="HE49" s="308">
        <v>200</v>
      </c>
      <c r="HF49" s="308">
        <v>200</v>
      </c>
      <c r="HG49" s="308">
        <v>200</v>
      </c>
      <c r="HH49" s="308">
        <v>200</v>
      </c>
      <c r="HI49" s="308">
        <v>200</v>
      </c>
      <c r="HJ49" s="308">
        <v>200</v>
      </c>
      <c r="HK49" s="308">
        <v>200</v>
      </c>
      <c r="HL49" s="308">
        <v>200</v>
      </c>
      <c r="HM49" s="308">
        <v>200</v>
      </c>
      <c r="HN49" s="308">
        <v>200</v>
      </c>
      <c r="HO49" s="308">
        <v>200</v>
      </c>
      <c r="HP49" s="308">
        <v>200</v>
      </c>
      <c r="HQ49" s="308">
        <v>200</v>
      </c>
      <c r="HR49" s="308">
        <v>200</v>
      </c>
      <c r="HS49" s="308">
        <v>200</v>
      </c>
      <c r="HT49" s="308">
        <v>200</v>
      </c>
      <c r="HU49" s="308">
        <v>200</v>
      </c>
      <c r="HV49" s="308">
        <v>200</v>
      </c>
      <c r="HW49" s="308">
        <v>200</v>
      </c>
      <c r="HX49" s="308">
        <v>200</v>
      </c>
      <c r="HY49" s="308">
        <v>200</v>
      </c>
      <c r="HZ49" s="308">
        <v>200</v>
      </c>
      <c r="IA49" s="308">
        <v>200</v>
      </c>
      <c r="IB49" s="308">
        <v>200</v>
      </c>
      <c r="IC49" s="308">
        <v>200</v>
      </c>
      <c r="ID49" s="308">
        <v>200</v>
      </c>
      <c r="IE49" s="308">
        <v>200</v>
      </c>
      <c r="IF49" s="308">
        <v>200</v>
      </c>
      <c r="IG49" s="308">
        <v>200</v>
      </c>
      <c r="IH49" s="308">
        <v>200</v>
      </c>
      <c r="II49" s="308">
        <v>200</v>
      </c>
      <c r="IJ49" s="308">
        <v>200</v>
      </c>
      <c r="IK49" s="308">
        <v>200</v>
      </c>
      <c r="IL49" s="308">
        <v>200</v>
      </c>
      <c r="IM49" s="308">
        <v>200</v>
      </c>
      <c r="IN49" s="308">
        <v>200</v>
      </c>
      <c r="IO49" s="308">
        <v>200</v>
      </c>
      <c r="IP49" s="308">
        <v>200</v>
      </c>
      <c r="IQ49" s="308">
        <v>200</v>
      </c>
      <c r="IR49" s="308">
        <v>200</v>
      </c>
      <c r="IS49" s="308">
        <v>200</v>
      </c>
      <c r="IT49" s="308">
        <v>200</v>
      </c>
      <c r="IU49" s="308">
        <v>200</v>
      </c>
      <c r="IV49" s="308">
        <v>200</v>
      </c>
      <c r="IW49" s="308">
        <v>200</v>
      </c>
      <c r="IX49" s="308">
        <v>200</v>
      </c>
      <c r="IY49" s="308">
        <v>200</v>
      </c>
      <c r="IZ49" s="308">
        <v>200</v>
      </c>
      <c r="JA49" s="308">
        <v>200</v>
      </c>
      <c r="JB49" s="308">
        <v>200</v>
      </c>
      <c r="JC49" s="308">
        <v>200</v>
      </c>
      <c r="JD49" s="308">
        <v>200</v>
      </c>
      <c r="JE49" s="308">
        <v>200</v>
      </c>
      <c r="JF49" s="308">
        <v>200</v>
      </c>
      <c r="JG49" s="308">
        <v>200</v>
      </c>
      <c r="JH49" s="308">
        <v>200</v>
      </c>
      <c r="JI49" s="308">
        <v>200</v>
      </c>
      <c r="JJ49" s="308">
        <v>200</v>
      </c>
      <c r="JK49" s="308">
        <v>200</v>
      </c>
      <c r="JL49" s="308">
        <v>200</v>
      </c>
      <c r="JM49" s="308">
        <v>200</v>
      </c>
      <c r="JN49" s="308">
        <v>200</v>
      </c>
      <c r="JO49" s="308">
        <v>200</v>
      </c>
      <c r="JP49" s="308">
        <v>200</v>
      </c>
      <c r="JQ49" s="308">
        <v>200</v>
      </c>
      <c r="JR49" s="308">
        <v>200</v>
      </c>
      <c r="JS49" s="308">
        <v>200</v>
      </c>
      <c r="JT49" s="308">
        <v>200</v>
      </c>
      <c r="JU49" s="308">
        <v>200</v>
      </c>
      <c r="JV49" s="308">
        <v>200</v>
      </c>
      <c r="JW49" s="308">
        <v>200</v>
      </c>
      <c r="JX49" s="308">
        <v>200</v>
      </c>
      <c r="JY49" s="308">
        <v>200</v>
      </c>
      <c r="JZ49" s="308">
        <v>200</v>
      </c>
      <c r="KA49" s="308">
        <v>200</v>
      </c>
      <c r="KB49" s="308">
        <v>200</v>
      </c>
      <c r="KC49" s="308">
        <v>200</v>
      </c>
      <c r="KD49" s="308">
        <v>200</v>
      </c>
      <c r="KE49" s="308">
        <v>200</v>
      </c>
      <c r="KF49" s="308">
        <v>200</v>
      </c>
      <c r="KG49" s="308">
        <v>200</v>
      </c>
      <c r="KH49" s="308">
        <v>200</v>
      </c>
      <c r="KI49" s="308">
        <v>200</v>
      </c>
      <c r="KJ49" s="308">
        <v>200</v>
      </c>
      <c r="KK49" s="308">
        <v>200</v>
      </c>
      <c r="KL49" s="308">
        <v>200</v>
      </c>
      <c r="KM49" s="308">
        <v>200</v>
      </c>
      <c r="KN49" s="308">
        <v>200</v>
      </c>
      <c r="KO49" s="308">
        <v>200</v>
      </c>
      <c r="KP49" s="308">
        <v>200</v>
      </c>
      <c r="KQ49" s="308">
        <v>200</v>
      </c>
      <c r="KR49" s="308">
        <v>200</v>
      </c>
      <c r="KS49" s="308">
        <v>200</v>
      </c>
      <c r="KT49" s="308">
        <v>200</v>
      </c>
      <c r="KU49" s="308">
        <v>200</v>
      </c>
      <c r="KV49" s="308">
        <v>200</v>
      </c>
      <c r="KW49" s="308">
        <v>200</v>
      </c>
      <c r="KX49" s="308">
        <v>200</v>
      </c>
      <c r="KY49" s="308">
        <v>200</v>
      </c>
      <c r="KZ49" s="308">
        <v>200</v>
      </c>
      <c r="LA49" s="308">
        <v>200</v>
      </c>
      <c r="LB49" s="308">
        <v>200</v>
      </c>
      <c r="LC49" s="308">
        <v>200</v>
      </c>
      <c r="LD49" s="308">
        <v>200</v>
      </c>
      <c r="LE49" s="308">
        <v>200</v>
      </c>
      <c r="LF49" s="308">
        <v>200</v>
      </c>
      <c r="LG49" s="308">
        <v>200</v>
      </c>
      <c r="LH49" s="308">
        <v>200</v>
      </c>
      <c r="LI49" s="308">
        <v>200</v>
      </c>
      <c r="LJ49" s="308">
        <v>200</v>
      </c>
      <c r="LK49" s="308">
        <v>200</v>
      </c>
      <c r="LL49" s="308">
        <v>200</v>
      </c>
      <c r="LM49" s="308">
        <v>200</v>
      </c>
      <c r="LN49" s="308">
        <v>200</v>
      </c>
      <c r="LO49" s="308">
        <v>200</v>
      </c>
      <c r="LP49" s="308">
        <v>200</v>
      </c>
      <c r="LQ49" s="308">
        <v>200</v>
      </c>
      <c r="LR49" s="308">
        <v>200</v>
      </c>
      <c r="LS49" s="308">
        <v>200</v>
      </c>
      <c r="LT49" s="308">
        <v>200</v>
      </c>
      <c r="LU49" s="308">
        <v>200</v>
      </c>
      <c r="LV49" s="308">
        <v>200</v>
      </c>
      <c r="LW49" s="308">
        <v>200</v>
      </c>
      <c r="LX49" s="308">
        <v>200</v>
      </c>
      <c r="LY49" s="308">
        <v>200</v>
      </c>
      <c r="LZ49" s="308">
        <v>200</v>
      </c>
      <c r="MA49" s="308">
        <v>200</v>
      </c>
      <c r="MB49" s="308">
        <v>200</v>
      </c>
      <c r="MC49" s="308">
        <v>200</v>
      </c>
      <c r="MD49" s="308">
        <v>200</v>
      </c>
      <c r="ME49" s="308">
        <v>200</v>
      </c>
      <c r="MF49" s="308">
        <v>200</v>
      </c>
      <c r="MG49" s="308">
        <v>200</v>
      </c>
    </row>
    <row r="50" spans="1:345" ht="18" customHeight="1">
      <c r="A50" s="331" t="s">
        <v>282</v>
      </c>
      <c r="B50" s="15">
        <v>-0.6</v>
      </c>
      <c r="C50" s="15">
        <v>-0.3</v>
      </c>
      <c r="D50" s="15">
        <v>-0.3</v>
      </c>
      <c r="E50" s="255">
        <v>710.87615148413511</v>
      </c>
      <c r="F50" s="256">
        <v>-1.3</v>
      </c>
      <c r="G50" s="16">
        <v>-6.1</v>
      </c>
      <c r="H50" s="16">
        <v>-6.1</v>
      </c>
      <c r="I50" s="5">
        <v>2171.6667850440722</v>
      </c>
      <c r="J50" s="6">
        <v>12</v>
      </c>
      <c r="K50" s="6">
        <v>374.51960000000003</v>
      </c>
      <c r="L50" s="17">
        <v>0.6</v>
      </c>
      <c r="M50" s="17">
        <v>0.3</v>
      </c>
      <c r="N50" s="17">
        <v>0.3</v>
      </c>
      <c r="O50" s="16">
        <v>4.2</v>
      </c>
      <c r="P50" s="16">
        <v>0</v>
      </c>
      <c r="Q50" s="16">
        <v>92.4</v>
      </c>
      <c r="R50" s="16">
        <v>3.4</v>
      </c>
      <c r="S50" s="252">
        <v>0</v>
      </c>
      <c r="T50" s="253">
        <v>1</v>
      </c>
      <c r="U50" s="253">
        <v>1</v>
      </c>
      <c r="V50" s="253">
        <v>1</v>
      </c>
      <c r="W50" s="253">
        <v>1</v>
      </c>
      <c r="X50" s="253">
        <v>1</v>
      </c>
      <c r="Y50" s="5">
        <v>10221.459910814488</v>
      </c>
      <c r="Z50" s="14">
        <v>1.45</v>
      </c>
      <c r="AA50" s="5">
        <v>166.11489555454111</v>
      </c>
      <c r="AB50" s="17">
        <v>0.5</v>
      </c>
      <c r="AC50" s="17">
        <v>0.5</v>
      </c>
      <c r="AD50" s="17">
        <v>0.5</v>
      </c>
      <c r="AE50" s="254">
        <v>0.19961001253043553</v>
      </c>
      <c r="AF50" s="254">
        <v>0.18771489791382917</v>
      </c>
      <c r="AG50" s="18">
        <v>3.7611188074745966E-4</v>
      </c>
      <c r="AH50" s="18">
        <v>0.16599071003654553</v>
      </c>
      <c r="AI50" s="18">
        <v>0.33962902831495606</v>
      </c>
      <c r="AJ50" s="18">
        <v>58.709309395901634</v>
      </c>
      <c r="AK50" s="18">
        <v>1.1223178521504196</v>
      </c>
      <c r="AL50" s="18"/>
      <c r="AM50" s="18">
        <v>39.43332476634049</v>
      </c>
      <c r="AN50" s="18">
        <v>5.578992897753985E-2</v>
      </c>
      <c r="AO50" s="18"/>
      <c r="AP50" s="18"/>
      <c r="AQ50" s="18"/>
      <c r="AR50" s="18"/>
      <c r="AS50" s="18"/>
      <c r="AT50" s="18"/>
      <c r="AU50" s="18">
        <v>0.1732622063976631</v>
      </c>
      <c r="AV50" s="247">
        <v>1</v>
      </c>
      <c r="AW50" s="247">
        <v>1</v>
      </c>
      <c r="AX50" s="247">
        <v>1</v>
      </c>
      <c r="AY50" s="247">
        <v>1</v>
      </c>
      <c r="AZ50" s="247">
        <v>1</v>
      </c>
      <c r="BA50" s="6">
        <v>0</v>
      </c>
      <c r="BB50" s="6">
        <v>18</v>
      </c>
      <c r="BC50" s="5">
        <f t="shared" si="350"/>
        <v>0</v>
      </c>
      <c r="BD50" s="17">
        <v>2.4</v>
      </c>
      <c r="BE50" s="17">
        <v>1.2</v>
      </c>
      <c r="BF50" s="17">
        <v>1.2</v>
      </c>
      <c r="BG50" s="6">
        <v>5.7196825024484994</v>
      </c>
      <c r="BH50" s="6">
        <v>18</v>
      </c>
      <c r="BI50" s="5">
        <v>5146.7433367451385</v>
      </c>
      <c r="BJ50" s="17">
        <v>2.4</v>
      </c>
      <c r="BK50" s="17">
        <v>1.2</v>
      </c>
      <c r="BL50" s="17">
        <v>1.2</v>
      </c>
      <c r="BM50" s="5">
        <v>313.51780510470144</v>
      </c>
      <c r="BN50" s="6">
        <v>179.9</v>
      </c>
      <c r="BO50" s="6">
        <v>5816.2772773797442</v>
      </c>
      <c r="BP50" s="17">
        <v>2.4</v>
      </c>
      <c r="BQ50" s="17">
        <v>1.2</v>
      </c>
      <c r="BR50" s="17">
        <v>1.2</v>
      </c>
      <c r="BS50" s="247">
        <v>1</v>
      </c>
      <c r="BT50" s="247">
        <v>1</v>
      </c>
      <c r="BU50" s="247">
        <v>1</v>
      </c>
      <c r="BV50" s="247">
        <v>1</v>
      </c>
      <c r="BW50" s="247">
        <v>1</v>
      </c>
      <c r="BX50" s="5">
        <v>117.28496305452052</v>
      </c>
      <c r="BY50" s="5">
        <v>9549.5810214944104</v>
      </c>
      <c r="BZ50" s="17">
        <v>2.2000000000000002</v>
      </c>
      <c r="CA50" s="17">
        <v>1.3</v>
      </c>
      <c r="CB50" s="17">
        <v>1.3</v>
      </c>
      <c r="CC50" s="247">
        <v>1</v>
      </c>
      <c r="CD50" s="247">
        <v>1</v>
      </c>
      <c r="CE50" s="247">
        <v>1</v>
      </c>
      <c r="CF50" s="247">
        <v>1</v>
      </c>
      <c r="CG50" s="247">
        <v>1</v>
      </c>
      <c r="CH50" s="5">
        <v>162.58874371836629</v>
      </c>
      <c r="CI50" s="5">
        <v>500</v>
      </c>
      <c r="CJ50" s="19">
        <v>1.3</v>
      </c>
      <c r="CK50" s="19">
        <v>0.9</v>
      </c>
      <c r="CL50" s="19">
        <v>0.9</v>
      </c>
      <c r="CM50" s="247">
        <v>1</v>
      </c>
      <c r="CN50" s="247">
        <v>1</v>
      </c>
      <c r="CO50" s="247">
        <v>1</v>
      </c>
      <c r="CP50" s="247">
        <v>1</v>
      </c>
      <c r="CQ50" s="247">
        <v>1</v>
      </c>
      <c r="CR50" s="5"/>
      <c r="CS50" s="8">
        <v>29</v>
      </c>
      <c r="CT50" s="17">
        <v>1.2</v>
      </c>
      <c r="CU50" s="17">
        <v>0.9</v>
      </c>
      <c r="CV50" s="17">
        <v>0.9</v>
      </c>
      <c r="CW50" s="247">
        <v>1</v>
      </c>
      <c r="CX50" s="247">
        <v>1</v>
      </c>
      <c r="CY50" s="247">
        <v>1</v>
      </c>
      <c r="CZ50" s="247">
        <v>1</v>
      </c>
      <c r="DA50" s="247">
        <v>1</v>
      </c>
      <c r="DB50" s="247"/>
      <c r="DC50" s="247"/>
      <c r="DD50" s="247"/>
      <c r="DE50" s="247"/>
      <c r="DF50" s="247"/>
      <c r="DG50" s="247"/>
      <c r="DH50" s="247"/>
      <c r="DI50" s="247"/>
      <c r="DJ50" s="247"/>
      <c r="DK50" s="247"/>
      <c r="DL50" s="247"/>
      <c r="DM50" s="247"/>
      <c r="DN50" s="247"/>
      <c r="DO50" s="247"/>
      <c r="DP50" s="247"/>
      <c r="DQ50" s="247"/>
      <c r="DR50" s="247"/>
      <c r="DS50" s="247"/>
      <c r="DT50" s="247"/>
      <c r="DU50" s="247"/>
      <c r="DV50" s="247"/>
      <c r="DW50" s="247"/>
      <c r="DX50" s="247"/>
      <c r="DY50" s="247"/>
      <c r="DZ50" s="308">
        <v>200</v>
      </c>
      <c r="EA50" s="308">
        <v>200</v>
      </c>
      <c r="EB50" s="308">
        <v>200</v>
      </c>
      <c r="EC50" s="308">
        <v>200</v>
      </c>
      <c r="ED50" s="308">
        <v>200</v>
      </c>
      <c r="EE50" s="308">
        <v>200</v>
      </c>
      <c r="EF50" s="308">
        <v>200</v>
      </c>
      <c r="EG50" s="308">
        <v>200</v>
      </c>
      <c r="EH50" s="308">
        <v>200</v>
      </c>
      <c r="EI50" s="308">
        <v>200</v>
      </c>
      <c r="EJ50" s="308">
        <v>200</v>
      </c>
      <c r="EK50" s="308">
        <v>200</v>
      </c>
      <c r="EL50" s="308">
        <v>200</v>
      </c>
      <c r="EM50" s="308">
        <v>200</v>
      </c>
      <c r="EN50" s="308">
        <v>200</v>
      </c>
      <c r="EO50" s="308">
        <v>200</v>
      </c>
      <c r="EP50" s="308">
        <v>200</v>
      </c>
      <c r="EQ50" s="308">
        <v>200</v>
      </c>
      <c r="ER50" s="308">
        <v>200</v>
      </c>
      <c r="ES50" s="308">
        <v>200</v>
      </c>
      <c r="ET50" s="308">
        <v>200</v>
      </c>
      <c r="EU50" s="308">
        <v>200</v>
      </c>
      <c r="EV50" s="308">
        <v>200</v>
      </c>
      <c r="EW50" s="308">
        <v>200</v>
      </c>
      <c r="EX50" s="308">
        <v>200</v>
      </c>
      <c r="EY50" s="308">
        <v>200</v>
      </c>
      <c r="EZ50" s="308">
        <v>200</v>
      </c>
      <c r="FA50" s="308">
        <v>200</v>
      </c>
      <c r="FB50" s="308">
        <v>200</v>
      </c>
      <c r="FC50" s="308">
        <v>200</v>
      </c>
      <c r="FD50" s="308">
        <v>200</v>
      </c>
      <c r="FE50" s="308">
        <v>200</v>
      </c>
      <c r="FF50" s="308">
        <v>200</v>
      </c>
      <c r="FG50" s="308">
        <v>200</v>
      </c>
      <c r="FH50" s="308">
        <v>200</v>
      </c>
      <c r="FI50" s="308">
        <v>200</v>
      </c>
      <c r="FJ50" s="308">
        <v>200</v>
      </c>
      <c r="FK50" s="308">
        <v>200</v>
      </c>
      <c r="FL50" s="308">
        <v>200</v>
      </c>
      <c r="FM50" s="308">
        <v>200</v>
      </c>
      <c r="FN50" s="308">
        <v>200</v>
      </c>
      <c r="FO50" s="308">
        <v>200</v>
      </c>
      <c r="FP50" s="308">
        <v>200</v>
      </c>
      <c r="FQ50" s="308">
        <v>200</v>
      </c>
      <c r="FR50" s="308">
        <v>200</v>
      </c>
      <c r="FS50" s="308">
        <v>200</v>
      </c>
      <c r="FT50" s="308">
        <v>200</v>
      </c>
      <c r="FU50" s="308">
        <v>200</v>
      </c>
      <c r="FV50" s="308">
        <v>200</v>
      </c>
      <c r="FW50" s="308">
        <v>200</v>
      </c>
      <c r="FX50" s="308">
        <v>200</v>
      </c>
      <c r="FY50" s="308">
        <v>200</v>
      </c>
      <c r="FZ50" s="308">
        <v>200</v>
      </c>
      <c r="GA50" s="308">
        <v>200</v>
      </c>
      <c r="GB50" s="308">
        <v>200</v>
      </c>
      <c r="GC50" s="308">
        <v>200</v>
      </c>
      <c r="GD50" s="308">
        <v>200</v>
      </c>
      <c r="GE50" s="308">
        <v>200</v>
      </c>
      <c r="GF50" s="308">
        <v>200</v>
      </c>
      <c r="GG50" s="308">
        <v>200</v>
      </c>
      <c r="GH50" s="308">
        <v>200</v>
      </c>
      <c r="GI50" s="308">
        <v>200</v>
      </c>
      <c r="GJ50" s="308">
        <v>200</v>
      </c>
      <c r="GK50" s="308">
        <v>200</v>
      </c>
      <c r="GL50" s="308">
        <v>200</v>
      </c>
      <c r="GM50" s="308">
        <v>200</v>
      </c>
      <c r="GN50" s="308">
        <v>200</v>
      </c>
      <c r="GO50" s="308">
        <v>200</v>
      </c>
      <c r="GP50" s="308">
        <v>200</v>
      </c>
      <c r="GQ50" s="308">
        <v>200</v>
      </c>
      <c r="GR50" s="308">
        <v>200</v>
      </c>
      <c r="GS50" s="308">
        <v>200</v>
      </c>
      <c r="GT50" s="308">
        <v>200</v>
      </c>
      <c r="GU50" s="308">
        <v>200</v>
      </c>
      <c r="GV50" s="308">
        <v>200</v>
      </c>
      <c r="GW50" s="308">
        <v>200</v>
      </c>
      <c r="GX50" s="308">
        <v>200</v>
      </c>
      <c r="GY50" s="308">
        <v>200</v>
      </c>
      <c r="GZ50" s="308">
        <v>200</v>
      </c>
      <c r="HA50" s="308">
        <v>200</v>
      </c>
      <c r="HB50" s="308">
        <v>200</v>
      </c>
      <c r="HC50" s="308">
        <v>200</v>
      </c>
      <c r="HD50" s="308">
        <v>200</v>
      </c>
      <c r="HE50" s="308">
        <v>200</v>
      </c>
      <c r="HF50" s="308">
        <v>200</v>
      </c>
      <c r="HG50" s="308">
        <v>200</v>
      </c>
      <c r="HH50" s="308">
        <v>200</v>
      </c>
      <c r="HI50" s="308">
        <v>200</v>
      </c>
      <c r="HJ50" s="308">
        <v>200</v>
      </c>
      <c r="HK50" s="308">
        <v>200</v>
      </c>
      <c r="HL50" s="308">
        <v>200</v>
      </c>
      <c r="HM50" s="308">
        <v>200</v>
      </c>
      <c r="HN50" s="308">
        <v>200</v>
      </c>
      <c r="HO50" s="308">
        <v>200</v>
      </c>
      <c r="HP50" s="308">
        <v>200</v>
      </c>
      <c r="HQ50" s="308">
        <v>200</v>
      </c>
      <c r="HR50" s="308">
        <v>200</v>
      </c>
      <c r="HS50" s="308">
        <v>200</v>
      </c>
      <c r="HT50" s="308">
        <v>200</v>
      </c>
      <c r="HU50" s="308">
        <v>200</v>
      </c>
      <c r="HV50" s="308">
        <v>200</v>
      </c>
      <c r="HW50" s="308">
        <v>200</v>
      </c>
      <c r="HX50" s="308">
        <v>200</v>
      </c>
      <c r="HY50" s="308">
        <v>200</v>
      </c>
      <c r="HZ50" s="308">
        <v>200</v>
      </c>
      <c r="IA50" s="308">
        <v>200</v>
      </c>
      <c r="IB50" s="308">
        <v>200</v>
      </c>
      <c r="IC50" s="308">
        <v>200</v>
      </c>
      <c r="ID50" s="308">
        <v>200</v>
      </c>
      <c r="IE50" s="308">
        <v>200</v>
      </c>
      <c r="IF50" s="308">
        <v>200</v>
      </c>
      <c r="IG50" s="308">
        <v>200</v>
      </c>
      <c r="IH50" s="308">
        <v>200</v>
      </c>
      <c r="II50" s="308">
        <v>200</v>
      </c>
      <c r="IJ50" s="308">
        <v>200</v>
      </c>
      <c r="IK50" s="308">
        <v>200</v>
      </c>
      <c r="IL50" s="308">
        <v>200</v>
      </c>
      <c r="IM50" s="308">
        <v>200</v>
      </c>
      <c r="IN50" s="308">
        <v>200</v>
      </c>
      <c r="IO50" s="308">
        <v>200</v>
      </c>
      <c r="IP50" s="308">
        <v>200</v>
      </c>
      <c r="IQ50" s="308">
        <v>200</v>
      </c>
      <c r="IR50" s="308">
        <v>200</v>
      </c>
      <c r="IS50" s="308">
        <v>200</v>
      </c>
      <c r="IT50" s="308">
        <v>200</v>
      </c>
      <c r="IU50" s="308">
        <v>200</v>
      </c>
      <c r="IV50" s="308">
        <v>200</v>
      </c>
      <c r="IW50" s="308">
        <v>200</v>
      </c>
      <c r="IX50" s="308">
        <v>200</v>
      </c>
      <c r="IY50" s="308">
        <v>200</v>
      </c>
      <c r="IZ50" s="308">
        <v>200</v>
      </c>
      <c r="JA50" s="308">
        <v>200</v>
      </c>
      <c r="JB50" s="308">
        <v>200</v>
      </c>
      <c r="JC50" s="308">
        <v>200</v>
      </c>
      <c r="JD50" s="308">
        <v>200</v>
      </c>
      <c r="JE50" s="308">
        <v>200</v>
      </c>
      <c r="JF50" s="308">
        <v>200</v>
      </c>
      <c r="JG50" s="308">
        <v>200</v>
      </c>
      <c r="JH50" s="308">
        <v>200</v>
      </c>
      <c r="JI50" s="308">
        <v>200</v>
      </c>
      <c r="JJ50" s="308">
        <v>200</v>
      </c>
      <c r="JK50" s="308">
        <v>200</v>
      </c>
      <c r="JL50" s="308">
        <v>200</v>
      </c>
      <c r="JM50" s="308">
        <v>200</v>
      </c>
      <c r="JN50" s="308">
        <v>200</v>
      </c>
      <c r="JO50" s="308">
        <v>200</v>
      </c>
      <c r="JP50" s="308">
        <v>200</v>
      </c>
      <c r="JQ50" s="308">
        <v>200</v>
      </c>
      <c r="JR50" s="308">
        <v>200</v>
      </c>
      <c r="JS50" s="308">
        <v>200</v>
      </c>
      <c r="JT50" s="308">
        <v>200</v>
      </c>
      <c r="JU50" s="308">
        <v>200</v>
      </c>
      <c r="JV50" s="308">
        <v>200</v>
      </c>
      <c r="JW50" s="308">
        <v>200</v>
      </c>
      <c r="JX50" s="308">
        <v>200</v>
      </c>
      <c r="JY50" s="308">
        <v>200</v>
      </c>
      <c r="JZ50" s="308">
        <v>200</v>
      </c>
      <c r="KA50" s="308">
        <v>200</v>
      </c>
      <c r="KB50" s="308">
        <v>200</v>
      </c>
      <c r="KC50" s="308">
        <v>200</v>
      </c>
      <c r="KD50" s="308">
        <v>200</v>
      </c>
      <c r="KE50" s="308">
        <v>200</v>
      </c>
      <c r="KF50" s="308">
        <v>200</v>
      </c>
      <c r="KG50" s="308">
        <v>200</v>
      </c>
      <c r="KH50" s="308">
        <v>200</v>
      </c>
      <c r="KI50" s="308">
        <v>200</v>
      </c>
      <c r="KJ50" s="308">
        <v>200</v>
      </c>
      <c r="KK50" s="308">
        <v>200</v>
      </c>
      <c r="KL50" s="308">
        <v>200</v>
      </c>
      <c r="KM50" s="308">
        <v>200</v>
      </c>
      <c r="KN50" s="308">
        <v>200</v>
      </c>
      <c r="KO50" s="308">
        <v>200</v>
      </c>
      <c r="KP50" s="308">
        <v>200</v>
      </c>
      <c r="KQ50" s="308">
        <v>200</v>
      </c>
      <c r="KR50" s="308">
        <v>200</v>
      </c>
      <c r="KS50" s="308">
        <v>200</v>
      </c>
      <c r="KT50" s="308">
        <v>200</v>
      </c>
      <c r="KU50" s="308">
        <v>200</v>
      </c>
      <c r="KV50" s="308">
        <v>200</v>
      </c>
      <c r="KW50" s="308">
        <v>200</v>
      </c>
      <c r="KX50" s="308">
        <v>200</v>
      </c>
      <c r="KY50" s="308">
        <v>200</v>
      </c>
      <c r="KZ50" s="308">
        <v>200</v>
      </c>
      <c r="LA50" s="308">
        <v>200</v>
      </c>
      <c r="LB50" s="308">
        <v>200</v>
      </c>
      <c r="LC50" s="308">
        <v>200</v>
      </c>
      <c r="LD50" s="308">
        <v>200</v>
      </c>
      <c r="LE50" s="308">
        <v>200</v>
      </c>
      <c r="LF50" s="308">
        <v>200</v>
      </c>
      <c r="LG50" s="308">
        <v>200</v>
      </c>
      <c r="LH50" s="308">
        <v>200</v>
      </c>
      <c r="LI50" s="308">
        <v>200</v>
      </c>
      <c r="LJ50" s="308">
        <v>200</v>
      </c>
      <c r="LK50" s="308">
        <v>200</v>
      </c>
      <c r="LL50" s="308">
        <v>200</v>
      </c>
      <c r="LM50" s="308">
        <v>200</v>
      </c>
      <c r="LN50" s="308">
        <v>200</v>
      </c>
      <c r="LO50" s="308">
        <v>200</v>
      </c>
      <c r="LP50" s="308">
        <v>200</v>
      </c>
      <c r="LQ50" s="308">
        <v>200</v>
      </c>
      <c r="LR50" s="308">
        <v>200</v>
      </c>
      <c r="LS50" s="308">
        <v>200</v>
      </c>
      <c r="LT50" s="308">
        <v>200</v>
      </c>
      <c r="LU50" s="308">
        <v>200</v>
      </c>
      <c r="LV50" s="308">
        <v>200</v>
      </c>
      <c r="LW50" s="308">
        <v>200</v>
      </c>
      <c r="LX50" s="308">
        <v>200</v>
      </c>
      <c r="LY50" s="308">
        <v>200</v>
      </c>
      <c r="LZ50" s="308">
        <v>200</v>
      </c>
      <c r="MA50" s="308">
        <v>200</v>
      </c>
      <c r="MB50" s="308">
        <v>200</v>
      </c>
      <c r="MC50" s="308">
        <v>200</v>
      </c>
      <c r="MD50" s="308">
        <v>200</v>
      </c>
      <c r="ME50" s="308">
        <v>200</v>
      </c>
      <c r="MF50" s="308">
        <v>200</v>
      </c>
      <c r="MG50" s="308">
        <v>200</v>
      </c>
    </row>
  </sheetData>
  <mergeCells count="16">
    <mergeCell ref="DJ2:DM2"/>
    <mergeCell ref="DN2:DQ2"/>
    <mergeCell ref="DR2:DU2"/>
    <mergeCell ref="DV2:DY2"/>
    <mergeCell ref="BM2:BW2"/>
    <mergeCell ref="BX2:CG2"/>
    <mergeCell ref="CH2:CQ2"/>
    <mergeCell ref="CR2:DA2"/>
    <mergeCell ref="DB2:DE2"/>
    <mergeCell ref="DF2:DI2"/>
    <mergeCell ref="BG2:BL2"/>
    <mergeCell ref="E2:H2"/>
    <mergeCell ref="B2:D2"/>
    <mergeCell ref="I2:X2"/>
    <mergeCell ref="Y2:AZ2"/>
    <mergeCell ref="BA2:BF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</sheetPr>
  <dimension ref="A1:A29"/>
  <sheetViews>
    <sheetView topLeftCell="A3" workbookViewId="0">
      <selection activeCell="I24" sqref="I24"/>
    </sheetView>
  </sheetViews>
  <sheetFormatPr defaultRowHeight="15"/>
  <sheetData>
    <row r="1" spans="1:1">
      <c r="A1">
        <f>2022</f>
        <v>2022</v>
      </c>
    </row>
    <row r="2" spans="1:1">
      <c r="A2">
        <f>A1+1</f>
        <v>2023</v>
      </c>
    </row>
    <row r="3" spans="1:1">
      <c r="A3" s="1">
        <f t="shared" ref="A3:A28" si="0">A2+1</f>
        <v>2024</v>
      </c>
    </row>
    <row r="4" spans="1:1">
      <c r="A4" s="1">
        <f t="shared" si="0"/>
        <v>2025</v>
      </c>
    </row>
    <row r="5" spans="1:1">
      <c r="A5" s="1">
        <f t="shared" si="0"/>
        <v>2026</v>
      </c>
    </row>
    <row r="6" spans="1:1">
      <c r="A6" s="1">
        <f t="shared" si="0"/>
        <v>2027</v>
      </c>
    </row>
    <row r="7" spans="1:1">
      <c r="A7" s="1">
        <f t="shared" si="0"/>
        <v>2028</v>
      </c>
    </row>
    <row r="8" spans="1:1">
      <c r="A8" s="1">
        <f t="shared" si="0"/>
        <v>2029</v>
      </c>
    </row>
    <row r="9" spans="1:1">
      <c r="A9" s="1">
        <f t="shared" si="0"/>
        <v>2030</v>
      </c>
    </row>
    <row r="10" spans="1:1">
      <c r="A10" s="1">
        <f t="shared" si="0"/>
        <v>2031</v>
      </c>
    </row>
    <row r="11" spans="1:1">
      <c r="A11" s="1">
        <f t="shared" si="0"/>
        <v>2032</v>
      </c>
    </row>
    <row r="12" spans="1:1">
      <c r="A12" s="1">
        <f t="shared" si="0"/>
        <v>2033</v>
      </c>
    </row>
    <row r="13" spans="1:1">
      <c r="A13" s="1">
        <f t="shared" si="0"/>
        <v>2034</v>
      </c>
    </row>
    <row r="14" spans="1:1">
      <c r="A14" s="1">
        <f t="shared" si="0"/>
        <v>2035</v>
      </c>
    </row>
    <row r="15" spans="1:1">
      <c r="A15" s="1">
        <f t="shared" si="0"/>
        <v>2036</v>
      </c>
    </row>
    <row r="16" spans="1:1">
      <c r="A16" s="1">
        <f t="shared" si="0"/>
        <v>2037</v>
      </c>
    </row>
    <row r="17" spans="1:1">
      <c r="A17" s="1">
        <f t="shared" si="0"/>
        <v>2038</v>
      </c>
    </row>
    <row r="18" spans="1:1">
      <c r="A18" s="1">
        <f t="shared" si="0"/>
        <v>2039</v>
      </c>
    </row>
    <row r="19" spans="1:1">
      <c r="A19" s="1">
        <f t="shared" si="0"/>
        <v>2040</v>
      </c>
    </row>
    <row r="20" spans="1:1">
      <c r="A20" s="1">
        <f t="shared" si="0"/>
        <v>2041</v>
      </c>
    </row>
    <row r="21" spans="1:1">
      <c r="A21" s="1">
        <f t="shared" si="0"/>
        <v>2042</v>
      </c>
    </row>
    <row r="22" spans="1:1">
      <c r="A22" s="1">
        <f t="shared" si="0"/>
        <v>2043</v>
      </c>
    </row>
    <row r="23" spans="1:1">
      <c r="A23" s="1">
        <f t="shared" si="0"/>
        <v>2044</v>
      </c>
    </row>
    <row r="24" spans="1:1">
      <c r="A24" s="1">
        <f t="shared" si="0"/>
        <v>2045</v>
      </c>
    </row>
    <row r="25" spans="1:1">
      <c r="A25" s="1">
        <f>A24+1</f>
        <v>2046</v>
      </c>
    </row>
    <row r="26" spans="1:1">
      <c r="A26" s="1">
        <f t="shared" si="0"/>
        <v>2047</v>
      </c>
    </row>
    <row r="27" spans="1:1">
      <c r="A27" s="1">
        <f t="shared" si="0"/>
        <v>2048</v>
      </c>
    </row>
    <row r="28" spans="1:1">
      <c r="A28" s="1">
        <f t="shared" si="0"/>
        <v>2049</v>
      </c>
    </row>
    <row r="29" spans="1:1">
      <c r="A29" s="1">
        <f>A28+1</f>
        <v>2050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START</vt:lpstr>
      <vt:lpstr>TRANSPORT</vt:lpstr>
      <vt:lpstr>LAND USE CHANGE</vt:lpstr>
      <vt:lpstr>BUILDINGS</vt:lpstr>
      <vt:lpstr>RESULTS</vt:lpstr>
      <vt:lpstr>LOCAL DATASET</vt:lpstr>
      <vt:lpstr>UPLOAD</vt:lpstr>
      <vt:lpstr>DEFAULT DATA</vt:lpstr>
      <vt:lpstr>MENU OPTIONS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Omistaja</dc:creator>
  <cp:lastModifiedBy>Kimmo Sakari Lylykangas</cp:lastModifiedBy>
  <dcterms:created xsi:type="dcterms:W3CDTF">2021-06-18T16:42:00Z</dcterms:created>
  <dcterms:modified xsi:type="dcterms:W3CDTF">2022-03-02T17:03:43Z</dcterms:modified>
</cp:coreProperties>
</file>